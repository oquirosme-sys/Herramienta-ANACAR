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mc:AlternateContent xmlns:mc="http://schemas.openxmlformats.org/markup-compatibility/2006">
    <mc:Choice Requires="x15">
      <x15ac:absPath xmlns:x15ac="http://schemas.microsoft.com/office/spreadsheetml/2010/11/ac" url="C:\Users\Sinergia01\AppData\Local\Temp\anacar\xlsm\"/>
    </mc:Choice>
  </mc:AlternateContent>
  <xr:revisionPtr revIDLastSave="0" documentId="8_{D4621401-722F-4E95-8DC8-976F7A36FFED}" xr6:coauthVersionLast="47" xr6:coauthVersionMax="47" xr10:uidLastSave="{00000000-0000-0000-0000-000000000000}"/>
  <bookViews>
    <workbookView xWindow="-98" yWindow="-98" windowWidth="19396" windowHeight="11475" xr2:uid="{00000000-000D-0000-FFFF-FFFF00000000}"/>
  </bookViews>
  <sheets>
    <sheet name="INICIO" sheetId="1" r:id="rId1"/>
    <sheet name="PROYECTO" sheetId="2" r:id="rId2"/>
    <sheet name="TABLA RESUMEN" sheetId="3" r:id="rId3"/>
    <sheet name="RESUMEN VERTICAL" sheetId="4" r:id="rId4"/>
    <sheet name="RESUMEN DU" sheetId="5" r:id="rId5"/>
    <sheet name="PREVISTA" sheetId="6" r:id="rId6"/>
    <sheet name="REVIT" sheetId="7" r:id="rId7"/>
    <sheet name="CAMBIOS REVIT" sheetId="8" r:id="rId8"/>
    <sheet name="DETALLES DE CARGA" sheetId="9" r:id="rId9"/>
    <sheet name="AYUDA" sheetId="10" r:id="rId10"/>
    <sheet name="MC_MACHOTE" sheetId="11" state="veryHidden" r:id="rId11"/>
    <sheet name="VISTA_MACHOTE" sheetId="12" state="veryHidden" r:id="rId12"/>
    <sheet name="CAT_TIPOS" sheetId="13" state="veryHidden" r:id="rId13"/>
    <sheet name="CAT_COND" sheetId="14" state="veryHidden" r:id="rId14"/>
    <sheet name="CAT_BREAKERS" sheetId="15" state="veryHidden" r:id="rId15"/>
    <sheet name="CAT_TABLEROS" sheetId="16" state="veryHidden" r:id="rId16"/>
    <sheet name="CAT_SPD" sheetId="17" state="veryHidden" r:id="rId17"/>
    <sheet name="CAT_ATS" sheetId="18" state="veryHidden" r:id="rId18"/>
    <sheet name="CAT_SIMBOLOS" sheetId="19" state="veryHidden" r:id="rId19"/>
    <sheet name="CAT_TRAFOS" sheetId="20" state="veryHidden" r:id="rId20"/>
    <sheet name="CAT_REGLAS_T" sheetId="21" state="veryHidden" r:id="rId21"/>
    <sheet name="CAT_REGLAS_B" sheetId="22" state="veryHidden" r:id="rId22"/>
    <sheet name="CAT_SERIE" sheetId="23" state="veryHidden" r:id="rId23"/>
    <sheet name="CAT_USOS" sheetId="24" state="veryHidden" r:id="rId24"/>
  </sheets>
  <functionGroups builtInGroupCount="19"/>
  <definedNames>
    <definedName name="ADMIN_CLAVE" hidden="1">"sinergia-admin"</definedName>
    <definedName name="AUTO_AMP">PROYECTO!$F$12</definedName>
    <definedName name="CARGA_DERIV">PROYECTO!$F$11</definedName>
    <definedName name="CVMAX_ALIM">PROYECTO!$F$3</definedName>
    <definedName name="CVMAX_TOT">PROYECTO!$F$4</definedName>
    <definedName name="DESB_MAX">PROYECTO!$F$5</definedName>
    <definedName name="ICC_LMAX">PROYECTO!$F$6</definedName>
    <definedName name="ICC_RED">PROYECTO!$F$10</definedName>
    <definedName name="L_AGRUP">CAT_COND!$CN$2:$CN$8</definedName>
    <definedName name="L_AISLAMIENTOS">CAT_COND!$CJ$2:$CJ$8</definedName>
    <definedName name="L_BK_TXT">CAT_BREAKERS!$K$2:$K$191</definedName>
    <definedName name="L_CDERIV">CAT_COND!$CY$2:$CY$3</definedName>
    <definedName name="L_CLASE">CAT_COND!$CU$2:$CU$3</definedName>
    <definedName name="L_DET">'DETALLES DE CARGA'!$A$2:$A$300</definedName>
    <definedName name="L_DET_TXT">'DETALLES DE CARGA'!$M$2:$M$68</definedName>
    <definedName name="L_DISPARO">CAT_COND!$CQ$2:$CQ$5</definedName>
    <definedName name="L_FUENTE">CAT_COND!$CW$2:$CW$3</definedName>
    <definedName name="L_MARCAS">CAT_COND!$CO$2:$CO$3</definedName>
    <definedName name="L_MATERIALES">CAT_COND!$CI$2:$CI$5</definedName>
    <definedName name="L_MONTAJES">CAT_COND!$CL$2:$CL$3</definedName>
    <definedName name="L_OCUP">CAT_COND!$CX$2:$CX$6</definedName>
    <definedName name="L_PRINCIPAL">CAT_COND!$CT$2:$CT$3</definedName>
    <definedName name="L_SINO">CAT_COND!$CR$2:$CR$3</definedName>
    <definedName name="L_SISTEMAS">CAT_COND!$CH$2:$CH$8</definedName>
    <definedName name="L_SPD_TXT">CAT_SPD!$J$2:$J$67</definedName>
    <definedName name="L_TAB_TXT">CAT_TABLEROS!$K$2:$K$138</definedName>
    <definedName name="L_TEMPS">CAT_COND!$CM$2:$CM$16</definedName>
    <definedName name="L_TIPO">CAT_COND!$CS$2:$CS$3</definedName>
    <definedName name="L_TRAFOS">CAT_TRAFOS!$B$2:$B$100</definedName>
    <definedName name="L_TRANSF">CAT_COND!$CV$2:$CV$4</definedName>
    <definedName name="L_TRANSICION">CAT_COND!$CZ$2:$CZ$11</definedName>
    <definedName name="L_TUBERIAS">CAT_COND!$CK$2:$CK$3</definedName>
    <definedName name="L_UNIDADES">CAT_COND!$CP$2:$CP$7</definedName>
    <definedName name="L_USOS">CAT_USOS!$B$2:$B$100</definedName>
    <definedName name="LISTA_TABLEROS">PROYECTO!$B$17:$B$116</definedName>
    <definedName name="MARCA_DEF">PROYECTO!$F$7</definedName>
    <definedName name="OCUPACION">PROYECTO!$F$9</definedName>
    <definedName name="P_ELABORO">PROYECTO!$C$7</definedName>
    <definedName name="P_FECHA">PROYECTO!$C$6</definedName>
    <definedName name="P_NOMBRE">PROYECTO!$C$3</definedName>
    <definedName name="P_NUMERO">PROYECTO!$C$4</definedName>
    <definedName name="P_REV">PROYECTO!$C$8</definedName>
    <definedName name="P_UBIC">PROYECTO!$C$5</definedName>
    <definedName name="_xlnm.Print_Area" localSheetId="11">VISTA_MACHOTE!$A$1:$AJ$114</definedName>
    <definedName name="RESERVA_ESP">PROYECTO!$F$8</definedName>
    <definedName name="T_AGRUP">CAT_COND!$BT$3:$BU$9</definedName>
    <definedName name="T_AMP">CAT_COND!$BA$3:$BM$26</definedName>
    <definedName name="T_AMPAL">CAT_COND!$D$3:$E$22</definedName>
    <definedName name="T_AMPCU">CAT_COND!$A$3:$B$23</definedName>
    <definedName name="T_CONDUIT">CAT_COND!$P$3:$S$20</definedName>
    <definedName name="T_CONSTC">CAT_COND!$BW$3:$CD$21</definedName>
    <definedName name="T_DET">'DETALLES DE CARGA'!$A$2:$L$300</definedName>
    <definedName name="T_ELEC">CAT_COND!$U$3:$Z$22</definedName>
    <definedName name="T_ELEC_AL">CAT_COND!$Y$3:$Y$22</definedName>
    <definedName name="T_ELEC_ALMC">CAT_COND!$Z$3:$Z$22</definedName>
    <definedName name="T_ELEC_CALAL">CAT_COND!$X$3:$X$22</definedName>
    <definedName name="T_ELEC_CALCU">CAT_COND!$U$3:$U$22</definedName>
    <definedName name="T_ELEC_CU">CAT_COND!$V$3:$V$22</definedName>
    <definedName name="T_ELEC_CUMC">CAT_COND!$W$3:$W$22</definedName>
    <definedName name="T_FAC_AL">CAT_COND!$AC$8:$AX$11</definedName>
    <definedName name="T_FAC_CU">CAT_COND!$AC$3:$AX$6</definedName>
    <definedName name="T_FAC_H">CAT_COND!$AC$2:$AX$2</definedName>
    <definedName name="T_PROT">CAT_COND!$G$3:$H$33</definedName>
    <definedName name="T_TEMP">CAT_COND!$BO$3:$BR$17</definedName>
    <definedName name="T_TIERRA">CAT_COND!$K$3:$N$25</definedName>
    <definedName name="T_TIERRA_A">CAT_COND!$J$3:$J$25</definedName>
    <definedName name="T_TIERRA_ALL">CAT_COND!$J$3:$N$25</definedName>
    <definedName name="T_TIERRA_H">CAT_COND!$K$2:$N$2</definedName>
    <definedName name="T_TIPOS">CAT_TIPOS!$A$2:$E$40</definedName>
    <definedName name="T_USOS">CAT_USOS!$B$2:$E$100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67" i="17" l="1"/>
  <c r="J66" i="17"/>
  <c r="J65" i="17"/>
  <c r="J64" i="17"/>
  <c r="J63" i="17"/>
  <c r="J62" i="17"/>
  <c r="J61" i="17"/>
  <c r="J60" i="17"/>
  <c r="J59" i="17"/>
  <c r="J58" i="17"/>
  <c r="J57" i="17"/>
  <c r="J56" i="17"/>
  <c r="J55" i="17"/>
  <c r="J54" i="17"/>
  <c r="J53" i="17"/>
  <c r="J52" i="17"/>
  <c r="J51" i="17"/>
  <c r="J50" i="17"/>
  <c r="J49" i="17"/>
  <c r="J48" i="17"/>
  <c r="J47" i="17"/>
  <c r="J46" i="17"/>
  <c r="J45" i="17"/>
  <c r="J44" i="17"/>
  <c r="J43" i="17"/>
  <c r="J42" i="17"/>
  <c r="J41" i="17"/>
  <c r="J40" i="17"/>
  <c r="J39" i="17"/>
  <c r="J38" i="17"/>
  <c r="J37" i="17"/>
  <c r="J36" i="17"/>
  <c r="J35" i="17"/>
  <c r="J34" i="17"/>
  <c r="J33" i="17"/>
  <c r="J32" i="17"/>
  <c r="J31" i="17"/>
  <c r="J30" i="17"/>
  <c r="J29" i="17"/>
  <c r="J28" i="17"/>
  <c r="J27" i="17"/>
  <c r="J26" i="17"/>
  <c r="J25" i="17"/>
  <c r="J24" i="17"/>
  <c r="J23" i="17"/>
  <c r="J22" i="17"/>
  <c r="J21" i="17"/>
  <c r="J20" i="17"/>
  <c r="J19" i="17"/>
  <c r="J18" i="17"/>
  <c r="J17" i="17"/>
  <c r="J16" i="17"/>
  <c r="J15" i="17"/>
  <c r="J14" i="17"/>
  <c r="J13" i="17"/>
  <c r="J12" i="17"/>
  <c r="J11" i="17"/>
  <c r="J10" i="17"/>
  <c r="J9" i="17"/>
  <c r="J8" i="17"/>
  <c r="J7" i="17"/>
  <c r="J6" i="17"/>
  <c r="J5" i="17"/>
  <c r="J4" i="17"/>
  <c r="J3" i="17"/>
  <c r="J2" i="17"/>
  <c r="K138" i="16"/>
  <c r="K137" i="16"/>
  <c r="K136" i="16"/>
  <c r="K135" i="16"/>
  <c r="K134" i="16"/>
  <c r="K133" i="16"/>
  <c r="K132" i="16"/>
  <c r="K131" i="16"/>
  <c r="K130" i="16"/>
  <c r="K129" i="16"/>
  <c r="K128" i="16"/>
  <c r="K127" i="16"/>
  <c r="K126" i="16"/>
  <c r="K125" i="16"/>
  <c r="K124" i="16"/>
  <c r="K123" i="16"/>
  <c r="K122" i="16"/>
  <c r="K121" i="16"/>
  <c r="K120" i="16"/>
  <c r="K119" i="16"/>
  <c r="K118" i="16"/>
  <c r="K117" i="16"/>
  <c r="K116" i="16"/>
  <c r="K115" i="16"/>
  <c r="K114" i="16"/>
  <c r="K113" i="16"/>
  <c r="K112" i="16"/>
  <c r="K111" i="16"/>
  <c r="K110" i="16"/>
  <c r="K109" i="16"/>
  <c r="K108" i="16"/>
  <c r="K107" i="16"/>
  <c r="K106" i="16"/>
  <c r="K105" i="16"/>
  <c r="K104" i="16"/>
  <c r="K103" i="16"/>
  <c r="K102" i="16"/>
  <c r="K101" i="16"/>
  <c r="K100" i="16"/>
  <c r="K99" i="16"/>
  <c r="K98" i="16"/>
  <c r="K97" i="16"/>
  <c r="K96" i="16"/>
  <c r="K95" i="16"/>
  <c r="K94" i="16"/>
  <c r="K93" i="16"/>
  <c r="K92" i="16"/>
  <c r="K91" i="16"/>
  <c r="K90" i="16"/>
  <c r="K89" i="16"/>
  <c r="K88" i="16"/>
  <c r="K87" i="16"/>
  <c r="K86" i="16"/>
  <c r="K85" i="16"/>
  <c r="K84" i="16"/>
  <c r="K83" i="16"/>
  <c r="K82" i="16"/>
  <c r="K81" i="16"/>
  <c r="K80" i="16"/>
  <c r="K79" i="16"/>
  <c r="K78" i="16"/>
  <c r="K77" i="16"/>
  <c r="K76" i="16"/>
  <c r="K75" i="16"/>
  <c r="K74" i="16"/>
  <c r="K73" i="16"/>
  <c r="K72" i="16"/>
  <c r="K71" i="16"/>
  <c r="K70" i="16"/>
  <c r="K69" i="16"/>
  <c r="K68" i="16"/>
  <c r="K67" i="16"/>
  <c r="K66" i="16"/>
  <c r="K65" i="16"/>
  <c r="K64" i="16"/>
  <c r="K63" i="16"/>
  <c r="K62" i="16"/>
  <c r="K61" i="16"/>
  <c r="K60" i="16"/>
  <c r="K59" i="16"/>
  <c r="K58" i="16"/>
  <c r="K57" i="16"/>
  <c r="K56" i="16"/>
  <c r="K55" i="16"/>
  <c r="K54" i="16"/>
  <c r="K53" i="16"/>
  <c r="K52" i="16"/>
  <c r="K51" i="16"/>
  <c r="K50" i="16"/>
  <c r="K49" i="16"/>
  <c r="K48" i="16"/>
  <c r="K47" i="16"/>
  <c r="K46" i="16"/>
  <c r="K45" i="16"/>
  <c r="K44" i="16"/>
  <c r="K43" i="16"/>
  <c r="K42" i="16"/>
  <c r="K41" i="16"/>
  <c r="K40" i="16"/>
  <c r="K39" i="16"/>
  <c r="K38" i="16"/>
  <c r="K37" i="16"/>
  <c r="K36" i="16"/>
  <c r="K35" i="16"/>
  <c r="K34" i="16"/>
  <c r="K33" i="16"/>
  <c r="K32" i="16"/>
  <c r="K31" i="16"/>
  <c r="K30" i="16"/>
  <c r="K29" i="16"/>
  <c r="K28" i="16"/>
  <c r="K27" i="16"/>
  <c r="K26" i="16"/>
  <c r="K25" i="16"/>
  <c r="K24" i="16"/>
  <c r="K23" i="16"/>
  <c r="K22" i="16"/>
  <c r="K21" i="16"/>
  <c r="K20" i="16"/>
  <c r="K19" i="16"/>
  <c r="K18" i="16"/>
  <c r="K17" i="16"/>
  <c r="K16" i="16"/>
  <c r="K15" i="16"/>
  <c r="K14" i="16"/>
  <c r="K13" i="16"/>
  <c r="K12" i="16"/>
  <c r="K11" i="16"/>
  <c r="K10" i="16"/>
  <c r="K9" i="16"/>
  <c r="K8" i="16"/>
  <c r="K7" i="16"/>
  <c r="K6" i="16"/>
  <c r="K5" i="16"/>
  <c r="K4" i="16"/>
  <c r="K3" i="16"/>
  <c r="K2" i="16"/>
  <c r="K191" i="15"/>
  <c r="K190" i="15"/>
  <c r="K189" i="15"/>
  <c r="K188" i="15"/>
  <c r="K187" i="15"/>
  <c r="K186" i="15"/>
  <c r="K185" i="15"/>
  <c r="K184" i="15"/>
  <c r="K183" i="15"/>
  <c r="K182" i="15"/>
  <c r="K181" i="15"/>
  <c r="K180" i="15"/>
  <c r="K179" i="15"/>
  <c r="K178" i="15"/>
  <c r="K177" i="15"/>
  <c r="K176" i="15"/>
  <c r="K175" i="15"/>
  <c r="K174" i="15"/>
  <c r="K173" i="15"/>
  <c r="K172" i="15"/>
  <c r="K171" i="15"/>
  <c r="K170" i="15"/>
  <c r="K169" i="15"/>
  <c r="K168" i="15"/>
  <c r="K167" i="15"/>
  <c r="K166" i="15"/>
  <c r="K165" i="15"/>
  <c r="K164" i="15"/>
  <c r="K163" i="15"/>
  <c r="K162" i="15"/>
  <c r="K161" i="15"/>
  <c r="K160" i="15"/>
  <c r="K159" i="15"/>
  <c r="K158" i="15"/>
  <c r="K157" i="15"/>
  <c r="K156" i="15"/>
  <c r="K155" i="15"/>
  <c r="K154" i="15"/>
  <c r="K153" i="15"/>
  <c r="K152" i="15"/>
  <c r="K151" i="15"/>
  <c r="K150" i="15"/>
  <c r="K149" i="15"/>
  <c r="K148" i="15"/>
  <c r="K147" i="15"/>
  <c r="K146" i="15"/>
  <c r="K145" i="15"/>
  <c r="K144" i="15"/>
  <c r="K143" i="15"/>
  <c r="K142" i="15"/>
  <c r="K141" i="15"/>
  <c r="K140" i="15"/>
  <c r="K139" i="15"/>
  <c r="K138" i="15"/>
  <c r="K137" i="15"/>
  <c r="K136" i="15"/>
  <c r="K135" i="15"/>
  <c r="K134" i="15"/>
  <c r="K133" i="15"/>
  <c r="K132" i="15"/>
  <c r="K131" i="15"/>
  <c r="K130" i="15"/>
  <c r="K129" i="15"/>
  <c r="K128" i="15"/>
  <c r="K127" i="15"/>
  <c r="K126" i="15"/>
  <c r="K125" i="15"/>
  <c r="K124" i="15"/>
  <c r="K123" i="15"/>
  <c r="K122" i="15"/>
  <c r="K121" i="15"/>
  <c r="K120" i="15"/>
  <c r="K119" i="15"/>
  <c r="K118" i="15"/>
  <c r="K117" i="15"/>
  <c r="K116" i="15"/>
  <c r="K115" i="15"/>
  <c r="K114" i="15"/>
  <c r="K113" i="15"/>
  <c r="K112" i="15"/>
  <c r="K111" i="15"/>
  <c r="K110" i="15"/>
  <c r="K109" i="15"/>
  <c r="K108" i="15"/>
  <c r="K107" i="15"/>
  <c r="K106" i="15"/>
  <c r="K105" i="15"/>
  <c r="K104" i="15"/>
  <c r="K103" i="15"/>
  <c r="K102" i="15"/>
  <c r="K101" i="15"/>
  <c r="K100" i="15"/>
  <c r="K99" i="15"/>
  <c r="K98" i="15"/>
  <c r="K97" i="15"/>
  <c r="K96" i="15"/>
  <c r="K95" i="15"/>
  <c r="K94" i="15"/>
  <c r="K93" i="15"/>
  <c r="K92" i="15"/>
  <c r="K91" i="15"/>
  <c r="K90" i="15"/>
  <c r="K89" i="15"/>
  <c r="K88" i="15"/>
  <c r="K87" i="15"/>
  <c r="K86" i="15"/>
  <c r="K85" i="15"/>
  <c r="K84" i="15"/>
  <c r="K83" i="15"/>
  <c r="K82" i="15"/>
  <c r="K81" i="15"/>
  <c r="K80" i="15"/>
  <c r="K79" i="15"/>
  <c r="K78" i="15"/>
  <c r="K77" i="15"/>
  <c r="K76" i="15"/>
  <c r="K75" i="15"/>
  <c r="K74" i="15"/>
  <c r="K73" i="15"/>
  <c r="K72" i="15"/>
  <c r="K71" i="15"/>
  <c r="K70" i="15"/>
  <c r="K69" i="15"/>
  <c r="K68" i="15"/>
  <c r="K67" i="15"/>
  <c r="K66" i="15"/>
  <c r="K65" i="15"/>
  <c r="K64" i="15"/>
  <c r="K63" i="15"/>
  <c r="K62" i="15"/>
  <c r="K61" i="15"/>
  <c r="K60" i="15"/>
  <c r="K59" i="15"/>
  <c r="K58" i="15"/>
  <c r="K57" i="15"/>
  <c r="K56" i="15"/>
  <c r="K55" i="15"/>
  <c r="K54" i="15"/>
  <c r="K53" i="15"/>
  <c r="K52" i="15"/>
  <c r="K51" i="15"/>
  <c r="K50" i="15"/>
  <c r="K49" i="15"/>
  <c r="K48" i="15"/>
  <c r="K47" i="15"/>
  <c r="K46" i="15"/>
  <c r="K45" i="15"/>
  <c r="K44" i="15"/>
  <c r="K43" i="15"/>
  <c r="K42" i="15"/>
  <c r="K41" i="15"/>
  <c r="K40" i="15"/>
  <c r="K39" i="15"/>
  <c r="K38" i="15"/>
  <c r="K37" i="15"/>
  <c r="K36" i="15"/>
  <c r="K35" i="15"/>
  <c r="K34" i="15"/>
  <c r="K33" i="15"/>
  <c r="K32" i="15"/>
  <c r="K31" i="15"/>
  <c r="K30" i="15"/>
  <c r="K29" i="15"/>
  <c r="K28" i="15"/>
  <c r="K27" i="15"/>
  <c r="K26" i="15"/>
  <c r="K25" i="15"/>
  <c r="K24" i="15"/>
  <c r="K23" i="15"/>
  <c r="K22" i="15"/>
  <c r="K21" i="15"/>
  <c r="K20" i="15"/>
  <c r="K19" i="15"/>
  <c r="K18" i="15"/>
  <c r="K17" i="15"/>
  <c r="K16" i="15"/>
  <c r="K15" i="15"/>
  <c r="K14" i="15"/>
  <c r="K13" i="15"/>
  <c r="K12" i="15"/>
  <c r="K11" i="15"/>
  <c r="K10" i="15"/>
  <c r="K9" i="15"/>
  <c r="K8" i="15"/>
  <c r="K7" i="15"/>
  <c r="K6" i="15"/>
  <c r="K5" i="15"/>
  <c r="K4" i="15"/>
  <c r="K3" i="15"/>
  <c r="K2" i="15"/>
  <c r="AL112" i="12"/>
  <c r="X112" i="12"/>
  <c r="B112" i="12"/>
  <c r="X111" i="12"/>
  <c r="B111" i="12"/>
  <c r="X110" i="12"/>
  <c r="B110" i="12"/>
  <c r="X109" i="12"/>
  <c r="B109" i="12"/>
  <c r="X108" i="12"/>
  <c r="B108" i="12"/>
  <c r="X107" i="12"/>
  <c r="B107" i="12"/>
  <c r="X106" i="12"/>
  <c r="B106" i="12"/>
  <c r="X105" i="12"/>
  <c r="B105" i="12"/>
  <c r="X104" i="12"/>
  <c r="B104" i="12"/>
  <c r="X103" i="12"/>
  <c r="B103" i="12"/>
  <c r="X102" i="12"/>
  <c r="B102" i="12"/>
  <c r="X101" i="12"/>
  <c r="B101" i="12"/>
  <c r="X100" i="12"/>
  <c r="B100" i="12"/>
  <c r="X99" i="12"/>
  <c r="B99" i="12"/>
  <c r="X98" i="12"/>
  <c r="B98" i="12"/>
  <c r="X97" i="12"/>
  <c r="B97" i="12"/>
  <c r="X96" i="12"/>
  <c r="B96" i="12"/>
  <c r="X95" i="12"/>
  <c r="B95" i="12"/>
  <c r="X94" i="12"/>
  <c r="B94" i="12"/>
  <c r="X93" i="12"/>
  <c r="B93" i="12"/>
  <c r="X92" i="12"/>
  <c r="B92" i="12"/>
  <c r="X91" i="12"/>
  <c r="B91" i="12"/>
  <c r="X90" i="12"/>
  <c r="B90" i="12"/>
  <c r="X89" i="12"/>
  <c r="B89" i="12"/>
  <c r="X88" i="12"/>
  <c r="B88" i="12"/>
  <c r="X87" i="12"/>
  <c r="B87" i="12"/>
  <c r="X86" i="12"/>
  <c r="B86" i="12"/>
  <c r="X85" i="12"/>
  <c r="B85" i="12"/>
  <c r="X84" i="12"/>
  <c r="B84" i="12"/>
  <c r="X83" i="12"/>
  <c r="B83" i="12"/>
  <c r="X82" i="12"/>
  <c r="B82" i="12"/>
  <c r="X81" i="12"/>
  <c r="B81" i="12"/>
  <c r="X80" i="12"/>
  <c r="B80" i="12"/>
  <c r="X79" i="12"/>
  <c r="B79" i="12"/>
  <c r="X78" i="12"/>
  <c r="B78" i="12"/>
  <c r="X77" i="12"/>
  <c r="B77" i="12"/>
  <c r="X76" i="12"/>
  <c r="B76" i="12"/>
  <c r="X75" i="12"/>
  <c r="B75" i="12"/>
  <c r="X74" i="12"/>
  <c r="B74" i="12"/>
  <c r="X73" i="12"/>
  <c r="B73" i="12"/>
  <c r="X72" i="12"/>
  <c r="B72" i="12"/>
  <c r="X71" i="12"/>
  <c r="B71" i="12"/>
  <c r="X70" i="12"/>
  <c r="B70" i="12"/>
  <c r="X69" i="12"/>
  <c r="B69" i="12"/>
  <c r="X68" i="12"/>
  <c r="B68" i="12"/>
  <c r="X67" i="12"/>
  <c r="B67" i="12"/>
  <c r="AI66" i="12"/>
  <c r="AF66" i="12"/>
  <c r="AC66" i="12"/>
  <c r="X66" i="12"/>
  <c r="W66" i="12"/>
  <c r="V66" i="12"/>
  <c r="U66" i="12"/>
  <c r="T66" i="12"/>
  <c r="S66" i="12"/>
  <c r="R66" i="12"/>
  <c r="Q66" i="12"/>
  <c r="P66" i="12"/>
  <c r="O66" i="12"/>
  <c r="N66" i="12"/>
  <c r="M66" i="12"/>
  <c r="K66" i="12"/>
  <c r="J66" i="12"/>
  <c r="I66" i="12"/>
  <c r="G66" i="12"/>
  <c r="F66" i="12"/>
  <c r="AB66" i="12" s="1"/>
  <c r="E66" i="12"/>
  <c r="AA66" i="12" s="1"/>
  <c r="B66" i="12"/>
  <c r="X65" i="12"/>
  <c r="B65" i="12"/>
  <c r="X64" i="12"/>
  <c r="B64" i="12"/>
  <c r="X63" i="12"/>
  <c r="B63" i="12"/>
  <c r="X62" i="12"/>
  <c r="B62" i="12"/>
  <c r="X61" i="12"/>
  <c r="B61" i="12"/>
  <c r="X60" i="12"/>
  <c r="B60" i="12"/>
  <c r="X59" i="12"/>
  <c r="B59" i="12"/>
  <c r="X58" i="12"/>
  <c r="B58" i="12"/>
  <c r="X57" i="12"/>
  <c r="B57" i="12"/>
  <c r="X56" i="12"/>
  <c r="B56" i="12"/>
  <c r="X55" i="12"/>
  <c r="B55" i="12"/>
  <c r="X54" i="12"/>
  <c r="B54" i="12"/>
  <c r="X53" i="12"/>
  <c r="B53" i="12"/>
  <c r="X52" i="12"/>
  <c r="B52" i="12"/>
  <c r="X51" i="12"/>
  <c r="B51" i="12"/>
  <c r="X50" i="12"/>
  <c r="B50" i="12"/>
  <c r="X49" i="12"/>
  <c r="B49" i="12"/>
  <c r="X48" i="12"/>
  <c r="B48" i="12"/>
  <c r="X47" i="12"/>
  <c r="B47" i="12"/>
  <c r="X46" i="12"/>
  <c r="B46" i="12"/>
  <c r="X45" i="12"/>
  <c r="B45" i="12"/>
  <c r="X44" i="12"/>
  <c r="B44" i="12"/>
  <c r="X43" i="12"/>
  <c r="B43" i="12"/>
  <c r="X42" i="12"/>
  <c r="B42" i="12"/>
  <c r="X41" i="12"/>
  <c r="B41" i="12"/>
  <c r="X40" i="12"/>
  <c r="B40" i="12"/>
  <c r="X39" i="12"/>
  <c r="B39" i="12"/>
  <c r="X38" i="12"/>
  <c r="B38" i="12"/>
  <c r="X37" i="12"/>
  <c r="B37" i="12"/>
  <c r="X36" i="12"/>
  <c r="B36" i="12"/>
  <c r="X35" i="12"/>
  <c r="B35" i="12"/>
  <c r="X34" i="12"/>
  <c r="B34" i="12"/>
  <c r="X33" i="12"/>
  <c r="B33" i="12"/>
  <c r="X32" i="12"/>
  <c r="B32" i="12"/>
  <c r="X31" i="12"/>
  <c r="B31" i="12"/>
  <c r="X30" i="12"/>
  <c r="B30" i="12"/>
  <c r="X29" i="12"/>
  <c r="B29" i="12"/>
  <c r="X28" i="12"/>
  <c r="B28" i="12"/>
  <c r="X27" i="12"/>
  <c r="B27" i="12"/>
  <c r="X26" i="12"/>
  <c r="B26" i="12"/>
  <c r="X25" i="12"/>
  <c r="B25" i="12"/>
  <c r="X24" i="12"/>
  <c r="B24" i="12"/>
  <c r="X23" i="12"/>
  <c r="B23" i="12"/>
  <c r="X22" i="12"/>
  <c r="B22" i="12"/>
  <c r="X21" i="12"/>
  <c r="B21" i="12"/>
  <c r="X20" i="12"/>
  <c r="B20" i="12"/>
  <c r="X19" i="12"/>
  <c r="B19" i="12"/>
  <c r="X18" i="12"/>
  <c r="B18" i="12"/>
  <c r="X17" i="12"/>
  <c r="B17" i="12"/>
  <c r="X16" i="12"/>
  <c r="B16" i="12"/>
  <c r="X15" i="12"/>
  <c r="B15" i="12"/>
  <c r="X14" i="12"/>
  <c r="B14" i="12"/>
  <c r="X13" i="12"/>
  <c r="B13" i="12"/>
  <c r="J9" i="12"/>
  <c r="I9" i="12"/>
  <c r="W6" i="12"/>
  <c r="P6" i="12"/>
  <c r="H6" i="12"/>
  <c r="F144" i="11"/>
  <c r="E144" i="11"/>
  <c r="B143" i="11"/>
  <c r="B142" i="11"/>
  <c r="B141" i="11"/>
  <c r="B140" i="11"/>
  <c r="B139" i="11"/>
  <c r="B138" i="11"/>
  <c r="B137" i="11"/>
  <c r="B136" i="11"/>
  <c r="B135" i="11"/>
  <c r="B134" i="11"/>
  <c r="B133" i="11"/>
  <c r="B132" i="11"/>
  <c r="B131" i="11"/>
  <c r="B130" i="11"/>
  <c r="B129" i="11"/>
  <c r="B128" i="11"/>
  <c r="CB124" i="11"/>
  <c r="CA124" i="11"/>
  <c r="AI124" i="11"/>
  <c r="AH124" i="11"/>
  <c r="AE124" i="11"/>
  <c r="AD124" i="11"/>
  <c r="AA124" i="11"/>
  <c r="Z124" i="11"/>
  <c r="Y124" i="11"/>
  <c r="X124" i="11"/>
  <c r="R124" i="11"/>
  <c r="Q124" i="11"/>
  <c r="O124" i="11"/>
  <c r="AV124" i="11" s="1"/>
  <c r="M124" i="11"/>
  <c r="L124" i="11"/>
  <c r="K124" i="11"/>
  <c r="AC124" i="11" s="1"/>
  <c r="J124" i="11"/>
  <c r="AB124" i="11" s="1"/>
  <c r="I124" i="11"/>
  <c r="AF124" i="11" s="1"/>
  <c r="F124" i="11"/>
  <c r="W124" i="11" s="1"/>
  <c r="CB123" i="11"/>
  <c r="CA123" i="11"/>
  <c r="AI123" i="11"/>
  <c r="AH123" i="11"/>
  <c r="AE123" i="11"/>
  <c r="AD123" i="11"/>
  <c r="AA123" i="11"/>
  <c r="Z123" i="11"/>
  <c r="Y123" i="11"/>
  <c r="X123" i="11"/>
  <c r="R123" i="11"/>
  <c r="Q123" i="11"/>
  <c r="O123" i="11"/>
  <c r="AV123" i="11" s="1"/>
  <c r="M123" i="11"/>
  <c r="L123" i="11"/>
  <c r="K123" i="11"/>
  <c r="AC123" i="11" s="1"/>
  <c r="J123" i="11"/>
  <c r="AB123" i="11" s="1"/>
  <c r="I123" i="11"/>
  <c r="AF123" i="11" s="1"/>
  <c r="F123" i="11"/>
  <c r="W123" i="11" s="1"/>
  <c r="CB122" i="11"/>
  <c r="CA122" i="11"/>
  <c r="AI122" i="11"/>
  <c r="AH122" i="11"/>
  <c r="AE122" i="11"/>
  <c r="AD122" i="11"/>
  <c r="AA122" i="11"/>
  <c r="Z122" i="11"/>
  <c r="Y122" i="11"/>
  <c r="X122" i="11"/>
  <c r="R122" i="11"/>
  <c r="Q122" i="11"/>
  <c r="O122" i="11"/>
  <c r="AV122" i="11" s="1"/>
  <c r="M122" i="11"/>
  <c r="L122" i="11"/>
  <c r="K122" i="11"/>
  <c r="AC122" i="11" s="1"/>
  <c r="J122" i="11"/>
  <c r="AB122" i="11" s="1"/>
  <c r="I122" i="11"/>
  <c r="AF122" i="11" s="1"/>
  <c r="F122" i="11"/>
  <c r="W122" i="11" s="1"/>
  <c r="CB121" i="11"/>
  <c r="CA121" i="11"/>
  <c r="AI121" i="11"/>
  <c r="AH121" i="11"/>
  <c r="AE121" i="11"/>
  <c r="AD121" i="11"/>
  <c r="AA121" i="11"/>
  <c r="Z121" i="11"/>
  <c r="Y121" i="11"/>
  <c r="X121" i="11"/>
  <c r="R121" i="11"/>
  <c r="Q121" i="11"/>
  <c r="O121" i="11"/>
  <c r="AV121" i="11" s="1"/>
  <c r="M121" i="11"/>
  <c r="L121" i="11"/>
  <c r="K121" i="11"/>
  <c r="AC121" i="11" s="1"/>
  <c r="J121" i="11"/>
  <c r="AB121" i="11" s="1"/>
  <c r="I121" i="11"/>
  <c r="AF121" i="11" s="1"/>
  <c r="F121" i="11"/>
  <c r="W121" i="11" s="1"/>
  <c r="CB120" i="11"/>
  <c r="CA120" i="11"/>
  <c r="AI120" i="11"/>
  <c r="AH120" i="11"/>
  <c r="AE120" i="11"/>
  <c r="AD120" i="11"/>
  <c r="AA120" i="11"/>
  <c r="Z120" i="11"/>
  <c r="Y120" i="11"/>
  <c r="X120" i="11"/>
  <c r="R120" i="11"/>
  <c r="Q120" i="11"/>
  <c r="O120" i="11"/>
  <c r="AV120" i="11" s="1"/>
  <c r="M120" i="11"/>
  <c r="L120" i="11"/>
  <c r="K120" i="11"/>
  <c r="AC120" i="11" s="1"/>
  <c r="J120" i="11"/>
  <c r="AB120" i="11" s="1"/>
  <c r="I120" i="11"/>
  <c r="AF120" i="11" s="1"/>
  <c r="F120" i="11"/>
  <c r="W120" i="11" s="1"/>
  <c r="CB119" i="11"/>
  <c r="CA119" i="11"/>
  <c r="AI119" i="11"/>
  <c r="AH119" i="11"/>
  <c r="AE119" i="11"/>
  <c r="AD119" i="11"/>
  <c r="AA119" i="11"/>
  <c r="Z119" i="11"/>
  <c r="Y119" i="11"/>
  <c r="X119" i="11"/>
  <c r="R119" i="11"/>
  <c r="Q119" i="11"/>
  <c r="O119" i="11"/>
  <c r="AV119" i="11" s="1"/>
  <c r="M119" i="11"/>
  <c r="L119" i="11"/>
  <c r="K119" i="11"/>
  <c r="AC119" i="11" s="1"/>
  <c r="J119" i="11"/>
  <c r="AB119" i="11" s="1"/>
  <c r="I119" i="11"/>
  <c r="AF119" i="11" s="1"/>
  <c r="F119" i="11"/>
  <c r="W119" i="11" s="1"/>
  <c r="CB118" i="11"/>
  <c r="CA118" i="11"/>
  <c r="AI118" i="11"/>
  <c r="AH118" i="11"/>
  <c r="AE118" i="11"/>
  <c r="AD118" i="11"/>
  <c r="AA118" i="11"/>
  <c r="Z118" i="11"/>
  <c r="Y118" i="11"/>
  <c r="X118" i="11"/>
  <c r="R118" i="11"/>
  <c r="Q118" i="11"/>
  <c r="O118" i="11"/>
  <c r="AV118" i="11" s="1"/>
  <c r="M118" i="11"/>
  <c r="L118" i="11"/>
  <c r="K118" i="11"/>
  <c r="AC118" i="11" s="1"/>
  <c r="J118" i="11"/>
  <c r="AB118" i="11" s="1"/>
  <c r="I118" i="11"/>
  <c r="AF118" i="11" s="1"/>
  <c r="F118" i="11"/>
  <c r="W118" i="11" s="1"/>
  <c r="CB117" i="11"/>
  <c r="AI117" i="11" s="1"/>
  <c r="CA117" i="11"/>
  <c r="AH117" i="11" s="1"/>
  <c r="BU117" i="11"/>
  <c r="BK117" i="11"/>
  <c r="BJ117" i="11"/>
  <c r="BI117" i="11"/>
  <c r="BD117" i="11"/>
  <c r="AS117" i="11"/>
  <c r="AE117" i="11"/>
  <c r="AD117" i="11"/>
  <c r="AA117" i="11"/>
  <c r="Z117" i="11"/>
  <c r="Y117" i="11"/>
  <c r="X117" i="11"/>
  <c r="R117" i="11"/>
  <c r="Q117" i="11"/>
  <c r="P117" i="11"/>
  <c r="O117" i="11"/>
  <c r="AV117" i="11" s="1"/>
  <c r="N117" i="11"/>
  <c r="M117" i="11"/>
  <c r="L117" i="11"/>
  <c r="K117" i="11"/>
  <c r="AC117" i="11" s="1"/>
  <c r="J117" i="11"/>
  <c r="AB117" i="11" s="1"/>
  <c r="I117" i="11"/>
  <c r="AF117" i="11" s="1"/>
  <c r="F117" i="11"/>
  <c r="W117" i="11" s="1"/>
  <c r="CB116" i="11"/>
  <c r="CA116" i="11"/>
  <c r="AI116" i="11"/>
  <c r="AH116" i="11"/>
  <c r="AE116" i="11"/>
  <c r="AD116" i="11"/>
  <c r="AA116" i="11"/>
  <c r="Z116" i="11"/>
  <c r="Y116" i="11"/>
  <c r="X116" i="11"/>
  <c r="R116" i="11"/>
  <c r="Q116" i="11"/>
  <c r="O116" i="11"/>
  <c r="AV116" i="11" s="1"/>
  <c r="M116" i="11"/>
  <c r="L116" i="11"/>
  <c r="K116" i="11"/>
  <c r="AC116" i="11" s="1"/>
  <c r="J116" i="11"/>
  <c r="AB116" i="11" s="1"/>
  <c r="I116" i="11"/>
  <c r="AF116" i="11" s="1"/>
  <c r="F116" i="11"/>
  <c r="W116" i="11" s="1"/>
  <c r="CB115" i="11"/>
  <c r="CA115" i="11"/>
  <c r="AI115" i="11"/>
  <c r="AH115" i="11"/>
  <c r="AE115" i="11"/>
  <c r="AD115" i="11"/>
  <c r="AA115" i="11"/>
  <c r="Z115" i="11"/>
  <c r="Y115" i="11"/>
  <c r="X115" i="11"/>
  <c r="R115" i="11"/>
  <c r="Q115" i="11"/>
  <c r="O115" i="11"/>
  <c r="AV115" i="11" s="1"/>
  <c r="M115" i="11"/>
  <c r="L115" i="11"/>
  <c r="K115" i="11"/>
  <c r="AC115" i="11" s="1"/>
  <c r="J115" i="11"/>
  <c r="AB115" i="11" s="1"/>
  <c r="I115" i="11"/>
  <c r="AF115" i="11" s="1"/>
  <c r="F115" i="11"/>
  <c r="W115" i="11" s="1"/>
  <c r="CB114" i="11"/>
  <c r="CA114" i="11"/>
  <c r="AI114" i="11"/>
  <c r="AH114" i="11"/>
  <c r="AE114" i="11"/>
  <c r="AD114" i="11"/>
  <c r="AA114" i="11"/>
  <c r="Z114" i="11"/>
  <c r="Y114" i="11"/>
  <c r="X114" i="11"/>
  <c r="R114" i="11"/>
  <c r="Q114" i="11"/>
  <c r="O114" i="11"/>
  <c r="AV114" i="11" s="1"/>
  <c r="M114" i="11"/>
  <c r="L114" i="11"/>
  <c r="K114" i="11"/>
  <c r="AC114" i="11" s="1"/>
  <c r="J114" i="11"/>
  <c r="AB114" i="11" s="1"/>
  <c r="I114" i="11"/>
  <c r="AF114" i="11" s="1"/>
  <c r="F114" i="11"/>
  <c r="W114" i="11" s="1"/>
  <c r="CB113" i="11"/>
  <c r="CA113" i="11"/>
  <c r="AI113" i="11"/>
  <c r="AH113" i="11"/>
  <c r="AE113" i="11"/>
  <c r="AD113" i="11"/>
  <c r="AA113" i="11"/>
  <c r="Z113" i="11"/>
  <c r="Y113" i="11"/>
  <c r="X113" i="11"/>
  <c r="R113" i="11"/>
  <c r="Q113" i="11"/>
  <c r="O113" i="11"/>
  <c r="AV113" i="11" s="1"/>
  <c r="M113" i="11"/>
  <c r="L113" i="11"/>
  <c r="K113" i="11"/>
  <c r="AC113" i="11" s="1"/>
  <c r="J113" i="11"/>
  <c r="AB113" i="11" s="1"/>
  <c r="I113" i="11"/>
  <c r="AF113" i="11" s="1"/>
  <c r="F113" i="11"/>
  <c r="W113" i="11" s="1"/>
  <c r="CB112" i="11"/>
  <c r="CA112" i="11"/>
  <c r="AI112" i="11"/>
  <c r="AH112" i="11"/>
  <c r="AE112" i="11"/>
  <c r="AD112" i="11"/>
  <c r="AA112" i="11"/>
  <c r="Z112" i="11"/>
  <c r="Y112" i="11"/>
  <c r="X112" i="11"/>
  <c r="R112" i="11"/>
  <c r="Q112" i="11"/>
  <c r="O112" i="11"/>
  <c r="AV112" i="11" s="1"/>
  <c r="M112" i="11"/>
  <c r="L112" i="11"/>
  <c r="K112" i="11"/>
  <c r="AC112" i="11" s="1"/>
  <c r="J112" i="11"/>
  <c r="AB112" i="11" s="1"/>
  <c r="I112" i="11"/>
  <c r="AF112" i="11" s="1"/>
  <c r="F112" i="11"/>
  <c r="W112" i="11" s="1"/>
  <c r="CB111" i="11"/>
  <c r="AI111" i="11" s="1"/>
  <c r="CA111" i="11"/>
  <c r="AH111" i="11" s="1"/>
  <c r="BU111" i="11"/>
  <c r="AE111" i="11"/>
  <c r="AD111" i="11"/>
  <c r="AA111" i="11"/>
  <c r="Z111" i="11"/>
  <c r="Y111" i="11"/>
  <c r="X111" i="11"/>
  <c r="R111" i="11"/>
  <c r="Q111" i="11"/>
  <c r="O111" i="11"/>
  <c r="AV111" i="11" s="1"/>
  <c r="M111" i="11"/>
  <c r="L111" i="11"/>
  <c r="K111" i="11"/>
  <c r="AC111" i="11" s="1"/>
  <c r="J111" i="11"/>
  <c r="AB111" i="11" s="1"/>
  <c r="I111" i="11"/>
  <c r="AF111" i="11" s="1"/>
  <c r="F111" i="11"/>
  <c r="W111" i="11" s="1"/>
  <c r="CB110" i="11"/>
  <c r="CA110" i="11"/>
  <c r="BX110" i="11"/>
  <c r="AI110" i="11"/>
  <c r="AH110" i="11"/>
  <c r="AE110" i="11"/>
  <c r="AD110" i="11"/>
  <c r="AA110" i="11"/>
  <c r="Z110" i="11"/>
  <c r="Y110" i="11"/>
  <c r="X110" i="11"/>
  <c r="R110" i="11"/>
  <c r="Q110" i="11"/>
  <c r="O110" i="11"/>
  <c r="AV110" i="11" s="1"/>
  <c r="M110" i="11"/>
  <c r="L110" i="11"/>
  <c r="K110" i="11"/>
  <c r="AC110" i="11" s="1"/>
  <c r="J110" i="11"/>
  <c r="AB110" i="11" s="1"/>
  <c r="I110" i="11"/>
  <c r="AF110" i="11" s="1"/>
  <c r="F110" i="11"/>
  <c r="W110" i="11" s="1"/>
  <c r="CB109" i="11"/>
  <c r="CA109" i="11"/>
  <c r="BX109" i="11"/>
  <c r="AI109" i="11"/>
  <c r="AH109" i="11"/>
  <c r="AE109" i="11"/>
  <c r="AD109" i="11"/>
  <c r="AA109" i="11"/>
  <c r="Z109" i="11"/>
  <c r="Y109" i="11"/>
  <c r="X109" i="11"/>
  <c r="R109" i="11"/>
  <c r="Q109" i="11"/>
  <c r="O109" i="11"/>
  <c r="AV109" i="11" s="1"/>
  <c r="M109" i="11"/>
  <c r="L109" i="11"/>
  <c r="K109" i="11"/>
  <c r="AC109" i="11" s="1"/>
  <c r="J109" i="11"/>
  <c r="AB109" i="11" s="1"/>
  <c r="I109" i="11"/>
  <c r="AF109" i="11" s="1"/>
  <c r="F109" i="11"/>
  <c r="W109" i="11" s="1"/>
  <c r="CB108" i="11"/>
  <c r="CA108" i="11"/>
  <c r="BX108" i="11"/>
  <c r="AI108" i="11"/>
  <c r="AH108" i="11"/>
  <c r="AG108" i="11"/>
  <c r="AE108" i="11"/>
  <c r="AD108" i="11"/>
  <c r="AA108" i="11"/>
  <c r="Z108" i="11"/>
  <c r="Y108" i="11"/>
  <c r="X108" i="11"/>
  <c r="R108" i="11"/>
  <c r="Q108" i="11"/>
  <c r="O108" i="11"/>
  <c r="AV108" i="11" s="1"/>
  <c r="M108" i="11"/>
  <c r="L108" i="11"/>
  <c r="K108" i="11"/>
  <c r="AC108" i="11" s="1"/>
  <c r="J108" i="11"/>
  <c r="AB108" i="11" s="1"/>
  <c r="I108" i="11"/>
  <c r="AF108" i="11" s="1"/>
  <c r="F108" i="11"/>
  <c r="W108" i="11" s="1"/>
  <c r="CB107" i="11"/>
  <c r="CA107" i="11"/>
  <c r="BX107" i="11"/>
  <c r="AI107" i="11"/>
  <c r="AH107" i="11"/>
  <c r="AG107" i="11"/>
  <c r="AE107" i="11"/>
  <c r="AD107" i="11"/>
  <c r="AA107" i="11"/>
  <c r="Z107" i="11"/>
  <c r="Y107" i="11"/>
  <c r="X107" i="11"/>
  <c r="R107" i="11"/>
  <c r="Q107" i="11"/>
  <c r="O107" i="11"/>
  <c r="AV107" i="11" s="1"/>
  <c r="M107" i="11"/>
  <c r="L107" i="11"/>
  <c r="K107" i="11"/>
  <c r="AC107" i="11" s="1"/>
  <c r="J107" i="11"/>
  <c r="AB107" i="11" s="1"/>
  <c r="I107" i="11"/>
  <c r="AF107" i="11" s="1"/>
  <c r="F107" i="11"/>
  <c r="W107" i="11" s="1"/>
  <c r="CB106" i="11"/>
  <c r="CA106" i="11"/>
  <c r="BX106" i="11"/>
  <c r="BU106" i="11"/>
  <c r="BK106" i="11"/>
  <c r="BJ106" i="11"/>
  <c r="BI106" i="11"/>
  <c r="BD106" i="11"/>
  <c r="AS106" i="11"/>
  <c r="AL106" i="11"/>
  <c r="AK106" i="11"/>
  <c r="AJ106" i="11"/>
  <c r="AI106" i="11"/>
  <c r="AH106" i="11"/>
  <c r="AG106" i="11"/>
  <c r="AE106" i="11"/>
  <c r="AD106" i="11"/>
  <c r="AA106" i="11"/>
  <c r="Z106" i="11"/>
  <c r="Y106" i="11"/>
  <c r="X106" i="11"/>
  <c r="R106" i="11"/>
  <c r="Q106" i="11"/>
  <c r="O106" i="11"/>
  <c r="AV106" i="11" s="1"/>
  <c r="N106" i="11"/>
  <c r="M106" i="11"/>
  <c r="L106" i="11"/>
  <c r="K106" i="11"/>
  <c r="AC106" i="11" s="1"/>
  <c r="J106" i="11"/>
  <c r="AB106" i="11" s="1"/>
  <c r="I106" i="11"/>
  <c r="AF106" i="11" s="1"/>
  <c r="F106" i="11"/>
  <c r="W106" i="11" s="1"/>
  <c r="CB105" i="11"/>
  <c r="CA105" i="11"/>
  <c r="BX105" i="11"/>
  <c r="AI105" i="11"/>
  <c r="AH105" i="11"/>
  <c r="AG105" i="11"/>
  <c r="AE105" i="11"/>
  <c r="AD105" i="11"/>
  <c r="AA105" i="11"/>
  <c r="Z105" i="11"/>
  <c r="Y105" i="11"/>
  <c r="X105" i="11"/>
  <c r="R105" i="11"/>
  <c r="Q105" i="11"/>
  <c r="O105" i="11"/>
  <c r="AV105" i="11" s="1"/>
  <c r="M105" i="11"/>
  <c r="L105" i="11"/>
  <c r="K105" i="11"/>
  <c r="AC105" i="11" s="1"/>
  <c r="J105" i="11"/>
  <c r="AB105" i="11" s="1"/>
  <c r="I105" i="11"/>
  <c r="AF105" i="11" s="1"/>
  <c r="F105" i="11"/>
  <c r="W105" i="11" s="1"/>
  <c r="CB104" i="11"/>
  <c r="CA104" i="11"/>
  <c r="AI104" i="11"/>
  <c r="AH104" i="11"/>
  <c r="AG104" i="11"/>
  <c r="AE104" i="11"/>
  <c r="AD104" i="11"/>
  <c r="AA104" i="11"/>
  <c r="Z104" i="11"/>
  <c r="Y104" i="11"/>
  <c r="X104" i="11"/>
  <c r="R104" i="11"/>
  <c r="Q104" i="11"/>
  <c r="O104" i="11"/>
  <c r="AV104" i="11" s="1"/>
  <c r="M104" i="11"/>
  <c r="L104" i="11"/>
  <c r="K104" i="11"/>
  <c r="AC104" i="11" s="1"/>
  <c r="J104" i="11"/>
  <c r="AB104" i="11" s="1"/>
  <c r="I104" i="11"/>
  <c r="AF104" i="11" s="1"/>
  <c r="F104" i="11"/>
  <c r="W104" i="11" s="1"/>
  <c r="CB103" i="11"/>
  <c r="CA103" i="11"/>
  <c r="AI103" i="11"/>
  <c r="AH103" i="11"/>
  <c r="AG103" i="11"/>
  <c r="AE103" i="11"/>
  <c r="AD103" i="11"/>
  <c r="AA103" i="11"/>
  <c r="Z103" i="11"/>
  <c r="Y103" i="11"/>
  <c r="X103" i="11"/>
  <c r="R103" i="11"/>
  <c r="Q103" i="11"/>
  <c r="O103" i="11"/>
  <c r="AV103" i="11" s="1"/>
  <c r="M103" i="11"/>
  <c r="L103" i="11"/>
  <c r="K103" i="11"/>
  <c r="AC103" i="11" s="1"/>
  <c r="J103" i="11"/>
  <c r="AB103" i="11" s="1"/>
  <c r="I103" i="11"/>
  <c r="AF103" i="11" s="1"/>
  <c r="F103" i="11"/>
  <c r="W103" i="11" s="1"/>
  <c r="CB102" i="11"/>
  <c r="CA102" i="11"/>
  <c r="AI102" i="11"/>
  <c r="AH102" i="11"/>
  <c r="AG102" i="11"/>
  <c r="AE102" i="11"/>
  <c r="AD102" i="11"/>
  <c r="AA102" i="11"/>
  <c r="Z102" i="11"/>
  <c r="Y102" i="11"/>
  <c r="X102" i="11"/>
  <c r="R102" i="11"/>
  <c r="Q102" i="11"/>
  <c r="O102" i="11"/>
  <c r="AV102" i="11" s="1"/>
  <c r="M102" i="11"/>
  <c r="L102" i="11"/>
  <c r="K102" i="11"/>
  <c r="AC102" i="11" s="1"/>
  <c r="J102" i="11"/>
  <c r="AB102" i="11" s="1"/>
  <c r="I102" i="11"/>
  <c r="AF102" i="11" s="1"/>
  <c r="F102" i="11"/>
  <c r="W102" i="11" s="1"/>
  <c r="CB101" i="11"/>
  <c r="CA101" i="11"/>
  <c r="AI101" i="11"/>
  <c r="AH101" i="11"/>
  <c r="AG101" i="11"/>
  <c r="AE101" i="11"/>
  <c r="AD101" i="11"/>
  <c r="AA101" i="11"/>
  <c r="Z101" i="11"/>
  <c r="Y101" i="11"/>
  <c r="X101" i="11"/>
  <c r="R101" i="11"/>
  <c r="Q101" i="11"/>
  <c r="O101" i="11"/>
  <c r="AV101" i="11" s="1"/>
  <c r="M101" i="11"/>
  <c r="L101" i="11"/>
  <c r="K101" i="11"/>
  <c r="AC101" i="11" s="1"/>
  <c r="J101" i="11"/>
  <c r="AB101" i="11" s="1"/>
  <c r="I101" i="11"/>
  <c r="AF101" i="11" s="1"/>
  <c r="F101" i="11"/>
  <c r="W101" i="11" s="1"/>
  <c r="CB100" i="11"/>
  <c r="AI100" i="11" s="1"/>
  <c r="CA100" i="11"/>
  <c r="AH100" i="11" s="1"/>
  <c r="BU100" i="11"/>
  <c r="BK100" i="11"/>
  <c r="AE100" i="11"/>
  <c r="AD100" i="11"/>
  <c r="AA100" i="11"/>
  <c r="Z100" i="11"/>
  <c r="Y100" i="11"/>
  <c r="X100" i="11"/>
  <c r="R100" i="11"/>
  <c r="Q100" i="11"/>
  <c r="O100" i="11"/>
  <c r="AV100" i="11" s="1"/>
  <c r="M100" i="11"/>
  <c r="L100" i="11"/>
  <c r="K100" i="11"/>
  <c r="AC100" i="11" s="1"/>
  <c r="J100" i="11"/>
  <c r="AB100" i="11" s="1"/>
  <c r="I100" i="11"/>
  <c r="AF100" i="11" s="1"/>
  <c r="F100" i="11"/>
  <c r="W100" i="11" s="1"/>
  <c r="CB99" i="11"/>
  <c r="CA99" i="11"/>
  <c r="AI99" i="11"/>
  <c r="AH99" i="11"/>
  <c r="AG99" i="11"/>
  <c r="AE99" i="11"/>
  <c r="AD99" i="11"/>
  <c r="AA99" i="11"/>
  <c r="Z99" i="11"/>
  <c r="Y99" i="11"/>
  <c r="X99" i="11"/>
  <c r="Q99" i="11"/>
  <c r="O99" i="11"/>
  <c r="AV99" i="11" s="1"/>
  <c r="M99" i="11"/>
  <c r="L99" i="11"/>
  <c r="K99" i="11"/>
  <c r="AC99" i="11" s="1"/>
  <c r="J99" i="11"/>
  <c r="AB99" i="11" s="1"/>
  <c r="I99" i="11"/>
  <c r="AF99" i="11" s="1"/>
  <c r="F99" i="11"/>
  <c r="W99" i="11" s="1"/>
  <c r="CB98" i="11"/>
  <c r="CA98" i="11"/>
  <c r="BX98" i="11"/>
  <c r="M2" i="12" s="1"/>
  <c r="AI98" i="11"/>
  <c r="AH98" i="11"/>
  <c r="AG98" i="11"/>
  <c r="AE98" i="11"/>
  <c r="AD98" i="11"/>
  <c r="AA98" i="11"/>
  <c r="Z98" i="11"/>
  <c r="Y98" i="11"/>
  <c r="X98" i="11"/>
  <c r="R98" i="11"/>
  <c r="Q98" i="11"/>
  <c r="O98" i="11"/>
  <c r="AV98" i="11" s="1"/>
  <c r="M98" i="11"/>
  <c r="L98" i="11"/>
  <c r="K98" i="11"/>
  <c r="AC98" i="11" s="1"/>
  <c r="J98" i="11"/>
  <c r="AB98" i="11" s="1"/>
  <c r="I98" i="11"/>
  <c r="AF98" i="11" s="1"/>
  <c r="F98" i="11"/>
  <c r="W98" i="11" s="1"/>
  <c r="CB97" i="11"/>
  <c r="CA97" i="11"/>
  <c r="AI97" i="11"/>
  <c r="AH97" i="11"/>
  <c r="AG97" i="11"/>
  <c r="AE97" i="11"/>
  <c r="AD97" i="11"/>
  <c r="AA97" i="11"/>
  <c r="Z97" i="11"/>
  <c r="Y97" i="11"/>
  <c r="X97" i="11"/>
  <c r="Q97" i="11"/>
  <c r="O97" i="11"/>
  <c r="AV97" i="11" s="1"/>
  <c r="M97" i="11"/>
  <c r="L97" i="11"/>
  <c r="K97" i="11"/>
  <c r="AC97" i="11" s="1"/>
  <c r="J97" i="11"/>
  <c r="AB97" i="11" s="1"/>
  <c r="I97" i="11"/>
  <c r="AF97" i="11" s="1"/>
  <c r="F97" i="11"/>
  <c r="W97" i="11" s="1"/>
  <c r="CB96" i="11"/>
  <c r="CA96" i="11"/>
  <c r="AI96" i="11"/>
  <c r="AH96" i="11"/>
  <c r="AG96" i="11"/>
  <c r="AE96" i="11"/>
  <c r="AD96" i="11"/>
  <c r="AA96" i="11"/>
  <c r="Z96" i="11"/>
  <c r="Y96" i="11"/>
  <c r="X96" i="11"/>
  <c r="R96" i="11"/>
  <c r="Q96" i="11"/>
  <c r="O96" i="11"/>
  <c r="AV96" i="11" s="1"/>
  <c r="M96" i="11"/>
  <c r="L96" i="11"/>
  <c r="K96" i="11"/>
  <c r="AC96" i="11" s="1"/>
  <c r="J96" i="11"/>
  <c r="AB96" i="11" s="1"/>
  <c r="I96" i="11"/>
  <c r="AF96" i="11" s="1"/>
  <c r="F96" i="11"/>
  <c r="W96" i="11" s="1"/>
  <c r="CB95" i="11"/>
  <c r="CA95" i="11"/>
  <c r="BU95" i="11"/>
  <c r="BK95" i="11"/>
  <c r="BJ95" i="11"/>
  <c r="BI95" i="11"/>
  <c r="BD95" i="11"/>
  <c r="AS95" i="11"/>
  <c r="AL95" i="11"/>
  <c r="AK95" i="11"/>
  <c r="AJ95" i="11"/>
  <c r="AI95" i="11"/>
  <c r="AH95" i="11"/>
  <c r="AG95" i="11"/>
  <c r="AE95" i="11"/>
  <c r="AD95" i="11"/>
  <c r="AA95" i="11"/>
  <c r="Z95" i="11"/>
  <c r="Y95" i="11"/>
  <c r="X95" i="11"/>
  <c r="R95" i="11"/>
  <c r="Q95" i="11"/>
  <c r="P95" i="11"/>
  <c r="O95" i="11"/>
  <c r="AV95" i="11" s="1"/>
  <c r="N95" i="11"/>
  <c r="M95" i="11"/>
  <c r="L95" i="11"/>
  <c r="K95" i="11"/>
  <c r="AC95" i="11" s="1"/>
  <c r="J95" i="11"/>
  <c r="AB95" i="11" s="1"/>
  <c r="I95" i="11"/>
  <c r="AF95" i="11" s="1"/>
  <c r="F95" i="11"/>
  <c r="W95" i="11" s="1"/>
  <c r="CB94" i="11"/>
  <c r="CA94" i="11"/>
  <c r="AI94" i="11"/>
  <c r="AH94" i="11"/>
  <c r="AG94" i="11"/>
  <c r="AE94" i="11"/>
  <c r="AD94" i="11"/>
  <c r="AA94" i="11"/>
  <c r="Z94" i="11"/>
  <c r="Y94" i="11"/>
  <c r="X94" i="11"/>
  <c r="R94" i="11"/>
  <c r="Q94" i="11"/>
  <c r="O94" i="11"/>
  <c r="AV94" i="11" s="1"/>
  <c r="M94" i="11"/>
  <c r="L94" i="11"/>
  <c r="K94" i="11"/>
  <c r="AC94" i="11" s="1"/>
  <c r="J94" i="11"/>
  <c r="AB94" i="11" s="1"/>
  <c r="I94" i="11"/>
  <c r="AF94" i="11" s="1"/>
  <c r="F94" i="11"/>
  <c r="W94" i="11" s="1"/>
  <c r="CB93" i="11"/>
  <c r="CA93" i="11"/>
  <c r="AI93" i="11"/>
  <c r="AH93" i="11"/>
  <c r="AG93" i="11"/>
  <c r="AE93" i="11"/>
  <c r="AD93" i="11"/>
  <c r="AA93" i="11"/>
  <c r="Z93" i="11"/>
  <c r="Y93" i="11"/>
  <c r="X93" i="11"/>
  <c r="Q93" i="11"/>
  <c r="O93" i="11"/>
  <c r="AV93" i="11" s="1"/>
  <c r="M93" i="11"/>
  <c r="L93" i="11"/>
  <c r="K93" i="11"/>
  <c r="AC93" i="11" s="1"/>
  <c r="J93" i="11"/>
  <c r="AB93" i="11" s="1"/>
  <c r="I93" i="11"/>
  <c r="AF93" i="11" s="1"/>
  <c r="F93" i="11"/>
  <c r="W93" i="11" s="1"/>
  <c r="CB92" i="11"/>
  <c r="CA92" i="11"/>
  <c r="AI92" i="11"/>
  <c r="AH92" i="11"/>
  <c r="AG92" i="11"/>
  <c r="AE92" i="11"/>
  <c r="AD92" i="11"/>
  <c r="AA92" i="11"/>
  <c r="Z92" i="11"/>
  <c r="Y92" i="11"/>
  <c r="X92" i="11"/>
  <c r="R92" i="11"/>
  <c r="Q92" i="11"/>
  <c r="O92" i="11"/>
  <c r="AV92" i="11" s="1"/>
  <c r="M92" i="11"/>
  <c r="L92" i="11"/>
  <c r="K92" i="11"/>
  <c r="AC92" i="11" s="1"/>
  <c r="J92" i="11"/>
  <c r="AB92" i="11" s="1"/>
  <c r="I92" i="11"/>
  <c r="AF92" i="11" s="1"/>
  <c r="F92" i="11"/>
  <c r="W92" i="11" s="1"/>
  <c r="CB91" i="11"/>
  <c r="CA91" i="11"/>
  <c r="BX91" i="11"/>
  <c r="AI91" i="11"/>
  <c r="AH91" i="11"/>
  <c r="AG91" i="11"/>
  <c r="AE91" i="11"/>
  <c r="AD91" i="11"/>
  <c r="AA91" i="11"/>
  <c r="Z91" i="11"/>
  <c r="Y91" i="11"/>
  <c r="X91" i="11"/>
  <c r="Q91" i="11"/>
  <c r="O91" i="11"/>
  <c r="AV91" i="11" s="1"/>
  <c r="M91" i="11"/>
  <c r="L91" i="11"/>
  <c r="K91" i="11"/>
  <c r="AC91" i="11" s="1"/>
  <c r="J91" i="11"/>
  <c r="AB91" i="11" s="1"/>
  <c r="I91" i="11"/>
  <c r="AF91" i="11" s="1"/>
  <c r="F91" i="11"/>
  <c r="W91" i="11" s="1"/>
  <c r="CB90" i="11"/>
  <c r="CA90" i="11"/>
  <c r="AI90" i="11"/>
  <c r="AH90" i="11"/>
  <c r="AG90" i="11"/>
  <c r="AE90" i="11"/>
  <c r="AD90" i="11"/>
  <c r="AA90" i="11"/>
  <c r="Z90" i="11"/>
  <c r="Y90" i="11"/>
  <c r="X90" i="11"/>
  <c r="R90" i="11"/>
  <c r="Q90" i="11"/>
  <c r="O90" i="11"/>
  <c r="AV90" i="11" s="1"/>
  <c r="M90" i="11"/>
  <c r="L90" i="11"/>
  <c r="K90" i="11"/>
  <c r="AC90" i="11" s="1"/>
  <c r="J90" i="11"/>
  <c r="AB90" i="11" s="1"/>
  <c r="I90" i="11"/>
  <c r="AF90" i="11" s="1"/>
  <c r="F90" i="11"/>
  <c r="W90" i="11" s="1"/>
  <c r="CB89" i="11"/>
  <c r="AI89" i="11" s="1"/>
  <c r="CA89" i="11"/>
  <c r="AH89" i="11" s="1"/>
  <c r="BU89" i="11"/>
  <c r="BK89" i="11"/>
  <c r="BJ89" i="11"/>
  <c r="BI89" i="11"/>
  <c r="AE89" i="11"/>
  <c r="AD89" i="11"/>
  <c r="AA89" i="11"/>
  <c r="Z89" i="11"/>
  <c r="Y89" i="11"/>
  <c r="X89" i="11"/>
  <c r="R89" i="11"/>
  <c r="Q89" i="11"/>
  <c r="O89" i="11"/>
  <c r="AV89" i="11" s="1"/>
  <c r="M89" i="11"/>
  <c r="L89" i="11"/>
  <c r="K89" i="11"/>
  <c r="AC89" i="11" s="1"/>
  <c r="J89" i="11"/>
  <c r="AB89" i="11" s="1"/>
  <c r="I89" i="11"/>
  <c r="AF89" i="11" s="1"/>
  <c r="F89" i="11"/>
  <c r="W89" i="11" s="1"/>
  <c r="CB88" i="11"/>
  <c r="CA88" i="11"/>
  <c r="AI88" i="11"/>
  <c r="AH88" i="11"/>
  <c r="AG88" i="11"/>
  <c r="AE88" i="11"/>
  <c r="AD88" i="11"/>
  <c r="AA88" i="11"/>
  <c r="Z88" i="11"/>
  <c r="Y88" i="11"/>
  <c r="X88" i="11"/>
  <c r="Q88" i="11"/>
  <c r="O88" i="11"/>
  <c r="AV88" i="11" s="1"/>
  <c r="M88" i="11"/>
  <c r="L88" i="11"/>
  <c r="K88" i="11"/>
  <c r="AC88" i="11" s="1"/>
  <c r="J88" i="11"/>
  <c r="AB88" i="11" s="1"/>
  <c r="I88" i="11"/>
  <c r="AF88" i="11" s="1"/>
  <c r="F88" i="11"/>
  <c r="W88" i="11" s="1"/>
  <c r="CB87" i="11"/>
  <c r="CA87" i="11"/>
  <c r="AI87" i="11"/>
  <c r="AH87" i="11"/>
  <c r="AG87" i="11"/>
  <c r="AE87" i="11"/>
  <c r="AD87" i="11"/>
  <c r="AA87" i="11"/>
  <c r="Z87" i="11"/>
  <c r="Y87" i="11"/>
  <c r="X87" i="11"/>
  <c r="R87" i="11"/>
  <c r="Q87" i="11"/>
  <c r="O87" i="11"/>
  <c r="AV87" i="11" s="1"/>
  <c r="M87" i="11"/>
  <c r="L87" i="11"/>
  <c r="K87" i="11"/>
  <c r="AC87" i="11" s="1"/>
  <c r="J87" i="11"/>
  <c r="AB87" i="11" s="1"/>
  <c r="I87" i="11"/>
  <c r="AF87" i="11" s="1"/>
  <c r="F87" i="11"/>
  <c r="W87" i="11" s="1"/>
  <c r="CB86" i="11"/>
  <c r="CA86" i="11"/>
  <c r="AI86" i="11"/>
  <c r="AH86" i="11"/>
  <c r="AG86" i="11"/>
  <c r="AE86" i="11"/>
  <c r="AD86" i="11"/>
  <c r="AA86" i="11"/>
  <c r="Z86" i="11"/>
  <c r="Y86" i="11"/>
  <c r="X86" i="11"/>
  <c r="R86" i="11"/>
  <c r="Q86" i="11"/>
  <c r="O86" i="11"/>
  <c r="AV86" i="11" s="1"/>
  <c r="M86" i="11"/>
  <c r="L86" i="11"/>
  <c r="K86" i="11"/>
  <c r="AC86" i="11" s="1"/>
  <c r="J86" i="11"/>
  <c r="AB86" i="11" s="1"/>
  <c r="I86" i="11"/>
  <c r="AF86" i="11" s="1"/>
  <c r="F86" i="11"/>
  <c r="W86" i="11" s="1"/>
  <c r="CB85" i="11"/>
  <c r="CA85" i="11"/>
  <c r="AI85" i="11"/>
  <c r="AH85" i="11"/>
  <c r="AG85" i="11"/>
  <c r="AE85" i="11"/>
  <c r="AD85" i="11"/>
  <c r="AA85" i="11"/>
  <c r="Z85" i="11"/>
  <c r="Y85" i="11"/>
  <c r="X85" i="11"/>
  <c r="R85" i="11"/>
  <c r="Q85" i="11"/>
  <c r="O85" i="11"/>
  <c r="AV85" i="11" s="1"/>
  <c r="M85" i="11"/>
  <c r="L85" i="11"/>
  <c r="K85" i="11"/>
  <c r="AC85" i="11" s="1"/>
  <c r="J85" i="11"/>
  <c r="AB85" i="11" s="1"/>
  <c r="I85" i="11"/>
  <c r="AF85" i="11" s="1"/>
  <c r="F85" i="11"/>
  <c r="W85" i="11" s="1"/>
  <c r="CB84" i="11"/>
  <c r="CA84" i="11"/>
  <c r="BX84" i="11"/>
  <c r="AV84" i="11"/>
  <c r="AI84" i="11"/>
  <c r="AH84" i="11"/>
  <c r="AG84" i="11"/>
  <c r="AF84" i="11"/>
  <c r="AE84" i="11"/>
  <c r="AD84" i="11"/>
  <c r="AC84" i="11"/>
  <c r="AB84" i="11"/>
  <c r="AA84" i="11"/>
  <c r="Z84" i="11"/>
  <c r="Y84" i="11"/>
  <c r="X84" i="11"/>
  <c r="W84" i="11"/>
  <c r="O84" i="11"/>
  <c r="M84" i="11"/>
  <c r="L84" i="11"/>
  <c r="K84" i="11"/>
  <c r="J84" i="11"/>
  <c r="I84" i="11"/>
  <c r="F84" i="11"/>
  <c r="CB83" i="11"/>
  <c r="CA83" i="11"/>
  <c r="AI83" i="11"/>
  <c r="AH83" i="11"/>
  <c r="AE83" i="11"/>
  <c r="AD83" i="11"/>
  <c r="AA83" i="11"/>
  <c r="Z83" i="11"/>
  <c r="Y83" i="11"/>
  <c r="X83" i="11"/>
  <c r="R83" i="11"/>
  <c r="Q83" i="11"/>
  <c r="O83" i="11"/>
  <c r="AV83" i="11" s="1"/>
  <c r="M83" i="11"/>
  <c r="L83" i="11"/>
  <c r="K83" i="11"/>
  <c r="AC83" i="11" s="1"/>
  <c r="J83" i="11"/>
  <c r="AB83" i="11" s="1"/>
  <c r="I83" i="11"/>
  <c r="AF83" i="11" s="1"/>
  <c r="F83" i="11"/>
  <c r="W83" i="11" s="1"/>
  <c r="CB82" i="11"/>
  <c r="CA82" i="11"/>
  <c r="AI82" i="11"/>
  <c r="AH82" i="11"/>
  <c r="AE82" i="11"/>
  <c r="AD82" i="11"/>
  <c r="AA82" i="11"/>
  <c r="Z82" i="11"/>
  <c r="Y82" i="11"/>
  <c r="X82" i="11"/>
  <c r="R82" i="11"/>
  <c r="Q82" i="11"/>
  <c r="O82" i="11"/>
  <c r="AV82" i="11" s="1"/>
  <c r="M82" i="11"/>
  <c r="L82" i="11"/>
  <c r="K82" i="11"/>
  <c r="AC82" i="11" s="1"/>
  <c r="J82" i="11"/>
  <c r="AB82" i="11" s="1"/>
  <c r="I82" i="11"/>
  <c r="AF82" i="11" s="1"/>
  <c r="F82" i="11"/>
  <c r="W82" i="11" s="1"/>
  <c r="CB81" i="11"/>
  <c r="CA81" i="11"/>
  <c r="AI81" i="11"/>
  <c r="AH81" i="11"/>
  <c r="AE81" i="11"/>
  <c r="AD81" i="11"/>
  <c r="AA81" i="11"/>
  <c r="Z81" i="11"/>
  <c r="Y81" i="11"/>
  <c r="X81" i="11"/>
  <c r="R81" i="11"/>
  <c r="Q81" i="11"/>
  <c r="O81" i="11"/>
  <c r="AV81" i="11" s="1"/>
  <c r="M81" i="11"/>
  <c r="L81" i="11"/>
  <c r="K81" i="11"/>
  <c r="AC81" i="11" s="1"/>
  <c r="J81" i="11"/>
  <c r="AB81" i="11" s="1"/>
  <c r="I81" i="11"/>
  <c r="AF81" i="11" s="1"/>
  <c r="F81" i="11"/>
  <c r="W81" i="11" s="1"/>
  <c r="CB80" i="11"/>
  <c r="CA80" i="11"/>
  <c r="AI80" i="11"/>
  <c r="AH80" i="11"/>
  <c r="AE80" i="11"/>
  <c r="AD80" i="11"/>
  <c r="AA80" i="11"/>
  <c r="Z80" i="11"/>
  <c r="Y80" i="11"/>
  <c r="X80" i="11"/>
  <c r="R80" i="11"/>
  <c r="Q80" i="11"/>
  <c r="O80" i="11"/>
  <c r="AV80" i="11" s="1"/>
  <c r="M80" i="11"/>
  <c r="L80" i="11"/>
  <c r="K80" i="11"/>
  <c r="AC80" i="11" s="1"/>
  <c r="J80" i="11"/>
  <c r="AB80" i="11" s="1"/>
  <c r="I80" i="11"/>
  <c r="AF80" i="11" s="1"/>
  <c r="F80" i="11"/>
  <c r="W80" i="11" s="1"/>
  <c r="CB79" i="11"/>
  <c r="CA79" i="11"/>
  <c r="AI79" i="11"/>
  <c r="AH79" i="11"/>
  <c r="AE79" i="11"/>
  <c r="AD79" i="11"/>
  <c r="AA79" i="11"/>
  <c r="Z79" i="11"/>
  <c r="Y79" i="11"/>
  <c r="X79" i="11"/>
  <c r="R79" i="11"/>
  <c r="Q79" i="11"/>
  <c r="O79" i="11"/>
  <c r="AV79" i="11" s="1"/>
  <c r="M79" i="11"/>
  <c r="L79" i="11"/>
  <c r="K79" i="11"/>
  <c r="AC79" i="11" s="1"/>
  <c r="J79" i="11"/>
  <c r="AB79" i="11" s="1"/>
  <c r="I79" i="11"/>
  <c r="AF79" i="11" s="1"/>
  <c r="F79" i="11"/>
  <c r="W79" i="11" s="1"/>
  <c r="CB78" i="11"/>
  <c r="AI78" i="11" s="1"/>
  <c r="CA78" i="11"/>
  <c r="AH78" i="11" s="1"/>
  <c r="BU78" i="11"/>
  <c r="BK78" i="11"/>
  <c r="BJ78" i="11"/>
  <c r="BI78" i="11"/>
  <c r="BD78" i="11"/>
  <c r="AE78" i="11"/>
  <c r="AD78" i="11"/>
  <c r="AA78" i="11"/>
  <c r="Z78" i="11"/>
  <c r="Y78" i="11"/>
  <c r="X78" i="11"/>
  <c r="R78" i="11"/>
  <c r="Q78" i="11"/>
  <c r="O78" i="11"/>
  <c r="AV78" i="11" s="1"/>
  <c r="M78" i="11"/>
  <c r="L78" i="11"/>
  <c r="K78" i="11"/>
  <c r="AC78" i="11" s="1"/>
  <c r="J78" i="11"/>
  <c r="AB78" i="11" s="1"/>
  <c r="I78" i="11"/>
  <c r="AF78" i="11" s="1"/>
  <c r="F78" i="11"/>
  <c r="W78" i="11" s="1"/>
  <c r="CB77" i="11"/>
  <c r="CA77" i="11"/>
  <c r="BX77" i="11"/>
  <c r="AI77" i="11"/>
  <c r="AH77" i="11"/>
  <c r="AE77" i="11"/>
  <c r="AD77" i="11"/>
  <c r="AA77" i="11"/>
  <c r="Z77" i="11"/>
  <c r="Y77" i="11"/>
  <c r="X77" i="11"/>
  <c r="R77" i="11"/>
  <c r="Q77" i="11"/>
  <c r="O77" i="11"/>
  <c r="AV77" i="11" s="1"/>
  <c r="M77" i="11"/>
  <c r="L77" i="11"/>
  <c r="K77" i="11"/>
  <c r="AC77" i="11" s="1"/>
  <c r="J77" i="11"/>
  <c r="AB77" i="11" s="1"/>
  <c r="I77" i="11"/>
  <c r="AF77" i="11" s="1"/>
  <c r="F77" i="11"/>
  <c r="W77" i="11" s="1"/>
  <c r="CB76" i="11"/>
  <c r="CA76" i="11"/>
  <c r="AI76" i="11"/>
  <c r="AH76" i="11"/>
  <c r="AE76" i="11"/>
  <c r="AD76" i="11"/>
  <c r="AA76" i="11"/>
  <c r="Z76" i="11"/>
  <c r="Y76" i="11"/>
  <c r="X76" i="11"/>
  <c r="R76" i="11"/>
  <c r="Q76" i="11"/>
  <c r="O76" i="11"/>
  <c r="AV76" i="11" s="1"/>
  <c r="M76" i="11"/>
  <c r="L76" i="11"/>
  <c r="K76" i="11"/>
  <c r="AC76" i="11" s="1"/>
  <c r="J76" i="11"/>
  <c r="AB76" i="11" s="1"/>
  <c r="I76" i="11"/>
  <c r="AF76" i="11" s="1"/>
  <c r="F76" i="11"/>
  <c r="W76" i="11" s="1"/>
  <c r="CB75" i="11"/>
  <c r="CA75" i="11"/>
  <c r="AI75" i="11"/>
  <c r="AH75" i="11"/>
  <c r="AE75" i="11"/>
  <c r="AD75" i="11"/>
  <c r="AA75" i="11"/>
  <c r="Z75" i="11"/>
  <c r="Y75" i="11"/>
  <c r="X75" i="11"/>
  <c r="R75" i="11"/>
  <c r="Q75" i="11"/>
  <c r="O75" i="11"/>
  <c r="AV75" i="11" s="1"/>
  <c r="M75" i="11"/>
  <c r="L75" i="11"/>
  <c r="K75" i="11"/>
  <c r="AC75" i="11" s="1"/>
  <c r="J75" i="11"/>
  <c r="AB75" i="11" s="1"/>
  <c r="I75" i="11"/>
  <c r="AF75" i="11" s="1"/>
  <c r="F75" i="11"/>
  <c r="W75" i="11" s="1"/>
  <c r="CB74" i="11"/>
  <c r="CA74" i="11"/>
  <c r="AI74" i="11"/>
  <c r="AH74" i="11"/>
  <c r="AG74" i="11"/>
  <c r="AE74" i="11"/>
  <c r="AD74" i="11"/>
  <c r="AA74" i="11"/>
  <c r="Z74" i="11"/>
  <c r="Y74" i="11"/>
  <c r="X74" i="11"/>
  <c r="R74" i="11"/>
  <c r="Q74" i="11"/>
  <c r="O74" i="11"/>
  <c r="AV74" i="11" s="1"/>
  <c r="M74" i="11"/>
  <c r="L74" i="11"/>
  <c r="K74" i="11"/>
  <c r="AC74" i="11" s="1"/>
  <c r="J74" i="11"/>
  <c r="AB74" i="11" s="1"/>
  <c r="I74" i="11"/>
  <c r="AF74" i="11" s="1"/>
  <c r="F74" i="11"/>
  <c r="W74" i="11" s="1"/>
  <c r="CB73" i="11"/>
  <c r="CA73" i="11"/>
  <c r="AI73" i="11"/>
  <c r="AH73" i="11"/>
  <c r="AG73" i="11"/>
  <c r="AF73" i="11"/>
  <c r="AE73" i="11"/>
  <c r="AD73" i="11"/>
  <c r="AC73" i="11"/>
  <c r="AB73" i="11"/>
  <c r="AA73" i="11"/>
  <c r="Z73" i="11"/>
  <c r="Y73" i="11"/>
  <c r="X73" i="11"/>
  <c r="W73" i="11"/>
  <c r="R73" i="11"/>
  <c r="Q73" i="11"/>
  <c r="O73" i="11"/>
  <c r="AV73" i="11" s="1"/>
  <c r="M73" i="11"/>
  <c r="L73" i="11"/>
  <c r="K73" i="11"/>
  <c r="J73" i="11"/>
  <c r="I73" i="11"/>
  <c r="F73" i="11"/>
  <c r="CB72" i="11"/>
  <c r="CA72" i="11"/>
  <c r="AI72" i="11"/>
  <c r="AH72" i="11"/>
  <c r="AE72" i="11"/>
  <c r="AD72" i="11"/>
  <c r="AA72" i="11"/>
  <c r="Z72" i="11"/>
  <c r="Y72" i="11"/>
  <c r="X72" i="11"/>
  <c r="R72" i="11"/>
  <c r="Q72" i="11"/>
  <c r="O72" i="11"/>
  <c r="AV72" i="11" s="1"/>
  <c r="M72" i="11"/>
  <c r="L72" i="11"/>
  <c r="K72" i="11"/>
  <c r="AC72" i="11" s="1"/>
  <c r="J72" i="11"/>
  <c r="AB72" i="11" s="1"/>
  <c r="I72" i="11"/>
  <c r="AF72" i="11" s="1"/>
  <c r="F72" i="11"/>
  <c r="W72" i="11" s="1"/>
  <c r="CB71" i="11"/>
  <c r="CA71" i="11"/>
  <c r="AI71" i="11"/>
  <c r="AH71" i="11"/>
  <c r="AE71" i="11"/>
  <c r="AD71" i="11"/>
  <c r="AA71" i="11"/>
  <c r="Z71" i="11"/>
  <c r="Y71" i="11"/>
  <c r="X71" i="11"/>
  <c r="R71" i="11"/>
  <c r="Q71" i="11"/>
  <c r="O71" i="11"/>
  <c r="AV71" i="11" s="1"/>
  <c r="M71" i="11"/>
  <c r="L71" i="11"/>
  <c r="K71" i="11"/>
  <c r="AC71" i="11" s="1"/>
  <c r="J71" i="11"/>
  <c r="AB71" i="11" s="1"/>
  <c r="I71" i="11"/>
  <c r="AF71" i="11" s="1"/>
  <c r="F71" i="11"/>
  <c r="W71" i="11" s="1"/>
  <c r="CB70" i="11"/>
  <c r="CA70" i="11"/>
  <c r="AI70" i="11"/>
  <c r="AH70" i="11"/>
  <c r="AG70" i="11"/>
  <c r="AE70" i="11"/>
  <c r="AD70" i="11"/>
  <c r="AA70" i="11"/>
  <c r="Z70" i="11"/>
  <c r="Y70" i="11"/>
  <c r="X70" i="11"/>
  <c r="R70" i="11"/>
  <c r="Q70" i="11"/>
  <c r="O70" i="11"/>
  <c r="AV70" i="11" s="1"/>
  <c r="M70" i="11"/>
  <c r="L70" i="11"/>
  <c r="K70" i="11"/>
  <c r="AC70" i="11" s="1"/>
  <c r="J70" i="11"/>
  <c r="AB70" i="11" s="1"/>
  <c r="I70" i="11"/>
  <c r="AF70" i="11" s="1"/>
  <c r="F70" i="11"/>
  <c r="W70" i="11" s="1"/>
  <c r="CB69" i="11"/>
  <c r="CA69" i="11"/>
  <c r="AI69" i="11"/>
  <c r="AH69" i="11"/>
  <c r="AG69" i="11"/>
  <c r="AE69" i="11"/>
  <c r="AD69" i="11"/>
  <c r="AA69" i="11"/>
  <c r="Z69" i="11"/>
  <c r="Y69" i="11"/>
  <c r="X69" i="11"/>
  <c r="R69" i="11"/>
  <c r="Q69" i="11"/>
  <c r="O69" i="11"/>
  <c r="AV69" i="11" s="1"/>
  <c r="M69" i="11"/>
  <c r="L69" i="11"/>
  <c r="K69" i="11"/>
  <c r="AC69" i="11" s="1"/>
  <c r="J69" i="11"/>
  <c r="AB69" i="11" s="1"/>
  <c r="I69" i="11"/>
  <c r="AF69" i="11" s="1"/>
  <c r="F69" i="11"/>
  <c r="W69" i="11" s="1"/>
  <c r="CB68" i="11"/>
  <c r="CA68" i="11"/>
  <c r="AI68" i="11"/>
  <c r="AH68" i="11"/>
  <c r="AG68" i="11"/>
  <c r="AE68" i="11"/>
  <c r="AD68" i="11"/>
  <c r="AA68" i="11"/>
  <c r="Z68" i="11"/>
  <c r="Y68" i="11"/>
  <c r="X68" i="11"/>
  <c r="R68" i="11"/>
  <c r="Q68" i="11"/>
  <c r="O68" i="11"/>
  <c r="AV68" i="11" s="1"/>
  <c r="M68" i="11"/>
  <c r="L68" i="11"/>
  <c r="K68" i="11"/>
  <c r="AC68" i="11" s="1"/>
  <c r="J68" i="11"/>
  <c r="AB68" i="11" s="1"/>
  <c r="I68" i="11"/>
  <c r="AF68" i="11" s="1"/>
  <c r="F68" i="11"/>
  <c r="W68" i="11" s="1"/>
  <c r="CB67" i="11"/>
  <c r="AI67" i="11" s="1"/>
  <c r="CA67" i="11"/>
  <c r="AH67" i="11" s="1"/>
  <c r="BU67" i="11"/>
  <c r="BK67" i="11"/>
  <c r="BJ67" i="11"/>
  <c r="BI67" i="11"/>
  <c r="BD67" i="11"/>
  <c r="AE67" i="11"/>
  <c r="AD67" i="11"/>
  <c r="AA67" i="11"/>
  <c r="Z67" i="11"/>
  <c r="Y67" i="11"/>
  <c r="X67" i="11"/>
  <c r="R67" i="11"/>
  <c r="Q67" i="11"/>
  <c r="O67" i="11"/>
  <c r="AV67" i="11" s="1"/>
  <c r="M67" i="11"/>
  <c r="L67" i="11"/>
  <c r="K67" i="11"/>
  <c r="AC67" i="11" s="1"/>
  <c r="J67" i="11"/>
  <c r="AB67" i="11" s="1"/>
  <c r="I67" i="11"/>
  <c r="AF67" i="11" s="1"/>
  <c r="F67" i="11"/>
  <c r="W67" i="11" s="1"/>
  <c r="CB66" i="11"/>
  <c r="CA66" i="11"/>
  <c r="AI66" i="11"/>
  <c r="AH66" i="11"/>
  <c r="AG66" i="11"/>
  <c r="AE66" i="11"/>
  <c r="AD66" i="11"/>
  <c r="AA66" i="11"/>
  <c r="Z66" i="11"/>
  <c r="Y66" i="11"/>
  <c r="X66" i="11"/>
  <c r="R66" i="11"/>
  <c r="Q66" i="11"/>
  <c r="O66" i="11"/>
  <c r="AV66" i="11" s="1"/>
  <c r="M66" i="11"/>
  <c r="L66" i="11"/>
  <c r="K66" i="11"/>
  <c r="AC66" i="11" s="1"/>
  <c r="J66" i="11"/>
  <c r="AB66" i="11" s="1"/>
  <c r="I66" i="11"/>
  <c r="AF66" i="11" s="1"/>
  <c r="F66" i="11"/>
  <c r="W66" i="11" s="1"/>
  <c r="CB65" i="11"/>
  <c r="CA65" i="11"/>
  <c r="AI65" i="11"/>
  <c r="AH65" i="11"/>
  <c r="AG65" i="11"/>
  <c r="AE65" i="11"/>
  <c r="AD65" i="11"/>
  <c r="AA65" i="11"/>
  <c r="Z65" i="11"/>
  <c r="Y65" i="11"/>
  <c r="X65" i="11"/>
  <c r="R65" i="11"/>
  <c r="Q65" i="11"/>
  <c r="O65" i="11"/>
  <c r="AV65" i="11" s="1"/>
  <c r="M65" i="11"/>
  <c r="L65" i="11"/>
  <c r="K65" i="11"/>
  <c r="AC65" i="11" s="1"/>
  <c r="J65" i="11"/>
  <c r="AB65" i="11" s="1"/>
  <c r="I65" i="11"/>
  <c r="AF65" i="11" s="1"/>
  <c r="F65" i="11"/>
  <c r="W65" i="11" s="1"/>
  <c r="CB64" i="11"/>
  <c r="CA64" i="11"/>
  <c r="AI64" i="11"/>
  <c r="AH64" i="11"/>
  <c r="AG64" i="11"/>
  <c r="AE64" i="11"/>
  <c r="AD64" i="11"/>
  <c r="AA64" i="11"/>
  <c r="Z64" i="11"/>
  <c r="Y64" i="11"/>
  <c r="X64" i="11"/>
  <c r="R64" i="11"/>
  <c r="Q64" i="11"/>
  <c r="O64" i="11"/>
  <c r="AV64" i="11" s="1"/>
  <c r="M64" i="11"/>
  <c r="L64" i="11"/>
  <c r="K64" i="11"/>
  <c r="AC64" i="11" s="1"/>
  <c r="J64" i="11"/>
  <c r="AB64" i="11" s="1"/>
  <c r="I64" i="11"/>
  <c r="AF64" i="11" s="1"/>
  <c r="F64" i="11"/>
  <c r="W64" i="11" s="1"/>
  <c r="CB63" i="11"/>
  <c r="CA63" i="11"/>
  <c r="AI63" i="11"/>
  <c r="AH63" i="11"/>
  <c r="AG63" i="11"/>
  <c r="AE63" i="11"/>
  <c r="AD63" i="11"/>
  <c r="AA63" i="11"/>
  <c r="Z63" i="11"/>
  <c r="Y63" i="11"/>
  <c r="X63" i="11"/>
  <c r="R63" i="11"/>
  <c r="Q63" i="11"/>
  <c r="O63" i="11"/>
  <c r="AV63" i="11" s="1"/>
  <c r="M63" i="11"/>
  <c r="L63" i="11"/>
  <c r="K63" i="11"/>
  <c r="AC63" i="11" s="1"/>
  <c r="J63" i="11"/>
  <c r="AB63" i="11" s="1"/>
  <c r="I63" i="11"/>
  <c r="AF63" i="11" s="1"/>
  <c r="F63" i="11"/>
  <c r="W63" i="11" s="1"/>
  <c r="CB62" i="11"/>
  <c r="CA62" i="11"/>
  <c r="AI62" i="11"/>
  <c r="AH62" i="11"/>
  <c r="AG62" i="11"/>
  <c r="AF62" i="11"/>
  <c r="AE62" i="11"/>
  <c r="AD62" i="11"/>
  <c r="AA62" i="11"/>
  <c r="Z62" i="11"/>
  <c r="Y62" i="11"/>
  <c r="X62" i="11"/>
  <c r="W62" i="11"/>
  <c r="R62" i="11"/>
  <c r="Q62" i="11"/>
  <c r="O62" i="11"/>
  <c r="AV62" i="11" s="1"/>
  <c r="M62" i="11"/>
  <c r="L62" i="11"/>
  <c r="K62" i="11"/>
  <c r="AC62" i="11" s="1"/>
  <c r="J62" i="11"/>
  <c r="AB62" i="11" s="1"/>
  <c r="I62" i="11"/>
  <c r="F62" i="11"/>
  <c r="CB61" i="11"/>
  <c r="CA61" i="11"/>
  <c r="AS61" i="11"/>
  <c r="AI61" i="11"/>
  <c r="AH61" i="11"/>
  <c r="AG61" i="11"/>
  <c r="AE61" i="11"/>
  <c r="AD61" i="11"/>
  <c r="AA61" i="11"/>
  <c r="Z61" i="11"/>
  <c r="Y61" i="11"/>
  <c r="X61" i="11"/>
  <c r="R61" i="11"/>
  <c r="Q61" i="11"/>
  <c r="O61" i="11"/>
  <c r="AV61" i="11" s="1"/>
  <c r="M61" i="11"/>
  <c r="L61" i="11"/>
  <c r="K61" i="11"/>
  <c r="AC61" i="11" s="1"/>
  <c r="J61" i="11"/>
  <c r="AB61" i="11" s="1"/>
  <c r="I61" i="11"/>
  <c r="AF61" i="11" s="1"/>
  <c r="F61" i="11"/>
  <c r="W61" i="11" s="1"/>
  <c r="CB60" i="11"/>
  <c r="CA60" i="11"/>
  <c r="BX60" i="11"/>
  <c r="V6" i="12" s="1"/>
  <c r="AI60" i="11"/>
  <c r="AH60" i="11"/>
  <c r="AG60" i="11"/>
  <c r="AE60" i="11"/>
  <c r="AD60" i="11"/>
  <c r="AA60" i="11"/>
  <c r="Z60" i="11"/>
  <c r="Y60" i="11"/>
  <c r="X60" i="11"/>
  <c r="R60" i="11"/>
  <c r="Q60" i="11"/>
  <c r="O60" i="11"/>
  <c r="AV60" i="11" s="1"/>
  <c r="M60" i="11"/>
  <c r="L60" i="11"/>
  <c r="K60" i="11"/>
  <c r="AC60" i="11" s="1"/>
  <c r="J60" i="11"/>
  <c r="AB60" i="11" s="1"/>
  <c r="I60" i="11"/>
  <c r="AF60" i="11" s="1"/>
  <c r="F60" i="11"/>
  <c r="W60" i="11" s="1"/>
  <c r="CB59" i="11"/>
  <c r="CA59" i="11"/>
  <c r="BX59" i="11"/>
  <c r="AI59" i="11"/>
  <c r="AH59" i="11"/>
  <c r="AG59" i="11"/>
  <c r="AE59" i="11"/>
  <c r="AD59" i="11"/>
  <c r="AA59" i="11"/>
  <c r="Z59" i="11"/>
  <c r="Y59" i="11"/>
  <c r="X59" i="11"/>
  <c r="R59" i="11"/>
  <c r="Q59" i="11"/>
  <c r="O59" i="11"/>
  <c r="AV59" i="11" s="1"/>
  <c r="M59" i="11"/>
  <c r="L59" i="11"/>
  <c r="K59" i="11"/>
  <c r="AC59" i="11" s="1"/>
  <c r="J59" i="11"/>
  <c r="AB59" i="11" s="1"/>
  <c r="I59" i="11"/>
  <c r="AF59" i="11" s="1"/>
  <c r="F59" i="11"/>
  <c r="W59" i="11" s="1"/>
  <c r="CB58" i="11"/>
  <c r="CA58" i="11"/>
  <c r="AI58" i="11"/>
  <c r="AH58" i="11"/>
  <c r="AG58" i="11"/>
  <c r="AE58" i="11"/>
  <c r="AD58" i="11"/>
  <c r="AA58" i="11"/>
  <c r="Z58" i="11"/>
  <c r="Y58" i="11"/>
  <c r="X58" i="11"/>
  <c r="R58" i="11"/>
  <c r="Q58" i="11"/>
  <c r="O58" i="11"/>
  <c r="AV58" i="11" s="1"/>
  <c r="M58" i="11"/>
  <c r="L58" i="11"/>
  <c r="K58" i="11"/>
  <c r="AC58" i="11" s="1"/>
  <c r="J58" i="11"/>
  <c r="AB58" i="11" s="1"/>
  <c r="I58" i="11"/>
  <c r="AF58" i="11" s="1"/>
  <c r="F58" i="11"/>
  <c r="W58" i="11" s="1"/>
  <c r="CB57" i="11"/>
  <c r="CA57" i="11"/>
  <c r="BX57" i="11"/>
  <c r="AI57" i="11"/>
  <c r="AH57" i="11"/>
  <c r="AG57" i="11"/>
  <c r="AE57" i="11"/>
  <c r="AD57" i="11"/>
  <c r="AA57" i="11"/>
  <c r="Z57" i="11"/>
  <c r="Y57" i="11"/>
  <c r="X57" i="11"/>
  <c r="R57" i="11"/>
  <c r="Q57" i="11"/>
  <c r="O57" i="11"/>
  <c r="AV57" i="11" s="1"/>
  <c r="M57" i="11"/>
  <c r="L57" i="11"/>
  <c r="K57" i="11"/>
  <c r="AC57" i="11" s="1"/>
  <c r="J57" i="11"/>
  <c r="AB57" i="11" s="1"/>
  <c r="I57" i="11"/>
  <c r="AF57" i="11" s="1"/>
  <c r="F57" i="11"/>
  <c r="W57" i="11" s="1"/>
  <c r="CB56" i="11"/>
  <c r="AI56" i="11" s="1"/>
  <c r="CA56" i="11"/>
  <c r="AH56" i="11" s="1"/>
  <c r="BU56" i="11"/>
  <c r="BK56" i="11"/>
  <c r="BJ56" i="11"/>
  <c r="BI56" i="11"/>
  <c r="BD56" i="11"/>
  <c r="AS56" i="11"/>
  <c r="AE56" i="11"/>
  <c r="AD56" i="11"/>
  <c r="AA56" i="11"/>
  <c r="Z56" i="11"/>
  <c r="Y56" i="11"/>
  <c r="X56" i="11"/>
  <c r="R56" i="11"/>
  <c r="Q56" i="11"/>
  <c r="P56" i="11"/>
  <c r="O56" i="11"/>
  <c r="AV56" i="11" s="1"/>
  <c r="N56" i="11"/>
  <c r="M56" i="11"/>
  <c r="L56" i="11"/>
  <c r="K56" i="11"/>
  <c r="AC56" i="11" s="1"/>
  <c r="J56" i="11"/>
  <c r="AB56" i="11" s="1"/>
  <c r="I56" i="11"/>
  <c r="AF56" i="11" s="1"/>
  <c r="F56" i="11"/>
  <c r="W56" i="11" s="1"/>
  <c r="CB55" i="11"/>
  <c r="CA55" i="11"/>
  <c r="AI55" i="11"/>
  <c r="AH55" i="11"/>
  <c r="AG55" i="11"/>
  <c r="AE55" i="11"/>
  <c r="AD55" i="11"/>
  <c r="AA55" i="11"/>
  <c r="Z55" i="11"/>
  <c r="Y55" i="11"/>
  <c r="X55" i="11"/>
  <c r="R55" i="11"/>
  <c r="Q55" i="11"/>
  <c r="O55" i="11"/>
  <c r="AV55" i="11" s="1"/>
  <c r="M55" i="11"/>
  <c r="L55" i="11"/>
  <c r="K55" i="11"/>
  <c r="AC55" i="11" s="1"/>
  <c r="J55" i="11"/>
  <c r="AB55" i="11" s="1"/>
  <c r="I55" i="11"/>
  <c r="AF55" i="11" s="1"/>
  <c r="F55" i="11"/>
  <c r="W55" i="11" s="1"/>
  <c r="CB54" i="11"/>
  <c r="CA54" i="11"/>
  <c r="AI54" i="11"/>
  <c r="AH54" i="11"/>
  <c r="AG54" i="11"/>
  <c r="AE54" i="11"/>
  <c r="AD54" i="11"/>
  <c r="AA54" i="11"/>
  <c r="Z54" i="11"/>
  <c r="Y54" i="11"/>
  <c r="X54" i="11"/>
  <c r="R54" i="11"/>
  <c r="Q54" i="11"/>
  <c r="O54" i="11"/>
  <c r="AV54" i="11" s="1"/>
  <c r="M54" i="11"/>
  <c r="L54" i="11"/>
  <c r="K54" i="11"/>
  <c r="AC54" i="11" s="1"/>
  <c r="J54" i="11"/>
  <c r="AB54" i="11" s="1"/>
  <c r="I54" i="11"/>
  <c r="AF54" i="11" s="1"/>
  <c r="F54" i="11"/>
  <c r="W54" i="11" s="1"/>
  <c r="CB53" i="11"/>
  <c r="CA53" i="11"/>
  <c r="AI53" i="11"/>
  <c r="AH53" i="11"/>
  <c r="AG53" i="11"/>
  <c r="AE53" i="11"/>
  <c r="AD53" i="11"/>
  <c r="AA53" i="11"/>
  <c r="Z53" i="11"/>
  <c r="Y53" i="11"/>
  <c r="X53" i="11"/>
  <c r="R53" i="11"/>
  <c r="Q53" i="11"/>
  <c r="O53" i="11"/>
  <c r="AV53" i="11" s="1"/>
  <c r="M53" i="11"/>
  <c r="L53" i="11"/>
  <c r="K53" i="11"/>
  <c r="AC53" i="11" s="1"/>
  <c r="J53" i="11"/>
  <c r="AB53" i="11" s="1"/>
  <c r="I53" i="11"/>
  <c r="AF53" i="11" s="1"/>
  <c r="F53" i="11"/>
  <c r="W53" i="11" s="1"/>
  <c r="CB52" i="11"/>
  <c r="CA52" i="11"/>
  <c r="BX52" i="11"/>
  <c r="AI52" i="11"/>
  <c r="AH52" i="11"/>
  <c r="AG52" i="11"/>
  <c r="AE52" i="11"/>
  <c r="AD52" i="11"/>
  <c r="AA52" i="11"/>
  <c r="Z52" i="11"/>
  <c r="Y52" i="11"/>
  <c r="X52" i="11"/>
  <c r="R52" i="11"/>
  <c r="Q52" i="11"/>
  <c r="O52" i="11"/>
  <c r="AV52" i="11" s="1"/>
  <c r="M52" i="11"/>
  <c r="L52" i="11"/>
  <c r="K52" i="11"/>
  <c r="AC52" i="11" s="1"/>
  <c r="J52" i="11"/>
  <c r="AB52" i="11" s="1"/>
  <c r="I52" i="11"/>
  <c r="AF52" i="11" s="1"/>
  <c r="F52" i="11"/>
  <c r="W52" i="11" s="1"/>
  <c r="CB51" i="11"/>
  <c r="CA51" i="11"/>
  <c r="AI51" i="11"/>
  <c r="AH51" i="11"/>
  <c r="AG51" i="11"/>
  <c r="AE51" i="11"/>
  <c r="AD51" i="11"/>
  <c r="AA51" i="11"/>
  <c r="Z51" i="11"/>
  <c r="Y51" i="11"/>
  <c r="X51" i="11"/>
  <c r="R51" i="11"/>
  <c r="Q51" i="11"/>
  <c r="O51" i="11"/>
  <c r="AV51" i="11" s="1"/>
  <c r="M51" i="11"/>
  <c r="L51" i="11"/>
  <c r="K51" i="11"/>
  <c r="AC51" i="11" s="1"/>
  <c r="J51" i="11"/>
  <c r="AB51" i="11" s="1"/>
  <c r="I51" i="11"/>
  <c r="AF51" i="11" s="1"/>
  <c r="F51" i="11"/>
  <c r="W51" i="11" s="1"/>
  <c r="CB50" i="11"/>
  <c r="AI50" i="11" s="1"/>
  <c r="CA50" i="11"/>
  <c r="AH50" i="11" s="1"/>
  <c r="AE50" i="11"/>
  <c r="AD50" i="11"/>
  <c r="AA50" i="11"/>
  <c r="Z50" i="11"/>
  <c r="Y50" i="11"/>
  <c r="X50" i="11"/>
  <c r="R50" i="11"/>
  <c r="Q50" i="11"/>
  <c r="O50" i="11"/>
  <c r="AV50" i="11" s="1"/>
  <c r="M50" i="11"/>
  <c r="L50" i="11"/>
  <c r="K50" i="11"/>
  <c r="AC50" i="11" s="1"/>
  <c r="J50" i="11"/>
  <c r="AB50" i="11" s="1"/>
  <c r="I50" i="11"/>
  <c r="AF50" i="11" s="1"/>
  <c r="F50" i="11"/>
  <c r="W50" i="11" s="1"/>
  <c r="CB49" i="11"/>
  <c r="CA49" i="11"/>
  <c r="AI49" i="11"/>
  <c r="AH49" i="11"/>
  <c r="AG49" i="11"/>
  <c r="AE49" i="11"/>
  <c r="AD49" i="11"/>
  <c r="AA49" i="11"/>
  <c r="Z49" i="11"/>
  <c r="Y49" i="11"/>
  <c r="X49" i="11"/>
  <c r="R49" i="11"/>
  <c r="Q49" i="11"/>
  <c r="O49" i="11"/>
  <c r="AV49" i="11" s="1"/>
  <c r="M49" i="11"/>
  <c r="L49" i="11"/>
  <c r="K49" i="11"/>
  <c r="AC49" i="11" s="1"/>
  <c r="J49" i="11"/>
  <c r="AB49" i="11" s="1"/>
  <c r="I49" i="11"/>
  <c r="AF49" i="11" s="1"/>
  <c r="F49" i="11"/>
  <c r="W49" i="11" s="1"/>
  <c r="CB48" i="11"/>
  <c r="CA48" i="11"/>
  <c r="AI48" i="11"/>
  <c r="AH48" i="11"/>
  <c r="AG48" i="11"/>
  <c r="AE48" i="11"/>
  <c r="AD48" i="11"/>
  <c r="AA48" i="11"/>
  <c r="Z48" i="11"/>
  <c r="Y48" i="11"/>
  <c r="X48" i="11"/>
  <c r="R48" i="11"/>
  <c r="Q48" i="11"/>
  <c r="O48" i="11"/>
  <c r="AV48" i="11" s="1"/>
  <c r="M48" i="11"/>
  <c r="L48" i="11"/>
  <c r="K48" i="11"/>
  <c r="AC48" i="11" s="1"/>
  <c r="J48" i="11"/>
  <c r="AB48" i="11" s="1"/>
  <c r="I48" i="11"/>
  <c r="AF48" i="11" s="1"/>
  <c r="F48" i="11"/>
  <c r="W48" i="11" s="1"/>
  <c r="CB47" i="11"/>
  <c r="CA47" i="11"/>
  <c r="AI47" i="11"/>
  <c r="AH47" i="11"/>
  <c r="AG47" i="11"/>
  <c r="AE47" i="11"/>
  <c r="AD47" i="11"/>
  <c r="AA47" i="11"/>
  <c r="Z47" i="11"/>
  <c r="Y47" i="11"/>
  <c r="X47" i="11"/>
  <c r="R47" i="11"/>
  <c r="Q47" i="11"/>
  <c r="O47" i="11"/>
  <c r="AV47" i="11" s="1"/>
  <c r="M47" i="11"/>
  <c r="L47" i="11"/>
  <c r="K47" i="11"/>
  <c r="AC47" i="11" s="1"/>
  <c r="J47" i="11"/>
  <c r="AB47" i="11" s="1"/>
  <c r="I47" i="11"/>
  <c r="AF47" i="11" s="1"/>
  <c r="F47" i="11"/>
  <c r="W47" i="11" s="1"/>
  <c r="CB46" i="11"/>
  <c r="CA46" i="11"/>
  <c r="BX46" i="11"/>
  <c r="AI46" i="11"/>
  <c r="AH46" i="11"/>
  <c r="AG46" i="11"/>
  <c r="AE46" i="11"/>
  <c r="AD46" i="11"/>
  <c r="AA46" i="11"/>
  <c r="Z46" i="11"/>
  <c r="Y46" i="11"/>
  <c r="X46" i="11"/>
  <c r="R46" i="11"/>
  <c r="Q46" i="11"/>
  <c r="O46" i="11"/>
  <c r="AV46" i="11" s="1"/>
  <c r="M46" i="11"/>
  <c r="L46" i="11"/>
  <c r="K46" i="11"/>
  <c r="AC46" i="11" s="1"/>
  <c r="J46" i="11"/>
  <c r="AB46" i="11" s="1"/>
  <c r="I46" i="11"/>
  <c r="AF46" i="11" s="1"/>
  <c r="F46" i="11"/>
  <c r="W46" i="11" s="1"/>
  <c r="CB45" i="11"/>
  <c r="AI45" i="11" s="1"/>
  <c r="CA45" i="11"/>
  <c r="AH45" i="11" s="1"/>
  <c r="BX45" i="11"/>
  <c r="BU45" i="11"/>
  <c r="BK45" i="11"/>
  <c r="BJ45" i="11"/>
  <c r="BI45" i="11"/>
  <c r="BD45" i="11"/>
  <c r="AS45" i="11"/>
  <c r="AE45" i="11"/>
  <c r="AD45" i="11"/>
  <c r="AA45" i="11"/>
  <c r="Z45" i="11"/>
  <c r="Y45" i="11"/>
  <c r="X45" i="11"/>
  <c r="R45" i="11"/>
  <c r="Q45" i="11"/>
  <c r="P45" i="11"/>
  <c r="O45" i="11"/>
  <c r="AV45" i="11" s="1"/>
  <c r="N45" i="11"/>
  <c r="M45" i="11"/>
  <c r="L45" i="11"/>
  <c r="K45" i="11"/>
  <c r="AC45" i="11" s="1"/>
  <c r="J45" i="11"/>
  <c r="AB45" i="11" s="1"/>
  <c r="I45" i="11"/>
  <c r="AF45" i="11" s="1"/>
  <c r="F45" i="11"/>
  <c r="W45" i="11" s="1"/>
  <c r="CB44" i="11"/>
  <c r="CA44" i="11"/>
  <c r="BX44" i="11"/>
  <c r="AI44" i="11"/>
  <c r="AH44" i="11"/>
  <c r="AG44" i="11"/>
  <c r="AE44" i="11"/>
  <c r="AD44" i="11"/>
  <c r="AA44" i="11"/>
  <c r="Z44" i="11"/>
  <c r="Y44" i="11"/>
  <c r="X44" i="11"/>
  <c r="R44" i="11"/>
  <c r="Q44" i="11"/>
  <c r="O44" i="11"/>
  <c r="AV44" i="11" s="1"/>
  <c r="M44" i="11"/>
  <c r="L44" i="11"/>
  <c r="K44" i="11"/>
  <c r="AC44" i="11" s="1"/>
  <c r="J44" i="11"/>
  <c r="AB44" i="11" s="1"/>
  <c r="I44" i="11"/>
  <c r="AF44" i="11" s="1"/>
  <c r="F44" i="11"/>
  <c r="W44" i="11" s="1"/>
  <c r="CB43" i="11"/>
  <c r="CA43" i="11"/>
  <c r="BX43" i="11"/>
  <c r="AI43" i="11"/>
  <c r="AH43" i="11"/>
  <c r="AG43" i="11"/>
  <c r="AE43" i="11"/>
  <c r="AD43" i="11"/>
  <c r="AA43" i="11"/>
  <c r="Z43" i="11"/>
  <c r="Y43" i="11"/>
  <c r="X43" i="11"/>
  <c r="R43" i="11"/>
  <c r="Q43" i="11"/>
  <c r="O43" i="11"/>
  <c r="AV43" i="11" s="1"/>
  <c r="M43" i="11"/>
  <c r="L43" i="11"/>
  <c r="K43" i="11"/>
  <c r="AC43" i="11" s="1"/>
  <c r="J43" i="11"/>
  <c r="AB43" i="11" s="1"/>
  <c r="I43" i="11"/>
  <c r="AF43" i="11" s="1"/>
  <c r="F43" i="11"/>
  <c r="W43" i="11" s="1"/>
  <c r="CB42" i="11"/>
  <c r="CA42" i="11"/>
  <c r="BX42" i="11"/>
  <c r="AI42" i="11"/>
  <c r="AH42" i="11"/>
  <c r="AG42" i="11"/>
  <c r="AE42" i="11"/>
  <c r="AD42" i="11"/>
  <c r="AA42" i="11"/>
  <c r="Z42" i="11"/>
  <c r="Y42" i="11"/>
  <c r="X42" i="11"/>
  <c r="R42" i="11"/>
  <c r="Q42" i="11"/>
  <c r="O42" i="11"/>
  <c r="AV42" i="11" s="1"/>
  <c r="M42" i="11"/>
  <c r="L42" i="11"/>
  <c r="K42" i="11"/>
  <c r="AC42" i="11" s="1"/>
  <c r="J42" i="11"/>
  <c r="AB42" i="11" s="1"/>
  <c r="I42" i="11"/>
  <c r="AF42" i="11" s="1"/>
  <c r="F42" i="11"/>
  <c r="W42" i="11" s="1"/>
  <c r="CB41" i="11"/>
  <c r="CA41" i="11"/>
  <c r="BX41" i="11"/>
  <c r="AI41" i="11"/>
  <c r="AH41" i="11"/>
  <c r="AG41" i="11"/>
  <c r="AE41" i="11"/>
  <c r="AD41" i="11"/>
  <c r="AA41" i="11"/>
  <c r="Z41" i="11"/>
  <c r="Y41" i="11"/>
  <c r="X41" i="11"/>
  <c r="R41" i="11"/>
  <c r="Q41" i="11"/>
  <c r="O41" i="11"/>
  <c r="AV41" i="11" s="1"/>
  <c r="M41" i="11"/>
  <c r="L41" i="11"/>
  <c r="K41" i="11"/>
  <c r="AC41" i="11" s="1"/>
  <c r="J41" i="11"/>
  <c r="AB41" i="11" s="1"/>
  <c r="I41" i="11"/>
  <c r="AF41" i="11" s="1"/>
  <c r="F41" i="11"/>
  <c r="W41" i="11" s="1"/>
  <c r="CB40" i="11"/>
  <c r="CA40" i="11"/>
  <c r="BX40" i="11"/>
  <c r="L9" i="12" s="1"/>
  <c r="AI40" i="11"/>
  <c r="AH40" i="11"/>
  <c r="AG40" i="11"/>
  <c r="AE40" i="11"/>
  <c r="AD40" i="11"/>
  <c r="AA40" i="11"/>
  <c r="Z40" i="11"/>
  <c r="Y40" i="11"/>
  <c r="X40" i="11"/>
  <c r="R40" i="11"/>
  <c r="Q40" i="11"/>
  <c r="O40" i="11"/>
  <c r="AV40" i="11" s="1"/>
  <c r="M40" i="11"/>
  <c r="L40" i="11"/>
  <c r="K40" i="11"/>
  <c r="AC40" i="11" s="1"/>
  <c r="J40" i="11"/>
  <c r="AB40" i="11" s="1"/>
  <c r="I40" i="11"/>
  <c r="AF40" i="11" s="1"/>
  <c r="F40" i="11"/>
  <c r="W40" i="11" s="1"/>
  <c r="CB39" i="11"/>
  <c r="AI39" i="11" s="1"/>
  <c r="CA39" i="11"/>
  <c r="AH39" i="11" s="1"/>
  <c r="BU39" i="11"/>
  <c r="AE39" i="11"/>
  <c r="AD39" i="11"/>
  <c r="AA39" i="11"/>
  <c r="Z39" i="11"/>
  <c r="Y39" i="11"/>
  <c r="X39" i="11"/>
  <c r="R39" i="11"/>
  <c r="Q39" i="11"/>
  <c r="O39" i="11"/>
  <c r="AV39" i="11" s="1"/>
  <c r="M39" i="11"/>
  <c r="L39" i="11"/>
  <c r="K39" i="11"/>
  <c r="AC39" i="11" s="1"/>
  <c r="J39" i="11"/>
  <c r="AB39" i="11" s="1"/>
  <c r="I39" i="11"/>
  <c r="AF39" i="11" s="1"/>
  <c r="F39" i="11"/>
  <c r="W39" i="11" s="1"/>
  <c r="CB38" i="11"/>
  <c r="CA38" i="11"/>
  <c r="AI38" i="11"/>
  <c r="AH38" i="11"/>
  <c r="AG38" i="11"/>
  <c r="AE38" i="11"/>
  <c r="AD38" i="11"/>
  <c r="AA38" i="11"/>
  <c r="Z38" i="11"/>
  <c r="Y38" i="11"/>
  <c r="X38" i="11"/>
  <c r="R38" i="11"/>
  <c r="Q38" i="11"/>
  <c r="O38" i="11"/>
  <c r="AV38" i="11" s="1"/>
  <c r="M38" i="11"/>
  <c r="L38" i="11"/>
  <c r="K38" i="11"/>
  <c r="AC38" i="11" s="1"/>
  <c r="J38" i="11"/>
  <c r="AB38" i="11" s="1"/>
  <c r="I38" i="11"/>
  <c r="AF38" i="11" s="1"/>
  <c r="F38" i="11"/>
  <c r="W38" i="11" s="1"/>
  <c r="CB37" i="11"/>
  <c r="CA37" i="11"/>
  <c r="AI37" i="11"/>
  <c r="AH37" i="11"/>
  <c r="AG37" i="11"/>
  <c r="AE37" i="11"/>
  <c r="AD37" i="11"/>
  <c r="AA37" i="11"/>
  <c r="Z37" i="11"/>
  <c r="Y37" i="11"/>
  <c r="X37" i="11"/>
  <c r="R37" i="11"/>
  <c r="Q37" i="11"/>
  <c r="O37" i="11"/>
  <c r="AV37" i="11" s="1"/>
  <c r="M37" i="11"/>
  <c r="L37" i="11"/>
  <c r="K37" i="11"/>
  <c r="AC37" i="11" s="1"/>
  <c r="J37" i="11"/>
  <c r="AB37" i="11" s="1"/>
  <c r="I37" i="11"/>
  <c r="AF37" i="11" s="1"/>
  <c r="F37" i="11"/>
  <c r="W37" i="11" s="1"/>
  <c r="CB36" i="11"/>
  <c r="CA36" i="11"/>
  <c r="AI36" i="11"/>
  <c r="AH36" i="11"/>
  <c r="AG36" i="11"/>
  <c r="AE36" i="11"/>
  <c r="AD36" i="11"/>
  <c r="AA36" i="11"/>
  <c r="Z36" i="11"/>
  <c r="Y36" i="11"/>
  <c r="X36" i="11"/>
  <c r="R36" i="11"/>
  <c r="Q36" i="11"/>
  <c r="O36" i="11"/>
  <c r="AV36" i="11" s="1"/>
  <c r="M36" i="11"/>
  <c r="L36" i="11"/>
  <c r="K36" i="11"/>
  <c r="AC36" i="11" s="1"/>
  <c r="J36" i="11"/>
  <c r="AB36" i="11" s="1"/>
  <c r="I36" i="11"/>
  <c r="AF36" i="11" s="1"/>
  <c r="F36" i="11"/>
  <c r="W36" i="11" s="1"/>
  <c r="CB35" i="11"/>
  <c r="CA35" i="11"/>
  <c r="AI35" i="11"/>
  <c r="AH35" i="11"/>
  <c r="AG35" i="11"/>
  <c r="AE35" i="11"/>
  <c r="AD35" i="11"/>
  <c r="AA35" i="11"/>
  <c r="Z35" i="11"/>
  <c r="Y35" i="11"/>
  <c r="X35" i="11"/>
  <c r="R35" i="11"/>
  <c r="Q35" i="11"/>
  <c r="O35" i="11"/>
  <c r="AV35" i="11" s="1"/>
  <c r="M35" i="11"/>
  <c r="L35" i="11"/>
  <c r="K35" i="11"/>
  <c r="AC35" i="11" s="1"/>
  <c r="J35" i="11"/>
  <c r="AB35" i="11" s="1"/>
  <c r="I35" i="11"/>
  <c r="AF35" i="11" s="1"/>
  <c r="F35" i="11"/>
  <c r="W35" i="11" s="1"/>
  <c r="CB34" i="11"/>
  <c r="CA34" i="11"/>
  <c r="AH34" i="11" s="1"/>
  <c r="BU34" i="11"/>
  <c r="BK34" i="11"/>
  <c r="BJ34" i="11"/>
  <c r="BI34" i="11"/>
  <c r="BD34" i="11"/>
  <c r="AV34" i="11"/>
  <c r="AS34" i="11"/>
  <c r="AL34" i="11"/>
  <c r="AK34" i="11"/>
  <c r="AJ34" i="11"/>
  <c r="AI34" i="11"/>
  <c r="AE34" i="11"/>
  <c r="AD34" i="11"/>
  <c r="AA34" i="11"/>
  <c r="Z34" i="11"/>
  <c r="Y34" i="11"/>
  <c r="X34" i="11"/>
  <c r="R34" i="11"/>
  <c r="Q34" i="11"/>
  <c r="O34" i="11"/>
  <c r="M34" i="11"/>
  <c r="L34" i="11"/>
  <c r="K34" i="11"/>
  <c r="AC34" i="11" s="1"/>
  <c r="J34" i="11"/>
  <c r="AB34" i="11" s="1"/>
  <c r="I34" i="11"/>
  <c r="AF34" i="11" s="1"/>
  <c r="F34" i="11"/>
  <c r="W34" i="11" s="1"/>
  <c r="CB33" i="11"/>
  <c r="CA33" i="11"/>
  <c r="AI33" i="11"/>
  <c r="AH33" i="11"/>
  <c r="AE33" i="11"/>
  <c r="AD33" i="11"/>
  <c r="AA33" i="11"/>
  <c r="Z33" i="11"/>
  <c r="Y33" i="11"/>
  <c r="X33" i="11"/>
  <c r="R33" i="11"/>
  <c r="Q33" i="11"/>
  <c r="O33" i="11"/>
  <c r="AV33" i="11" s="1"/>
  <c r="M33" i="11"/>
  <c r="L33" i="11"/>
  <c r="K33" i="11"/>
  <c r="AC33" i="11" s="1"/>
  <c r="J33" i="11"/>
  <c r="AB33" i="11" s="1"/>
  <c r="I33" i="11"/>
  <c r="AF33" i="11" s="1"/>
  <c r="F33" i="11"/>
  <c r="W33" i="11" s="1"/>
  <c r="CB32" i="11"/>
  <c r="CA32" i="11"/>
  <c r="AI32" i="11"/>
  <c r="AH32" i="11"/>
  <c r="AE32" i="11"/>
  <c r="AD32" i="11"/>
  <c r="AA32" i="11"/>
  <c r="Z32" i="11"/>
  <c r="Y32" i="11"/>
  <c r="X32" i="11"/>
  <c r="R32" i="11"/>
  <c r="Q32" i="11"/>
  <c r="O32" i="11"/>
  <c r="AV32" i="11" s="1"/>
  <c r="M32" i="11"/>
  <c r="L32" i="11"/>
  <c r="K32" i="11"/>
  <c r="AC32" i="11" s="1"/>
  <c r="J32" i="11"/>
  <c r="AB32" i="11" s="1"/>
  <c r="I32" i="11"/>
  <c r="AF32" i="11" s="1"/>
  <c r="F32" i="11"/>
  <c r="W32" i="11" s="1"/>
  <c r="CB31" i="11"/>
  <c r="CA31" i="11"/>
  <c r="AI31" i="11"/>
  <c r="AH31" i="11"/>
  <c r="AE31" i="11"/>
  <c r="AD31" i="11"/>
  <c r="AA31" i="11"/>
  <c r="Z31" i="11"/>
  <c r="Y31" i="11"/>
  <c r="X31" i="11"/>
  <c r="R31" i="11"/>
  <c r="Q31" i="11"/>
  <c r="O31" i="11"/>
  <c r="AV31" i="11" s="1"/>
  <c r="M31" i="11"/>
  <c r="L31" i="11"/>
  <c r="K31" i="11"/>
  <c r="AC31" i="11" s="1"/>
  <c r="J31" i="11"/>
  <c r="AB31" i="11" s="1"/>
  <c r="I31" i="11"/>
  <c r="AF31" i="11" s="1"/>
  <c r="F31" i="11"/>
  <c r="W31" i="11" s="1"/>
  <c r="CB30" i="11"/>
  <c r="CA30" i="11"/>
  <c r="AI30" i="11"/>
  <c r="AH30" i="11"/>
  <c r="AE30" i="11"/>
  <c r="AD30" i="11"/>
  <c r="AA30" i="11"/>
  <c r="Z30" i="11"/>
  <c r="Y30" i="11"/>
  <c r="X30" i="11"/>
  <c r="R30" i="11"/>
  <c r="Q30" i="11"/>
  <c r="O30" i="11"/>
  <c r="AV30" i="11" s="1"/>
  <c r="M30" i="11"/>
  <c r="L30" i="11"/>
  <c r="K30" i="11"/>
  <c r="AC30" i="11" s="1"/>
  <c r="J30" i="11"/>
  <c r="AB30" i="11" s="1"/>
  <c r="I30" i="11"/>
  <c r="AF30" i="11" s="1"/>
  <c r="F30" i="11"/>
  <c r="W30" i="11" s="1"/>
  <c r="CB29" i="11"/>
  <c r="CA29" i="11"/>
  <c r="AI29" i="11"/>
  <c r="AH29" i="11"/>
  <c r="AE29" i="11"/>
  <c r="AD29" i="11"/>
  <c r="AA29" i="11"/>
  <c r="Z29" i="11"/>
  <c r="Y29" i="11"/>
  <c r="X29" i="11"/>
  <c r="R29" i="11"/>
  <c r="Q29" i="11"/>
  <c r="O29" i="11"/>
  <c r="AV29" i="11" s="1"/>
  <c r="M29" i="11"/>
  <c r="L29" i="11"/>
  <c r="K29" i="11"/>
  <c r="AC29" i="11" s="1"/>
  <c r="J29" i="11"/>
  <c r="AB29" i="11" s="1"/>
  <c r="I29" i="11"/>
  <c r="AF29" i="11" s="1"/>
  <c r="F29" i="11"/>
  <c r="W29" i="11" s="1"/>
  <c r="CB28" i="11"/>
  <c r="AI28" i="11" s="1"/>
  <c r="CA28" i="11"/>
  <c r="AH28" i="11" s="1"/>
  <c r="BU28" i="11"/>
  <c r="AE28" i="11"/>
  <c r="AD28" i="11"/>
  <c r="AA28" i="11"/>
  <c r="Z28" i="11"/>
  <c r="Y28" i="11"/>
  <c r="X28" i="11"/>
  <c r="R28" i="11"/>
  <c r="Q28" i="11"/>
  <c r="O28" i="11"/>
  <c r="AV28" i="11" s="1"/>
  <c r="M28" i="11"/>
  <c r="L28" i="11"/>
  <c r="K28" i="11"/>
  <c r="AC28" i="11" s="1"/>
  <c r="J28" i="11"/>
  <c r="AB28" i="11" s="1"/>
  <c r="I28" i="11"/>
  <c r="AF28" i="11" s="1"/>
  <c r="F28" i="11"/>
  <c r="W28" i="11" s="1"/>
  <c r="CB27" i="11"/>
  <c r="CA27" i="11"/>
  <c r="AI27" i="11"/>
  <c r="AH27" i="11"/>
  <c r="AE27" i="11"/>
  <c r="AD27" i="11"/>
  <c r="AA27" i="11"/>
  <c r="Z27" i="11"/>
  <c r="Y27" i="11"/>
  <c r="X27" i="11"/>
  <c r="R27" i="11"/>
  <c r="Q27" i="11"/>
  <c r="O27" i="11"/>
  <c r="AV27" i="11" s="1"/>
  <c r="M27" i="11"/>
  <c r="L27" i="11"/>
  <c r="K27" i="11"/>
  <c r="AC27" i="11" s="1"/>
  <c r="J27" i="11"/>
  <c r="AB27" i="11" s="1"/>
  <c r="I27" i="11"/>
  <c r="AF27" i="11" s="1"/>
  <c r="F27" i="11"/>
  <c r="W27" i="11" s="1"/>
  <c r="CB26" i="11"/>
  <c r="CA26" i="11"/>
  <c r="BX26" i="11"/>
  <c r="AI26" i="11"/>
  <c r="AH26" i="11"/>
  <c r="AE26" i="11"/>
  <c r="AD26" i="11"/>
  <c r="AA26" i="11"/>
  <c r="Z26" i="11"/>
  <c r="Y26" i="11"/>
  <c r="X26" i="11"/>
  <c r="R26" i="11"/>
  <c r="Q26" i="11"/>
  <c r="O26" i="11"/>
  <c r="AV26" i="11" s="1"/>
  <c r="M26" i="11"/>
  <c r="L26" i="11"/>
  <c r="K26" i="11"/>
  <c r="AC26" i="11" s="1"/>
  <c r="J26" i="11"/>
  <c r="AB26" i="11" s="1"/>
  <c r="I26" i="11"/>
  <c r="AF26" i="11" s="1"/>
  <c r="F26" i="11"/>
  <c r="W26" i="11" s="1"/>
  <c r="CB25" i="11"/>
  <c r="CA25" i="11"/>
  <c r="AI25" i="11"/>
  <c r="AH25" i="11"/>
  <c r="AE25" i="11"/>
  <c r="AD25" i="11"/>
  <c r="AA25" i="11"/>
  <c r="Z25" i="11"/>
  <c r="Y25" i="11"/>
  <c r="X25" i="11"/>
  <c r="R25" i="11"/>
  <c r="Q25" i="11"/>
  <c r="O25" i="11"/>
  <c r="AV25" i="11" s="1"/>
  <c r="M25" i="11"/>
  <c r="L25" i="11"/>
  <c r="K25" i="11"/>
  <c r="AC25" i="11" s="1"/>
  <c r="J25" i="11"/>
  <c r="AB25" i="11" s="1"/>
  <c r="I25" i="11"/>
  <c r="AF25" i="11" s="1"/>
  <c r="F25" i="11"/>
  <c r="W25" i="11" s="1"/>
  <c r="BX22" i="11"/>
  <c r="F18" i="11"/>
  <c r="BX78" i="11" s="1"/>
  <c r="BX15" i="11"/>
  <c r="K6" i="12" s="1"/>
  <c r="C15" i="11"/>
  <c r="BX13" i="11"/>
  <c r="J6" i="12" s="1"/>
  <c r="C9" i="11"/>
  <c r="S6" i="12" s="1"/>
  <c r="C8" i="11"/>
  <c r="C7" i="11"/>
  <c r="BX2" i="11"/>
  <c r="B1" i="12" s="1"/>
  <c r="E1" i="11"/>
  <c r="M68" i="9"/>
  <c r="M67" i="9"/>
  <c r="M66" i="9"/>
  <c r="M65" i="9"/>
  <c r="M64" i="9"/>
  <c r="M63" i="9"/>
  <c r="M62" i="9"/>
  <c r="M61" i="9"/>
  <c r="M60" i="9"/>
  <c r="M59" i="9"/>
  <c r="M58" i="9"/>
  <c r="M57" i="9"/>
  <c r="M56" i="9"/>
  <c r="M55" i="9"/>
  <c r="M54" i="9"/>
  <c r="M53" i="9"/>
  <c r="M52" i="9"/>
  <c r="M51" i="9"/>
  <c r="M50" i="9"/>
  <c r="M49" i="9"/>
  <c r="M48" i="9"/>
  <c r="M47" i="9"/>
  <c r="M46" i="9"/>
  <c r="M45" i="9"/>
  <c r="M44" i="9"/>
  <c r="M43" i="9"/>
  <c r="M42" i="9"/>
  <c r="M41" i="9"/>
  <c r="M40" i="9"/>
  <c r="M39" i="9"/>
  <c r="M38" i="9"/>
  <c r="M37" i="9"/>
  <c r="M36" i="9"/>
  <c r="M35" i="9"/>
  <c r="M34" i="9"/>
  <c r="M33" i="9"/>
  <c r="M32" i="9"/>
  <c r="M31" i="9"/>
  <c r="M30" i="9"/>
  <c r="M29" i="9"/>
  <c r="M28" i="9"/>
  <c r="M27" i="9"/>
  <c r="M26" i="9"/>
  <c r="M25" i="9"/>
  <c r="M24" i="9"/>
  <c r="M23" i="9"/>
  <c r="M22" i="9"/>
  <c r="M21" i="9"/>
  <c r="M20" i="9"/>
  <c r="M19" i="9"/>
  <c r="M18" i="9"/>
  <c r="M17" i="9"/>
  <c r="M16" i="9"/>
  <c r="M15" i="9"/>
  <c r="M14" i="9"/>
  <c r="M13" i="9"/>
  <c r="M12" i="9"/>
  <c r="M11" i="9"/>
  <c r="M10" i="9"/>
  <c r="M9" i="9"/>
  <c r="M8" i="9"/>
  <c r="M7" i="9"/>
  <c r="M6" i="9"/>
  <c r="M5" i="9"/>
  <c r="M4" i="9"/>
  <c r="M3" i="9"/>
  <c r="M2" i="9"/>
  <c r="P54" i="6"/>
  <c r="O54" i="6"/>
  <c r="N54" i="6"/>
  <c r="Q54" i="6" s="1"/>
  <c r="M54" i="6"/>
  <c r="L54" i="6"/>
  <c r="K54" i="6"/>
  <c r="P53" i="6"/>
  <c r="O53" i="6"/>
  <c r="N53" i="6"/>
  <c r="Q53" i="6" s="1"/>
  <c r="M53" i="6"/>
  <c r="L53" i="6"/>
  <c r="K53" i="6"/>
  <c r="P52" i="6"/>
  <c r="O52" i="6"/>
  <c r="N52" i="6"/>
  <c r="Q52" i="6" s="1"/>
  <c r="M52" i="6"/>
  <c r="L52" i="6"/>
  <c r="K52" i="6"/>
  <c r="P51" i="6"/>
  <c r="O51" i="6"/>
  <c r="N51" i="6"/>
  <c r="Q51" i="6" s="1"/>
  <c r="M51" i="6"/>
  <c r="L51" i="6"/>
  <c r="K51" i="6"/>
  <c r="P50" i="6"/>
  <c r="O50" i="6"/>
  <c r="N50" i="6"/>
  <c r="Q50" i="6" s="1"/>
  <c r="M50" i="6"/>
  <c r="L50" i="6"/>
  <c r="K50" i="6"/>
  <c r="P49" i="6"/>
  <c r="O49" i="6"/>
  <c r="N49" i="6"/>
  <c r="Q49" i="6" s="1"/>
  <c r="M49" i="6"/>
  <c r="L49" i="6"/>
  <c r="K49" i="6"/>
  <c r="P48" i="6"/>
  <c r="O48" i="6"/>
  <c r="N48" i="6"/>
  <c r="Q48" i="6" s="1"/>
  <c r="M48" i="6"/>
  <c r="L48" i="6"/>
  <c r="K48" i="6"/>
  <c r="P47" i="6"/>
  <c r="O47" i="6"/>
  <c r="N47" i="6"/>
  <c r="Q47" i="6" s="1"/>
  <c r="M47" i="6"/>
  <c r="L47" i="6"/>
  <c r="K47" i="6"/>
  <c r="P46" i="6"/>
  <c r="O46" i="6"/>
  <c r="N46" i="6"/>
  <c r="Q46" i="6" s="1"/>
  <c r="M46" i="6"/>
  <c r="L46" i="6"/>
  <c r="K46" i="6"/>
  <c r="P45" i="6"/>
  <c r="O45" i="6"/>
  <c r="N45" i="6"/>
  <c r="Q45" i="6" s="1"/>
  <c r="M45" i="6"/>
  <c r="L45" i="6"/>
  <c r="K45" i="6"/>
  <c r="P44" i="6"/>
  <c r="O44" i="6"/>
  <c r="N44" i="6"/>
  <c r="Q44" i="6" s="1"/>
  <c r="M44" i="6"/>
  <c r="L44" i="6"/>
  <c r="K44" i="6"/>
  <c r="P43" i="6"/>
  <c r="O43" i="6"/>
  <c r="N43" i="6"/>
  <c r="Q43" i="6" s="1"/>
  <c r="M43" i="6"/>
  <c r="L43" i="6"/>
  <c r="K43" i="6"/>
  <c r="P42" i="6"/>
  <c r="O42" i="6"/>
  <c r="N42" i="6"/>
  <c r="Q42" i="6" s="1"/>
  <c r="M42" i="6"/>
  <c r="L42" i="6"/>
  <c r="K42" i="6"/>
  <c r="P41" i="6"/>
  <c r="O41" i="6"/>
  <c r="N41" i="6"/>
  <c r="Q41" i="6" s="1"/>
  <c r="M41" i="6"/>
  <c r="L41" i="6"/>
  <c r="K41" i="6"/>
  <c r="P40" i="6"/>
  <c r="O40" i="6"/>
  <c r="N40" i="6"/>
  <c r="Q40" i="6" s="1"/>
  <c r="M40" i="6"/>
  <c r="L40" i="6"/>
  <c r="K40" i="6"/>
  <c r="P39" i="6"/>
  <c r="O39" i="6"/>
  <c r="N39" i="6"/>
  <c r="Q39" i="6" s="1"/>
  <c r="M39" i="6"/>
  <c r="L39" i="6"/>
  <c r="K39" i="6"/>
  <c r="P38" i="6"/>
  <c r="O38" i="6"/>
  <c r="N38" i="6"/>
  <c r="Q38" i="6" s="1"/>
  <c r="M38" i="6"/>
  <c r="L38" i="6"/>
  <c r="K38" i="6"/>
  <c r="P37" i="6"/>
  <c r="O37" i="6"/>
  <c r="N37" i="6"/>
  <c r="Q37" i="6" s="1"/>
  <c r="M37" i="6"/>
  <c r="L37" i="6"/>
  <c r="K37" i="6"/>
  <c r="P36" i="6"/>
  <c r="O36" i="6"/>
  <c r="N36" i="6"/>
  <c r="Q36" i="6" s="1"/>
  <c r="M36" i="6"/>
  <c r="L36" i="6"/>
  <c r="K36" i="6"/>
  <c r="P35" i="6"/>
  <c r="O35" i="6"/>
  <c r="N35" i="6"/>
  <c r="Q35" i="6" s="1"/>
  <c r="M35" i="6"/>
  <c r="L35" i="6"/>
  <c r="K35" i="6"/>
  <c r="P34" i="6"/>
  <c r="O34" i="6"/>
  <c r="N34" i="6"/>
  <c r="Q34" i="6" s="1"/>
  <c r="M34" i="6"/>
  <c r="L34" i="6"/>
  <c r="K34" i="6"/>
  <c r="P33" i="6"/>
  <c r="O33" i="6"/>
  <c r="N33" i="6"/>
  <c r="Q33" i="6" s="1"/>
  <c r="M33" i="6"/>
  <c r="L33" i="6"/>
  <c r="K33" i="6"/>
  <c r="P32" i="6"/>
  <c r="O32" i="6"/>
  <c r="N32" i="6"/>
  <c r="Q32" i="6" s="1"/>
  <c r="M32" i="6"/>
  <c r="L32" i="6"/>
  <c r="K32" i="6"/>
  <c r="P31" i="6"/>
  <c r="O31" i="6"/>
  <c r="N31" i="6"/>
  <c r="Q31" i="6" s="1"/>
  <c r="M31" i="6"/>
  <c r="L31" i="6"/>
  <c r="K31" i="6"/>
  <c r="P30" i="6"/>
  <c r="O30" i="6"/>
  <c r="N30" i="6"/>
  <c r="Q30" i="6" s="1"/>
  <c r="M30" i="6"/>
  <c r="L30" i="6"/>
  <c r="K30" i="6"/>
  <c r="P29" i="6"/>
  <c r="O29" i="6"/>
  <c r="N29" i="6"/>
  <c r="Q29" i="6" s="1"/>
  <c r="M29" i="6"/>
  <c r="L29" i="6"/>
  <c r="K29" i="6"/>
  <c r="P28" i="6"/>
  <c r="O28" i="6"/>
  <c r="N28" i="6"/>
  <c r="Q28" i="6" s="1"/>
  <c r="M28" i="6"/>
  <c r="L28" i="6"/>
  <c r="K28" i="6"/>
  <c r="P27" i="6"/>
  <c r="O27" i="6"/>
  <c r="N27" i="6"/>
  <c r="Q27" i="6" s="1"/>
  <c r="M27" i="6"/>
  <c r="L27" i="6"/>
  <c r="K27" i="6"/>
  <c r="P26" i="6"/>
  <c r="O26" i="6"/>
  <c r="N26" i="6"/>
  <c r="Q26" i="6" s="1"/>
  <c r="M26" i="6"/>
  <c r="L26" i="6"/>
  <c r="K26" i="6"/>
  <c r="P25" i="6"/>
  <c r="O25" i="6"/>
  <c r="N25" i="6"/>
  <c r="Q25" i="6" s="1"/>
  <c r="M25" i="6"/>
  <c r="L25" i="6"/>
  <c r="K25" i="6"/>
  <c r="P24" i="6"/>
  <c r="O24" i="6"/>
  <c r="N24" i="6"/>
  <c r="Q24" i="6" s="1"/>
  <c r="M24" i="6"/>
  <c r="L24" i="6"/>
  <c r="K24" i="6"/>
  <c r="P23" i="6"/>
  <c r="O23" i="6"/>
  <c r="N23" i="6"/>
  <c r="Q23" i="6" s="1"/>
  <c r="M23" i="6"/>
  <c r="L23" i="6"/>
  <c r="K23" i="6"/>
  <c r="P22" i="6"/>
  <c r="O22" i="6"/>
  <c r="N22" i="6"/>
  <c r="Q22" i="6" s="1"/>
  <c r="M22" i="6"/>
  <c r="L22" i="6"/>
  <c r="K22" i="6"/>
  <c r="P21" i="6"/>
  <c r="O21" i="6"/>
  <c r="N21" i="6"/>
  <c r="Q21" i="6" s="1"/>
  <c r="M21" i="6"/>
  <c r="L21" i="6"/>
  <c r="K21" i="6"/>
  <c r="P20" i="6"/>
  <c r="O20" i="6"/>
  <c r="N20" i="6"/>
  <c r="Q20" i="6" s="1"/>
  <c r="M20" i="6"/>
  <c r="L20" i="6"/>
  <c r="K20" i="6"/>
  <c r="P19" i="6"/>
  <c r="O19" i="6"/>
  <c r="N19" i="6"/>
  <c r="Q19" i="6" s="1"/>
  <c r="M19" i="6"/>
  <c r="L19" i="6"/>
  <c r="K19" i="6"/>
  <c r="P18" i="6"/>
  <c r="O18" i="6"/>
  <c r="N18" i="6"/>
  <c r="Q18" i="6" s="1"/>
  <c r="M18" i="6"/>
  <c r="L18" i="6"/>
  <c r="K18" i="6"/>
  <c r="P17" i="6"/>
  <c r="O17" i="6"/>
  <c r="N17" i="6"/>
  <c r="Q17" i="6" s="1"/>
  <c r="M17" i="6"/>
  <c r="L17" i="6"/>
  <c r="K17" i="6"/>
  <c r="P16" i="6"/>
  <c r="O16" i="6"/>
  <c r="N16" i="6"/>
  <c r="Q16" i="6" s="1"/>
  <c r="M16" i="6"/>
  <c r="L16" i="6"/>
  <c r="K16" i="6"/>
  <c r="P15" i="6"/>
  <c r="O15" i="6"/>
  <c r="N15" i="6"/>
  <c r="Q15" i="6" s="1"/>
  <c r="M15" i="6"/>
  <c r="L15" i="6"/>
  <c r="K15" i="6"/>
  <c r="P14" i="6"/>
  <c r="O14" i="6"/>
  <c r="N14" i="6"/>
  <c r="Q14" i="6" s="1"/>
  <c r="M14" i="6"/>
  <c r="L14" i="6"/>
  <c r="K14" i="6"/>
  <c r="P13" i="6"/>
  <c r="O13" i="6"/>
  <c r="N13" i="6"/>
  <c r="Q13" i="6" s="1"/>
  <c r="M13" i="6"/>
  <c r="L13" i="6"/>
  <c r="K13" i="6"/>
  <c r="P12" i="6"/>
  <c r="O12" i="6"/>
  <c r="N12" i="6"/>
  <c r="Q12" i="6" s="1"/>
  <c r="M12" i="6"/>
  <c r="L12" i="6"/>
  <c r="K12" i="6"/>
  <c r="P11" i="6"/>
  <c r="O11" i="6"/>
  <c r="N11" i="6"/>
  <c r="Q11" i="6" s="1"/>
  <c r="M11" i="6"/>
  <c r="L11" i="6"/>
  <c r="K11" i="6"/>
  <c r="P10" i="6"/>
  <c r="O10" i="6"/>
  <c r="N10" i="6"/>
  <c r="Q10" i="6" s="1"/>
  <c r="M10" i="6"/>
  <c r="L10" i="6"/>
  <c r="K10" i="6"/>
  <c r="P9" i="6"/>
  <c r="O9" i="6"/>
  <c r="N9" i="6"/>
  <c r="Q9" i="6" s="1"/>
  <c r="M9" i="6"/>
  <c r="L9" i="6"/>
  <c r="K9" i="6"/>
  <c r="P8" i="6"/>
  <c r="O8" i="6"/>
  <c r="N8" i="6"/>
  <c r="Q8" i="6" s="1"/>
  <c r="M8" i="6"/>
  <c r="L8" i="6"/>
  <c r="K8" i="6"/>
  <c r="P7" i="6"/>
  <c r="O7" i="6"/>
  <c r="N7" i="6"/>
  <c r="Q7" i="6" s="1"/>
  <c r="M7" i="6"/>
  <c r="L7" i="6"/>
  <c r="K7" i="6"/>
  <c r="P6" i="6"/>
  <c r="O6" i="6"/>
  <c r="N6" i="6"/>
  <c r="Q6" i="6" s="1"/>
  <c r="M6" i="6"/>
  <c r="L6" i="6"/>
  <c r="K6" i="6"/>
  <c r="P5" i="6"/>
  <c r="O5" i="6"/>
  <c r="N5" i="6"/>
  <c r="Q5" i="6" s="1"/>
  <c r="Q56" i="6" s="1"/>
  <c r="M5" i="6"/>
  <c r="L5" i="6"/>
  <c r="K5" i="6"/>
  <c r="G144" i="11" l="1"/>
  <c r="H144" i="11"/>
  <c r="L144" i="11" s="1"/>
  <c r="C143" i="11"/>
  <c r="F143" i="11"/>
  <c r="J143" i="11"/>
  <c r="D143" i="11"/>
  <c r="E143" i="11"/>
  <c r="K143" i="11"/>
  <c r="D142" i="11"/>
  <c r="C142" i="11"/>
  <c r="K142" i="11"/>
  <c r="J142" i="11"/>
  <c r="F142" i="11"/>
  <c r="E142" i="11"/>
  <c r="D141" i="11"/>
  <c r="F141" i="11"/>
  <c r="J141" i="11"/>
  <c r="K141" i="11"/>
  <c r="E141" i="11"/>
  <c r="C141" i="11"/>
  <c r="K140" i="11"/>
  <c r="F140" i="11"/>
  <c r="E140" i="11"/>
  <c r="D140" i="11"/>
  <c r="J140" i="11" s="1"/>
  <c r="C140" i="11"/>
  <c r="C139" i="11"/>
  <c r="K139" i="11"/>
  <c r="F139" i="11"/>
  <c r="E139" i="11"/>
  <c r="D139" i="11"/>
  <c r="J139" i="11" s="1"/>
  <c r="E138" i="11"/>
  <c r="K138" i="11"/>
  <c r="C138" i="11"/>
  <c r="D138" i="11"/>
  <c r="J138" i="11" s="1"/>
  <c r="F138" i="11"/>
  <c r="C137" i="11"/>
  <c r="E137" i="11"/>
  <c r="K137" i="11"/>
  <c r="D137" i="11"/>
  <c r="F137" i="11"/>
  <c r="J137" i="11"/>
  <c r="K136" i="11"/>
  <c r="E136" i="11"/>
  <c r="C136" i="11"/>
  <c r="F136" i="11"/>
  <c r="D136" i="11"/>
  <c r="J136" i="11" s="1"/>
  <c r="K135" i="11"/>
  <c r="F135" i="11"/>
  <c r="E135" i="11"/>
  <c r="D135" i="11"/>
  <c r="J135" i="11" s="1"/>
  <c r="C135" i="11"/>
  <c r="D134" i="11"/>
  <c r="E134" i="11"/>
  <c r="C134" i="11"/>
  <c r="J134" i="11"/>
  <c r="K134" i="11"/>
  <c r="F134" i="11"/>
  <c r="C133" i="11"/>
  <c r="K133" i="11"/>
  <c r="F133" i="11"/>
  <c r="E133" i="11"/>
  <c r="D133" i="11"/>
  <c r="J133" i="11" s="1"/>
  <c r="K132" i="11"/>
  <c r="C132" i="11"/>
  <c r="D132" i="11"/>
  <c r="J132" i="11" s="1"/>
  <c r="E132" i="11"/>
  <c r="F132" i="11"/>
  <c r="D131" i="11"/>
  <c r="F131" i="11"/>
  <c r="K131" i="11"/>
  <c r="E131" i="11"/>
  <c r="J131" i="11"/>
  <c r="C131" i="11"/>
  <c r="E130" i="11"/>
  <c r="C130" i="11"/>
  <c r="D130" i="11"/>
  <c r="K130" i="11"/>
  <c r="F130" i="11"/>
  <c r="D129" i="11"/>
  <c r="C129" i="11"/>
  <c r="E129" i="11"/>
  <c r="F129" i="11"/>
  <c r="K129" i="11"/>
  <c r="C128" i="11"/>
  <c r="D128" i="11"/>
  <c r="K128" i="11"/>
  <c r="J128" i="11"/>
  <c r="F128" i="11"/>
  <c r="E128" i="11"/>
  <c r="AF112" i="12"/>
  <c r="AC112" i="12"/>
  <c r="W112" i="12"/>
  <c r="V112" i="12"/>
  <c r="U112" i="12"/>
  <c r="T112" i="12"/>
  <c r="S112" i="12"/>
  <c r="R112" i="12"/>
  <c r="Q112" i="12"/>
  <c r="P112" i="12"/>
  <c r="O112" i="12"/>
  <c r="N112" i="12"/>
  <c r="M112" i="12"/>
  <c r="K112" i="12"/>
  <c r="J112" i="12"/>
  <c r="I112" i="12"/>
  <c r="G112" i="12"/>
  <c r="F112" i="12"/>
  <c r="AB112" i="12" s="1"/>
  <c r="E112" i="12"/>
  <c r="AA112" i="12" s="1"/>
  <c r="AI112" i="12"/>
  <c r="BU124" i="11"/>
  <c r="BJ124" i="11"/>
  <c r="AS124" i="11"/>
  <c r="AK124" i="11"/>
  <c r="BK124" i="11"/>
  <c r="BI124" i="11"/>
  <c r="BD124" i="11"/>
  <c r="AL124" i="11"/>
  <c r="AJ124" i="11"/>
  <c r="U111" i="12"/>
  <c r="T111" i="12"/>
  <c r="S111" i="12"/>
  <c r="R111" i="12"/>
  <c r="Q111" i="12"/>
  <c r="P111" i="12"/>
  <c r="O111" i="12"/>
  <c r="N111" i="12"/>
  <c r="M111" i="12"/>
  <c r="K111" i="12"/>
  <c r="J111" i="12"/>
  <c r="I111" i="12"/>
  <c r="G111" i="12"/>
  <c r="F111" i="12"/>
  <c r="AB111" i="12" s="1"/>
  <c r="E111" i="12"/>
  <c r="AA111" i="12" s="1"/>
  <c r="BU123" i="11"/>
  <c r="BK123" i="11"/>
  <c r="BJ123" i="11"/>
  <c r="BI123" i="11"/>
  <c r="BD123" i="11"/>
  <c r="AS123" i="11"/>
  <c r="AL123" i="11"/>
  <c r="AI111" i="12"/>
  <c r="AJ123" i="11"/>
  <c r="AF111" i="12"/>
  <c r="AK123" i="11"/>
  <c r="AC111" i="12"/>
  <c r="W111" i="12"/>
  <c r="V111" i="12"/>
  <c r="AI110" i="12"/>
  <c r="AF110" i="12"/>
  <c r="AC110" i="12"/>
  <c r="W110" i="12"/>
  <c r="G110" i="12"/>
  <c r="V110" i="12"/>
  <c r="U110" i="12"/>
  <c r="T110" i="12"/>
  <c r="S110" i="12"/>
  <c r="Q110" i="12"/>
  <c r="P110" i="12"/>
  <c r="O110" i="12"/>
  <c r="BI122" i="11"/>
  <c r="BJ122" i="11"/>
  <c r="N110" i="12"/>
  <c r="BU122" i="11"/>
  <c r="M110" i="12"/>
  <c r="K110" i="12"/>
  <c r="J110" i="12"/>
  <c r="I110" i="12"/>
  <c r="R110" i="12"/>
  <c r="F110" i="12"/>
  <c r="AB110" i="12" s="1"/>
  <c r="E110" i="12"/>
  <c r="AA110" i="12" s="1"/>
  <c r="BK122" i="11"/>
  <c r="BD122" i="11"/>
  <c r="AS122" i="11"/>
  <c r="AL122" i="11"/>
  <c r="AK122" i="11"/>
  <c r="AJ122" i="11"/>
  <c r="AI109" i="12"/>
  <c r="AF109" i="12"/>
  <c r="AC109" i="12"/>
  <c r="W109" i="12"/>
  <c r="V109" i="12"/>
  <c r="U109" i="12"/>
  <c r="T109" i="12"/>
  <c r="S109" i="12"/>
  <c r="R109" i="12"/>
  <c r="Q109" i="12"/>
  <c r="O109" i="12"/>
  <c r="N109" i="12"/>
  <c r="M109" i="12"/>
  <c r="K109" i="12"/>
  <c r="J109" i="12"/>
  <c r="I109" i="12"/>
  <c r="G109" i="12"/>
  <c r="F109" i="12"/>
  <c r="AB109" i="12" s="1"/>
  <c r="E109" i="12"/>
  <c r="AA109" i="12" s="1"/>
  <c r="BU121" i="11"/>
  <c r="BK121" i="11"/>
  <c r="BJ121" i="11"/>
  <c r="BI121" i="11"/>
  <c r="P109" i="12"/>
  <c r="BD121" i="11"/>
  <c r="AS121" i="11"/>
  <c r="AL121" i="11"/>
  <c r="AK121" i="11"/>
  <c r="AJ121" i="11"/>
  <c r="AI108" i="12"/>
  <c r="AF108" i="12"/>
  <c r="AC108" i="12"/>
  <c r="W108" i="12"/>
  <c r="V108" i="12"/>
  <c r="U108" i="12"/>
  <c r="T108" i="12"/>
  <c r="S108" i="12"/>
  <c r="R108" i="12"/>
  <c r="Q108" i="12"/>
  <c r="P108" i="12"/>
  <c r="O108" i="12"/>
  <c r="N108" i="12"/>
  <c r="M108" i="12"/>
  <c r="K108" i="12"/>
  <c r="J108" i="12"/>
  <c r="I108" i="12"/>
  <c r="G108" i="12"/>
  <c r="F108" i="12"/>
  <c r="AB108" i="12" s="1"/>
  <c r="E108" i="12"/>
  <c r="AA108" i="12" s="1"/>
  <c r="AS120" i="11"/>
  <c r="BD120" i="11"/>
  <c r="BI120" i="11"/>
  <c r="BU120" i="11"/>
  <c r="BK120" i="11"/>
  <c r="BJ120" i="11"/>
  <c r="AJ120" i="11"/>
  <c r="AK120" i="11"/>
  <c r="AL120" i="11"/>
  <c r="W107" i="12"/>
  <c r="V107" i="12"/>
  <c r="U107" i="12"/>
  <c r="T107" i="12"/>
  <c r="S107" i="12"/>
  <c r="R107" i="12"/>
  <c r="Q107" i="12"/>
  <c r="P107" i="12"/>
  <c r="O107" i="12"/>
  <c r="BU119" i="11"/>
  <c r="I107" i="12"/>
  <c r="F107" i="12"/>
  <c r="AB107" i="12" s="1"/>
  <c r="J107" i="12"/>
  <c r="K107" i="12"/>
  <c r="AI107" i="12"/>
  <c r="N107" i="12"/>
  <c r="E107" i="12"/>
  <c r="AA107" i="12" s="1"/>
  <c r="BD119" i="11"/>
  <c r="BI119" i="11"/>
  <c r="BJ119" i="11"/>
  <c r="BK119" i="11"/>
  <c r="G107" i="12"/>
  <c r="AF107" i="12"/>
  <c r="AS119" i="11"/>
  <c r="AL119" i="11"/>
  <c r="AK119" i="11"/>
  <c r="AJ119" i="11"/>
  <c r="AC107" i="12"/>
  <c r="M107" i="12"/>
  <c r="AK118" i="11"/>
  <c r="K106" i="12"/>
  <c r="M106" i="12"/>
  <c r="N106" i="12"/>
  <c r="AJ118" i="11"/>
  <c r="AL118" i="11"/>
  <c r="AS118" i="11"/>
  <c r="O106" i="12"/>
  <c r="BD118" i="11"/>
  <c r="P106" i="12"/>
  <c r="BI118" i="11"/>
  <c r="BJ118" i="11"/>
  <c r="BK118" i="11"/>
  <c r="BU118" i="11"/>
  <c r="Q106" i="12"/>
  <c r="R106" i="12"/>
  <c r="S106" i="12"/>
  <c r="T106" i="12"/>
  <c r="U106" i="12"/>
  <c r="V106" i="12"/>
  <c r="W106" i="12"/>
  <c r="AC106" i="12"/>
  <c r="AF106" i="12"/>
  <c r="AI106" i="12"/>
  <c r="F106" i="12"/>
  <c r="AB106" i="12" s="1"/>
  <c r="G106" i="12"/>
  <c r="E106" i="12"/>
  <c r="AA106" i="12" s="1"/>
  <c r="I106" i="12"/>
  <c r="J106" i="12"/>
  <c r="BP117" i="11"/>
  <c r="BO117" i="11"/>
  <c r="BM117" i="11"/>
  <c r="BL117" i="11"/>
  <c r="AT117" i="11"/>
  <c r="AU117" i="11"/>
  <c r="AI105" i="12"/>
  <c r="AF105" i="12"/>
  <c r="AC105" i="12"/>
  <c r="W105" i="12"/>
  <c r="V105" i="12"/>
  <c r="U105" i="12"/>
  <c r="T105" i="12"/>
  <c r="S105" i="12"/>
  <c r="R105" i="12"/>
  <c r="P105" i="12"/>
  <c r="O105" i="12"/>
  <c r="N105" i="12"/>
  <c r="K105" i="12"/>
  <c r="I105" i="12"/>
  <c r="F105" i="12"/>
  <c r="AB105" i="12" s="1"/>
  <c r="J105" i="12"/>
  <c r="E105" i="12"/>
  <c r="AA105" i="12" s="1"/>
  <c r="G105" i="12"/>
  <c r="AJ117" i="11"/>
  <c r="Q105" i="12"/>
  <c r="M105" i="12"/>
  <c r="AI104" i="12"/>
  <c r="AF104" i="12"/>
  <c r="AC104" i="12"/>
  <c r="V104" i="12"/>
  <c r="T104" i="12"/>
  <c r="R104" i="12"/>
  <c r="P104" i="12"/>
  <c r="N104" i="12"/>
  <c r="J104" i="12"/>
  <c r="F104" i="12"/>
  <c r="AB104" i="12" s="1"/>
  <c r="BI116" i="11"/>
  <c r="E104" i="12"/>
  <c r="AA104" i="12" s="1"/>
  <c r="G104" i="12"/>
  <c r="AJ116" i="11"/>
  <c r="AK116" i="11"/>
  <c r="AL116" i="11"/>
  <c r="AS116" i="11"/>
  <c r="BJ116" i="11"/>
  <c r="BU116" i="11"/>
  <c r="BD116" i="11"/>
  <c r="BK116" i="11"/>
  <c r="W104" i="12"/>
  <c r="U104" i="12"/>
  <c r="S104" i="12"/>
  <c r="Q104" i="12"/>
  <c r="O104" i="12"/>
  <c r="M104" i="12"/>
  <c r="K104" i="12"/>
  <c r="I104" i="12"/>
  <c r="F103" i="12"/>
  <c r="AB103" i="12" s="1"/>
  <c r="I103" i="12"/>
  <c r="AI103" i="12"/>
  <c r="AC103" i="12"/>
  <c r="W103" i="12"/>
  <c r="U103" i="12"/>
  <c r="T103" i="12"/>
  <c r="AF103" i="12"/>
  <c r="Q103" i="12"/>
  <c r="O103" i="12"/>
  <c r="K103" i="12"/>
  <c r="G103" i="12"/>
  <c r="E103" i="12"/>
  <c r="AA103" i="12" s="1"/>
  <c r="AJ115" i="11"/>
  <c r="AL115" i="11"/>
  <c r="AS115" i="11"/>
  <c r="J103" i="12"/>
  <c r="BD115" i="11"/>
  <c r="M103" i="12"/>
  <c r="N103" i="12"/>
  <c r="P103" i="12"/>
  <c r="S103" i="12"/>
  <c r="BU115" i="11"/>
  <c r="R103" i="12"/>
  <c r="AK115" i="11"/>
  <c r="V103" i="12"/>
  <c r="BI115" i="11"/>
  <c r="BJ115" i="11"/>
  <c r="BK115" i="11"/>
  <c r="AI102" i="12"/>
  <c r="AC102" i="12"/>
  <c r="U102" i="12"/>
  <c r="T102" i="12"/>
  <c r="S102" i="12"/>
  <c r="R102" i="12"/>
  <c r="Q102" i="12"/>
  <c r="P102" i="12"/>
  <c r="M102" i="12"/>
  <c r="I102" i="12"/>
  <c r="F102" i="12"/>
  <c r="AB102" i="12" s="1"/>
  <c r="AF102" i="12"/>
  <c r="W102" i="12"/>
  <c r="V102" i="12"/>
  <c r="O102" i="12"/>
  <c r="K102" i="12"/>
  <c r="BK114" i="11"/>
  <c r="BI114" i="11"/>
  <c r="AS114" i="11"/>
  <c r="AJ114" i="11"/>
  <c r="J102" i="12"/>
  <c r="G102" i="12"/>
  <c r="E102" i="12"/>
  <c r="AA102" i="12" s="1"/>
  <c r="N102" i="12"/>
  <c r="BJ114" i="11"/>
  <c r="BD114" i="11"/>
  <c r="AL114" i="11"/>
  <c r="BU114" i="11"/>
  <c r="AK114" i="11"/>
  <c r="AF101" i="12"/>
  <c r="S101" i="12"/>
  <c r="Q101" i="12"/>
  <c r="O101" i="12"/>
  <c r="BK113" i="11"/>
  <c r="BI113" i="11"/>
  <c r="BU113" i="11"/>
  <c r="BJ113" i="11"/>
  <c r="AK113" i="11"/>
  <c r="T101" i="12"/>
  <c r="N101" i="12"/>
  <c r="K101" i="12"/>
  <c r="I101" i="12"/>
  <c r="F101" i="12"/>
  <c r="AB101" i="12" s="1"/>
  <c r="E101" i="12"/>
  <c r="AA101" i="12" s="1"/>
  <c r="W101" i="12"/>
  <c r="AJ113" i="11"/>
  <c r="AS113" i="11"/>
  <c r="BD113" i="11"/>
  <c r="AL113" i="11"/>
  <c r="AC101" i="12"/>
  <c r="U101" i="12"/>
  <c r="AI101" i="12"/>
  <c r="V101" i="12"/>
  <c r="M101" i="12"/>
  <c r="J101" i="12"/>
  <c r="G101" i="12"/>
  <c r="P101" i="12"/>
  <c r="R101" i="12"/>
  <c r="BJ112" i="11"/>
  <c r="AC100" i="12"/>
  <c r="W100" i="12"/>
  <c r="U100" i="12"/>
  <c r="S100" i="12"/>
  <c r="P100" i="12"/>
  <c r="N100" i="12"/>
  <c r="K100" i="12"/>
  <c r="I100" i="12"/>
  <c r="G100" i="12"/>
  <c r="T100" i="12"/>
  <c r="AF100" i="12"/>
  <c r="AI100" i="12"/>
  <c r="BU112" i="11"/>
  <c r="E100" i="12"/>
  <c r="AA100" i="12" s="1"/>
  <c r="V100" i="12"/>
  <c r="BK112" i="11"/>
  <c r="BI112" i="11"/>
  <c r="BD112" i="11"/>
  <c r="AL112" i="11"/>
  <c r="AJ112" i="11"/>
  <c r="AK112" i="11"/>
  <c r="AS112" i="11"/>
  <c r="F100" i="12"/>
  <c r="AB100" i="12" s="1"/>
  <c r="J100" i="12"/>
  <c r="M100" i="12"/>
  <c r="O100" i="12"/>
  <c r="Q100" i="12"/>
  <c r="R100" i="12"/>
  <c r="G99" i="12"/>
  <c r="AJ111" i="11"/>
  <c r="V99" i="12"/>
  <c r="W99" i="12"/>
  <c r="AC99" i="12"/>
  <c r="AF99" i="12"/>
  <c r="AI99" i="12"/>
  <c r="T99" i="12"/>
  <c r="BI111" i="11"/>
  <c r="BJ111" i="11"/>
  <c r="BK111" i="11"/>
  <c r="S99" i="12"/>
  <c r="R99" i="12"/>
  <c r="Q99" i="12"/>
  <c r="O99" i="12"/>
  <c r="E99" i="12"/>
  <c r="AA99" i="12" s="1"/>
  <c r="N99" i="12"/>
  <c r="M99" i="12"/>
  <c r="K99" i="12"/>
  <c r="P99" i="12"/>
  <c r="U99" i="12"/>
  <c r="AL111" i="11"/>
  <c r="BD111" i="11"/>
  <c r="AK111" i="11"/>
  <c r="F99" i="12"/>
  <c r="AB99" i="12" s="1"/>
  <c r="J99" i="12"/>
  <c r="I99" i="12"/>
  <c r="AS111" i="11"/>
  <c r="AC98" i="12"/>
  <c r="W98" i="12"/>
  <c r="V98" i="12"/>
  <c r="U98" i="12"/>
  <c r="T98" i="12"/>
  <c r="S98" i="12"/>
  <c r="R98" i="12"/>
  <c r="Q98" i="12"/>
  <c r="P98" i="12"/>
  <c r="O98" i="12"/>
  <c r="N98" i="12"/>
  <c r="M98" i="12"/>
  <c r="K98" i="12"/>
  <c r="J98" i="12"/>
  <c r="I98" i="12"/>
  <c r="G98" i="12"/>
  <c r="F98" i="12"/>
  <c r="AB98" i="12" s="1"/>
  <c r="E98" i="12"/>
  <c r="AA98" i="12" s="1"/>
  <c r="BJ110" i="11"/>
  <c r="BD110" i="11"/>
  <c r="AJ110" i="11"/>
  <c r="BI110" i="11"/>
  <c r="AK110" i="11"/>
  <c r="AL110" i="11"/>
  <c r="BK110" i="11"/>
  <c r="BU110" i="11"/>
  <c r="AS110" i="11"/>
  <c r="AI98" i="12"/>
  <c r="AF98" i="12"/>
  <c r="BJ109" i="11"/>
  <c r="BU109" i="11"/>
  <c r="AI97" i="12"/>
  <c r="I97" i="12"/>
  <c r="AC97" i="12"/>
  <c r="BI109" i="11"/>
  <c r="V97" i="12"/>
  <c r="U97" i="12"/>
  <c r="T97" i="12"/>
  <c r="S97" i="12"/>
  <c r="R97" i="12"/>
  <c r="Q97" i="12"/>
  <c r="BK109" i="11"/>
  <c r="P97" i="12"/>
  <c r="O97" i="12"/>
  <c r="AF97" i="12"/>
  <c r="N97" i="12"/>
  <c r="M97" i="12"/>
  <c r="K97" i="12"/>
  <c r="J97" i="12"/>
  <c r="G97" i="12"/>
  <c r="AK109" i="11"/>
  <c r="F97" i="12"/>
  <c r="AB97" i="12" s="1"/>
  <c r="E97" i="12"/>
  <c r="AA97" i="12" s="1"/>
  <c r="BD109" i="11"/>
  <c r="AJ109" i="11"/>
  <c r="W97" i="12"/>
  <c r="AL109" i="11"/>
  <c r="AS109" i="11"/>
  <c r="AK108" i="11"/>
  <c r="N96" i="12"/>
  <c r="AI96" i="12"/>
  <c r="O96" i="12"/>
  <c r="I96" i="12"/>
  <c r="G96" i="12"/>
  <c r="P96" i="12"/>
  <c r="Q96" i="12"/>
  <c r="S96" i="12"/>
  <c r="F96" i="12"/>
  <c r="AB96" i="12" s="1"/>
  <c r="BK108" i="11"/>
  <c r="BD108" i="11"/>
  <c r="E96" i="12"/>
  <c r="AA96" i="12" s="1"/>
  <c r="R96" i="12"/>
  <c r="T96" i="12"/>
  <c r="U96" i="12"/>
  <c r="V96" i="12"/>
  <c r="W96" i="12"/>
  <c r="AC96" i="12"/>
  <c r="BI108" i="11"/>
  <c r="BJ108" i="11"/>
  <c r="AF96" i="12"/>
  <c r="AS108" i="11"/>
  <c r="BU108" i="11"/>
  <c r="AL108" i="11"/>
  <c r="AJ108" i="11"/>
  <c r="M96" i="12"/>
  <c r="K96" i="12"/>
  <c r="J96" i="12"/>
  <c r="AS107" i="11"/>
  <c r="R95" i="12"/>
  <c r="BI107" i="11"/>
  <c r="E95" i="12"/>
  <c r="AA95" i="12" s="1"/>
  <c r="AL107" i="11"/>
  <c r="BK107" i="11"/>
  <c r="BU107" i="11"/>
  <c r="BJ107" i="11"/>
  <c r="BD107" i="11"/>
  <c r="AK107" i="11"/>
  <c r="AJ107" i="11"/>
  <c r="AI95" i="12"/>
  <c r="AF95" i="12"/>
  <c r="AC95" i="12"/>
  <c r="W95" i="12"/>
  <c r="V95" i="12"/>
  <c r="U95" i="12"/>
  <c r="T95" i="12"/>
  <c r="S95" i="12"/>
  <c r="Q95" i="12"/>
  <c r="P95" i="12"/>
  <c r="O95" i="12"/>
  <c r="N95" i="12"/>
  <c r="M95" i="12"/>
  <c r="K95" i="12"/>
  <c r="J95" i="12"/>
  <c r="I95" i="12"/>
  <c r="G95" i="12"/>
  <c r="F95" i="12"/>
  <c r="AB95" i="12" s="1"/>
  <c r="BP106" i="11"/>
  <c r="BO106" i="11"/>
  <c r="BM106" i="11"/>
  <c r="BL106" i="11"/>
  <c r="P106" i="11"/>
  <c r="AU106" i="11"/>
  <c r="AT106" i="11"/>
  <c r="AR106" i="11"/>
  <c r="AO106" i="11"/>
  <c r="AQ106" i="11"/>
  <c r="AN106" i="11"/>
  <c r="AM106" i="11"/>
  <c r="AP106" i="11"/>
  <c r="I94" i="12"/>
  <c r="S94" i="12"/>
  <c r="R94" i="12"/>
  <c r="Q94" i="12"/>
  <c r="P94" i="12"/>
  <c r="O94" i="12"/>
  <c r="N94" i="12"/>
  <c r="M94" i="12"/>
  <c r="K94" i="12"/>
  <c r="J94" i="12"/>
  <c r="V94" i="12"/>
  <c r="G94" i="12"/>
  <c r="F94" i="12"/>
  <c r="AB94" i="12" s="1"/>
  <c r="E94" i="12"/>
  <c r="AA94" i="12" s="1"/>
  <c r="AC94" i="12"/>
  <c r="W94" i="12"/>
  <c r="AI94" i="12"/>
  <c r="AF94" i="12"/>
  <c r="T94" i="12"/>
  <c r="U94" i="12"/>
  <c r="T93" i="12"/>
  <c r="S93" i="12"/>
  <c r="R93" i="12"/>
  <c r="Q93" i="12"/>
  <c r="P93" i="12"/>
  <c r="O93" i="12"/>
  <c r="N93" i="12"/>
  <c r="M93" i="12"/>
  <c r="K93" i="12"/>
  <c r="J93" i="12"/>
  <c r="I93" i="12"/>
  <c r="G93" i="12"/>
  <c r="F93" i="12"/>
  <c r="AB93" i="12" s="1"/>
  <c r="E93" i="12"/>
  <c r="AA93" i="12" s="1"/>
  <c r="BK105" i="11"/>
  <c r="AI93" i="12"/>
  <c r="AF93" i="12"/>
  <c r="AC93" i="12"/>
  <c r="W93" i="12"/>
  <c r="BI105" i="11"/>
  <c r="AL105" i="11"/>
  <c r="AK105" i="11"/>
  <c r="V93" i="12"/>
  <c r="BU105" i="11"/>
  <c r="BJ105" i="11"/>
  <c r="U93" i="12"/>
  <c r="AS105" i="11"/>
  <c r="AJ105" i="11"/>
  <c r="BD105" i="11"/>
  <c r="I92" i="12"/>
  <c r="G92" i="12"/>
  <c r="F92" i="12"/>
  <c r="AB92" i="12" s="1"/>
  <c r="E92" i="12"/>
  <c r="AA92" i="12" s="1"/>
  <c r="R92" i="12"/>
  <c r="AI92" i="12"/>
  <c r="AF92" i="12"/>
  <c r="AC92" i="12"/>
  <c r="W92" i="12"/>
  <c r="BJ104" i="11"/>
  <c r="BD104" i="11"/>
  <c r="AL104" i="11"/>
  <c r="AK104" i="11"/>
  <c r="BU104" i="11"/>
  <c r="V92" i="12"/>
  <c r="U92" i="12"/>
  <c r="T92" i="12"/>
  <c r="S92" i="12"/>
  <c r="Q92" i="12"/>
  <c r="P92" i="12"/>
  <c r="O92" i="12"/>
  <c r="N92" i="12"/>
  <c r="M92" i="12"/>
  <c r="K92" i="12"/>
  <c r="BK104" i="11"/>
  <c r="BI104" i="11"/>
  <c r="AS104" i="11"/>
  <c r="AJ104" i="11"/>
  <c r="J92" i="12"/>
  <c r="AC91" i="12"/>
  <c r="W91" i="12"/>
  <c r="V91" i="12"/>
  <c r="U91" i="12"/>
  <c r="T91" i="12"/>
  <c r="AI91" i="12"/>
  <c r="AK103" i="11"/>
  <c r="E91" i="12"/>
  <c r="AA91" i="12" s="1"/>
  <c r="AS103" i="11"/>
  <c r="AJ103" i="11"/>
  <c r="G91" i="12"/>
  <c r="F91" i="12"/>
  <c r="AB91" i="12" s="1"/>
  <c r="BK103" i="11"/>
  <c r="BI103" i="11"/>
  <c r="BD103" i="11"/>
  <c r="AL103" i="11"/>
  <c r="S91" i="12"/>
  <c r="BJ103" i="11"/>
  <c r="AF91" i="12"/>
  <c r="R91" i="12"/>
  <c r="Q91" i="12"/>
  <c r="P91" i="12"/>
  <c r="BU103" i="11"/>
  <c r="O91" i="12"/>
  <c r="N91" i="12"/>
  <c r="M91" i="12"/>
  <c r="K91" i="12"/>
  <c r="J91" i="12"/>
  <c r="I91" i="12"/>
  <c r="U90" i="12"/>
  <c r="T90" i="12"/>
  <c r="S90" i="12"/>
  <c r="R90" i="12"/>
  <c r="Q90" i="12"/>
  <c r="O90" i="12"/>
  <c r="N90" i="12"/>
  <c r="M90" i="12"/>
  <c r="K90" i="12"/>
  <c r="J90" i="12"/>
  <c r="I90" i="12"/>
  <c r="G90" i="12"/>
  <c r="F90" i="12"/>
  <c r="AB90" i="12" s="1"/>
  <c r="E90" i="12"/>
  <c r="AA90" i="12" s="1"/>
  <c r="AI90" i="12"/>
  <c r="AF90" i="12"/>
  <c r="AC90" i="12"/>
  <c r="W90" i="12"/>
  <c r="AK102" i="11"/>
  <c r="AS102" i="11"/>
  <c r="P90" i="12"/>
  <c r="BJ102" i="11"/>
  <c r="BD102" i="11"/>
  <c r="AL102" i="11"/>
  <c r="AJ102" i="11"/>
  <c r="BU102" i="11"/>
  <c r="BK102" i="11"/>
  <c r="BI102" i="11"/>
  <c r="V90" i="12"/>
  <c r="BK101" i="11"/>
  <c r="BU101" i="11"/>
  <c r="BD101" i="11"/>
  <c r="AK101" i="11"/>
  <c r="F89" i="12"/>
  <c r="AB89" i="12" s="1"/>
  <c r="G89" i="12"/>
  <c r="I89" i="12"/>
  <c r="J89" i="12"/>
  <c r="K89" i="12"/>
  <c r="BI101" i="11"/>
  <c r="M89" i="12"/>
  <c r="O89" i="12"/>
  <c r="P89" i="12"/>
  <c r="AL101" i="11"/>
  <c r="Q89" i="12"/>
  <c r="R89" i="12"/>
  <c r="S89" i="12"/>
  <c r="T89" i="12"/>
  <c r="BJ101" i="11"/>
  <c r="V89" i="12"/>
  <c r="W89" i="12"/>
  <c r="AC89" i="12"/>
  <c r="AI89" i="12"/>
  <c r="AJ101" i="11"/>
  <c r="E89" i="12"/>
  <c r="AA89" i="12" s="1"/>
  <c r="AF89" i="12"/>
  <c r="N89" i="12"/>
  <c r="U89" i="12"/>
  <c r="AS101" i="11"/>
  <c r="BO100" i="11"/>
  <c r="BP100" i="11"/>
  <c r="BM100" i="11"/>
  <c r="BL100" i="11"/>
  <c r="E88" i="12"/>
  <c r="AA88" i="12" s="1"/>
  <c r="F88" i="12"/>
  <c r="AB88" i="12" s="1"/>
  <c r="I88" i="12"/>
  <c r="J88" i="12"/>
  <c r="K88" i="12"/>
  <c r="M88" i="12"/>
  <c r="N88" i="12"/>
  <c r="O88" i="12"/>
  <c r="P88" i="12"/>
  <c r="AK100" i="11"/>
  <c r="AJ100" i="11"/>
  <c r="V88" i="12"/>
  <c r="Q88" i="12"/>
  <c r="R88" i="12"/>
  <c r="S88" i="12"/>
  <c r="T88" i="12"/>
  <c r="U88" i="12"/>
  <c r="BJ100" i="11"/>
  <c r="BI100" i="11"/>
  <c r="BD100" i="11"/>
  <c r="AS100" i="11"/>
  <c r="AL100" i="11"/>
  <c r="AI88" i="12"/>
  <c r="AF88" i="12"/>
  <c r="AC88" i="12"/>
  <c r="W88" i="12"/>
  <c r="G88" i="12"/>
  <c r="R99" i="11"/>
  <c r="BD99" i="11"/>
  <c r="AJ99" i="11"/>
  <c r="AK99" i="11"/>
  <c r="G87" i="12"/>
  <c r="I87" i="12"/>
  <c r="BI99" i="11"/>
  <c r="BK99" i="11"/>
  <c r="K87" i="12"/>
  <c r="M87" i="12"/>
  <c r="BU99" i="11"/>
  <c r="P87" i="12"/>
  <c r="AI87" i="12"/>
  <c r="AF87" i="12"/>
  <c r="AC87" i="12"/>
  <c r="W87" i="12"/>
  <c r="V87" i="12"/>
  <c r="U87" i="12"/>
  <c r="T87" i="12"/>
  <c r="S87" i="12"/>
  <c r="R87" i="12"/>
  <c r="AL99" i="11"/>
  <c r="Q87" i="12"/>
  <c r="O87" i="12"/>
  <c r="AS99" i="11"/>
  <c r="BJ99" i="11"/>
  <c r="N87" i="12"/>
  <c r="J87" i="12"/>
  <c r="E87" i="12"/>
  <c r="AA87" i="12" s="1"/>
  <c r="F87" i="12"/>
  <c r="AB87" i="12" s="1"/>
  <c r="BI98" i="11"/>
  <c r="E86" i="12"/>
  <c r="AA86" i="12" s="1"/>
  <c r="F86" i="12"/>
  <c r="AB86" i="12" s="1"/>
  <c r="G86" i="12"/>
  <c r="I86" i="12"/>
  <c r="K86" i="12"/>
  <c r="M86" i="12"/>
  <c r="N86" i="12"/>
  <c r="O86" i="12"/>
  <c r="P86" i="12"/>
  <c r="Q86" i="12"/>
  <c r="R86" i="12"/>
  <c r="S86" i="12"/>
  <c r="T86" i="12"/>
  <c r="U86" i="12"/>
  <c r="V86" i="12"/>
  <c r="W86" i="12"/>
  <c r="AC86" i="12"/>
  <c r="AF86" i="12"/>
  <c r="AI86" i="12"/>
  <c r="AL98" i="11"/>
  <c r="BD98" i="11"/>
  <c r="BK98" i="11"/>
  <c r="AJ98" i="11"/>
  <c r="BJ98" i="11"/>
  <c r="BU98" i="11"/>
  <c r="J86" i="12"/>
  <c r="AK98" i="11"/>
  <c r="AS98" i="11"/>
  <c r="AS97" i="11"/>
  <c r="E85" i="12"/>
  <c r="AA85" i="12" s="1"/>
  <c r="BK97" i="11"/>
  <c r="O85" i="12"/>
  <c r="Q85" i="12"/>
  <c r="N85" i="12"/>
  <c r="BJ97" i="11"/>
  <c r="M85" i="12"/>
  <c r="J85" i="12"/>
  <c r="W85" i="12"/>
  <c r="I85" i="12"/>
  <c r="G85" i="12"/>
  <c r="K85" i="12"/>
  <c r="AK97" i="11"/>
  <c r="P85" i="12"/>
  <c r="AI85" i="12"/>
  <c r="R97" i="11"/>
  <c r="F85" i="12"/>
  <c r="AB85" i="12" s="1"/>
  <c r="AL97" i="11"/>
  <c r="R85" i="12"/>
  <c r="S85" i="12"/>
  <c r="T85" i="12"/>
  <c r="U85" i="12"/>
  <c r="V85" i="12"/>
  <c r="BI97" i="11"/>
  <c r="AJ97" i="11"/>
  <c r="BU97" i="11"/>
  <c r="BD97" i="11"/>
  <c r="AC85" i="12"/>
  <c r="AF85" i="12"/>
  <c r="U84" i="12"/>
  <c r="W84" i="12"/>
  <c r="AC84" i="12"/>
  <c r="O84" i="12"/>
  <c r="AI84" i="12"/>
  <c r="AF84" i="12"/>
  <c r="I84" i="12"/>
  <c r="BJ96" i="11"/>
  <c r="BD96" i="11"/>
  <c r="BU96" i="11"/>
  <c r="T84" i="12"/>
  <c r="Q84" i="12"/>
  <c r="V84" i="12"/>
  <c r="P84" i="12"/>
  <c r="N84" i="12"/>
  <c r="M84" i="12"/>
  <c r="K84" i="12"/>
  <c r="J84" i="12"/>
  <c r="AS96" i="11"/>
  <c r="AK96" i="11"/>
  <c r="BK96" i="11"/>
  <c r="AL96" i="11"/>
  <c r="G84" i="12"/>
  <c r="S84" i="12"/>
  <c r="F84" i="12"/>
  <c r="AB84" i="12" s="1"/>
  <c r="E84" i="12"/>
  <c r="AA84" i="12" s="1"/>
  <c r="AJ96" i="11"/>
  <c r="R84" i="12"/>
  <c r="BI96" i="11"/>
  <c r="BO95" i="11"/>
  <c r="BL95" i="11"/>
  <c r="BP95" i="11"/>
  <c r="BM95" i="11"/>
  <c r="AU95" i="11"/>
  <c r="AT95" i="11"/>
  <c r="AO95" i="11"/>
  <c r="AR95" i="11"/>
  <c r="AN95" i="11"/>
  <c r="AQ95" i="11"/>
  <c r="AP95" i="11"/>
  <c r="AM95" i="11"/>
  <c r="U83" i="12"/>
  <c r="E83" i="12"/>
  <c r="AA83" i="12" s="1"/>
  <c r="F83" i="12"/>
  <c r="AB83" i="12" s="1"/>
  <c r="P83" i="12"/>
  <c r="G83" i="12"/>
  <c r="I83" i="12"/>
  <c r="N83" i="12"/>
  <c r="M83" i="12"/>
  <c r="K83" i="12"/>
  <c r="O83" i="12"/>
  <c r="AI83" i="12"/>
  <c r="AF83" i="12"/>
  <c r="AC83" i="12"/>
  <c r="W83" i="12"/>
  <c r="V83" i="12"/>
  <c r="J83" i="12"/>
  <c r="T83" i="12"/>
  <c r="S83" i="12"/>
  <c r="R83" i="12"/>
  <c r="Q83" i="12"/>
  <c r="BJ94" i="11"/>
  <c r="AI82" i="12"/>
  <c r="AF82" i="12"/>
  <c r="AC82" i="12"/>
  <c r="W82" i="12"/>
  <c r="BD94" i="11"/>
  <c r="V82" i="12"/>
  <c r="K82" i="12"/>
  <c r="BI94" i="11"/>
  <c r="AJ94" i="11"/>
  <c r="AK94" i="11"/>
  <c r="E82" i="12"/>
  <c r="AA82" i="12" s="1"/>
  <c r="BU94" i="11"/>
  <c r="BK94" i="11"/>
  <c r="U82" i="12"/>
  <c r="AL94" i="11"/>
  <c r="AS94" i="11"/>
  <c r="G82" i="12"/>
  <c r="I82" i="12"/>
  <c r="J82" i="12"/>
  <c r="T82" i="12"/>
  <c r="F82" i="12"/>
  <c r="AB82" i="12" s="1"/>
  <c r="S82" i="12"/>
  <c r="R82" i="12"/>
  <c r="Q82" i="12"/>
  <c r="P82" i="12"/>
  <c r="O82" i="12"/>
  <c r="N82" i="12"/>
  <c r="M82" i="12"/>
  <c r="AF81" i="12"/>
  <c r="AC81" i="12"/>
  <c r="F81" i="12"/>
  <c r="AB81" i="12" s="1"/>
  <c r="W81" i="12"/>
  <c r="V81" i="12"/>
  <c r="U81" i="12"/>
  <c r="T81" i="12"/>
  <c r="AI81" i="12"/>
  <c r="BJ93" i="11"/>
  <c r="AK93" i="11"/>
  <c r="AS93" i="11"/>
  <c r="S81" i="12"/>
  <c r="R81" i="12"/>
  <c r="Q81" i="12"/>
  <c r="P81" i="12"/>
  <c r="O81" i="12"/>
  <c r="BD93" i="11"/>
  <c r="N81" i="12"/>
  <c r="BI93" i="11"/>
  <c r="J81" i="12"/>
  <c r="M81" i="12"/>
  <c r="BK93" i="11"/>
  <c r="R93" i="11"/>
  <c r="BU93" i="11"/>
  <c r="AL93" i="11"/>
  <c r="I81" i="12"/>
  <c r="G81" i="12"/>
  <c r="E81" i="12"/>
  <c r="AA81" i="12" s="1"/>
  <c r="AJ93" i="11"/>
  <c r="K81" i="12"/>
  <c r="BK92" i="11"/>
  <c r="BU92" i="11"/>
  <c r="AJ92" i="11"/>
  <c r="AF80" i="12"/>
  <c r="T80" i="12"/>
  <c r="P80" i="12"/>
  <c r="N80" i="12"/>
  <c r="K80" i="12"/>
  <c r="J80" i="12"/>
  <c r="I80" i="12"/>
  <c r="G80" i="12"/>
  <c r="F80" i="12"/>
  <c r="AB80" i="12" s="1"/>
  <c r="E80" i="12"/>
  <c r="AA80" i="12" s="1"/>
  <c r="AL92" i="11"/>
  <c r="BJ92" i="11"/>
  <c r="AI80" i="12"/>
  <c r="AS92" i="11"/>
  <c r="BD92" i="11"/>
  <c r="M80" i="12"/>
  <c r="O80" i="12"/>
  <c r="Q80" i="12"/>
  <c r="R80" i="12"/>
  <c r="S80" i="12"/>
  <c r="U80" i="12"/>
  <c r="V80" i="12"/>
  <c r="W80" i="12"/>
  <c r="AC80" i="12"/>
  <c r="AK92" i="11"/>
  <c r="BI92" i="11"/>
  <c r="U79" i="12"/>
  <c r="AC79" i="12"/>
  <c r="AF79" i="12"/>
  <c r="AI79" i="12"/>
  <c r="G79" i="12"/>
  <c r="BU91" i="11"/>
  <c r="K79" i="12"/>
  <c r="F79" i="12"/>
  <c r="AB79" i="12" s="1"/>
  <c r="T79" i="12"/>
  <c r="BI91" i="11"/>
  <c r="J79" i="12"/>
  <c r="S79" i="12"/>
  <c r="R79" i="12"/>
  <c r="AL91" i="11"/>
  <c r="I79" i="12"/>
  <c r="R91" i="11"/>
  <c r="AK91" i="11"/>
  <c r="BJ91" i="11"/>
  <c r="M79" i="12"/>
  <c r="O79" i="12"/>
  <c r="Q79" i="12"/>
  <c r="V79" i="12"/>
  <c r="W79" i="12"/>
  <c r="BK91" i="11"/>
  <c r="AJ91" i="11"/>
  <c r="AS91" i="11"/>
  <c r="N79" i="12"/>
  <c r="E79" i="12"/>
  <c r="AA79" i="12" s="1"/>
  <c r="P79" i="12"/>
  <c r="BD91" i="11"/>
  <c r="J78" i="12"/>
  <c r="BU90" i="11"/>
  <c r="BJ90" i="11"/>
  <c r="AJ90" i="11"/>
  <c r="AL90" i="11"/>
  <c r="AS90" i="11"/>
  <c r="BI90" i="11"/>
  <c r="S78" i="12"/>
  <c r="N78" i="12"/>
  <c r="K78" i="12"/>
  <c r="I78" i="12"/>
  <c r="F78" i="12"/>
  <c r="AB78" i="12" s="1"/>
  <c r="BD90" i="11"/>
  <c r="E78" i="12"/>
  <c r="AA78" i="12" s="1"/>
  <c r="G78" i="12"/>
  <c r="M78" i="12"/>
  <c r="O78" i="12"/>
  <c r="P78" i="12"/>
  <c r="R78" i="12"/>
  <c r="AC78" i="12"/>
  <c r="AI78" i="12"/>
  <c r="BK90" i="11"/>
  <c r="Q78" i="12"/>
  <c r="AF78" i="12"/>
  <c r="V78" i="12"/>
  <c r="U78" i="12"/>
  <c r="W78" i="12"/>
  <c r="AK90" i="11"/>
  <c r="T78" i="12"/>
  <c r="BO89" i="11"/>
  <c r="BM89" i="11"/>
  <c r="BP89" i="11"/>
  <c r="BL89" i="11"/>
  <c r="W77" i="12"/>
  <c r="AC77" i="12"/>
  <c r="AI77" i="12"/>
  <c r="K77" i="12"/>
  <c r="BD89" i="11"/>
  <c r="AS89" i="11"/>
  <c r="AL89" i="11"/>
  <c r="AK89" i="11"/>
  <c r="AJ89" i="11"/>
  <c r="E77" i="12"/>
  <c r="AA77" i="12" s="1"/>
  <c r="G77" i="12"/>
  <c r="J77" i="12"/>
  <c r="M77" i="12"/>
  <c r="O77" i="12"/>
  <c r="S77" i="12"/>
  <c r="U77" i="12"/>
  <c r="AF77" i="12"/>
  <c r="Q77" i="12"/>
  <c r="F77" i="12"/>
  <c r="AB77" i="12" s="1"/>
  <c r="I77" i="12"/>
  <c r="N77" i="12"/>
  <c r="P77" i="12"/>
  <c r="R77" i="12"/>
  <c r="T77" i="12"/>
  <c r="V77" i="12"/>
  <c r="E76" i="12"/>
  <c r="AA76" i="12" s="1"/>
  <c r="AC76" i="12"/>
  <c r="BK88" i="11"/>
  <c r="AF76" i="12"/>
  <c r="R88" i="11"/>
  <c r="AS88" i="11"/>
  <c r="BU88" i="11"/>
  <c r="Q76" i="12"/>
  <c r="BI88" i="11"/>
  <c r="BD88" i="11"/>
  <c r="AK88" i="11"/>
  <c r="AL88" i="11"/>
  <c r="AJ88" i="11"/>
  <c r="K76" i="12"/>
  <c r="J76" i="12"/>
  <c r="F76" i="12"/>
  <c r="AB76" i="12" s="1"/>
  <c r="AI76" i="12"/>
  <c r="G76" i="12"/>
  <c r="I76" i="12"/>
  <c r="M76" i="12"/>
  <c r="W76" i="12"/>
  <c r="V76" i="12"/>
  <c r="U76" i="12"/>
  <c r="T76" i="12"/>
  <c r="S76" i="12"/>
  <c r="R76" i="12"/>
  <c r="P76" i="12"/>
  <c r="O76" i="12"/>
  <c r="N76" i="12"/>
  <c r="BJ88" i="11"/>
  <c r="T75" i="12"/>
  <c r="BI87" i="11"/>
  <c r="AI75" i="12"/>
  <c r="AK87" i="11"/>
  <c r="AS87" i="11"/>
  <c r="W75" i="12"/>
  <c r="V75" i="12"/>
  <c r="U75" i="12"/>
  <c r="S75" i="12"/>
  <c r="Q75" i="12"/>
  <c r="O75" i="12"/>
  <c r="R75" i="12"/>
  <c r="M75" i="12"/>
  <c r="I75" i="12"/>
  <c r="N75" i="12"/>
  <c r="F75" i="12"/>
  <c r="AB75" i="12" s="1"/>
  <c r="BK87" i="11"/>
  <c r="BD87" i="11"/>
  <c r="AL87" i="11"/>
  <c r="P75" i="12"/>
  <c r="E75" i="12"/>
  <c r="AA75" i="12" s="1"/>
  <c r="AJ87" i="11"/>
  <c r="G75" i="12"/>
  <c r="J75" i="12"/>
  <c r="K75" i="12"/>
  <c r="AC75" i="12"/>
  <c r="BJ87" i="11"/>
  <c r="AF75" i="12"/>
  <c r="BU87" i="11"/>
  <c r="T74" i="12"/>
  <c r="O74" i="12"/>
  <c r="K74" i="12"/>
  <c r="I74" i="12"/>
  <c r="BK86" i="11"/>
  <c r="AI74" i="12"/>
  <c r="AC74" i="12"/>
  <c r="W74" i="12"/>
  <c r="V74" i="12"/>
  <c r="U74" i="12"/>
  <c r="S74" i="12"/>
  <c r="Q74" i="12"/>
  <c r="F74" i="12"/>
  <c r="AB74" i="12" s="1"/>
  <c r="P74" i="12"/>
  <c r="M74" i="12"/>
  <c r="J74" i="12"/>
  <c r="G74" i="12"/>
  <c r="E74" i="12"/>
  <c r="AA74" i="12" s="1"/>
  <c r="AJ86" i="11"/>
  <c r="BD86" i="11"/>
  <c r="BI86" i="11"/>
  <c r="BJ86" i="11"/>
  <c r="BU86" i="11"/>
  <c r="R74" i="12"/>
  <c r="AL86" i="11"/>
  <c r="N74" i="12"/>
  <c r="AS86" i="11"/>
  <c r="AK86" i="11"/>
  <c r="AF74" i="12"/>
  <c r="W73" i="12"/>
  <c r="AC73" i="12"/>
  <c r="E73" i="12"/>
  <c r="AA73" i="12" s="1"/>
  <c r="BU85" i="11"/>
  <c r="BI85" i="11"/>
  <c r="AS85" i="11"/>
  <c r="AL85" i="11"/>
  <c r="N73" i="12"/>
  <c r="P73" i="12"/>
  <c r="AK85" i="11"/>
  <c r="R73" i="12"/>
  <c r="T73" i="12"/>
  <c r="V73" i="12"/>
  <c r="AF73" i="12"/>
  <c r="AI73" i="12"/>
  <c r="J73" i="12"/>
  <c r="BD85" i="11"/>
  <c r="F73" i="12"/>
  <c r="AB73" i="12" s="1"/>
  <c r="I73" i="12"/>
  <c r="K73" i="12"/>
  <c r="BK85" i="11"/>
  <c r="BJ85" i="11"/>
  <c r="AJ85" i="11"/>
  <c r="Q73" i="12"/>
  <c r="S73" i="12"/>
  <c r="U73" i="12"/>
  <c r="G73" i="12"/>
  <c r="M73" i="12"/>
  <c r="O73" i="12"/>
  <c r="BX94" i="11"/>
  <c r="L19" i="11"/>
  <c r="BX113" i="11"/>
  <c r="BX114" i="11"/>
  <c r="BX112" i="11"/>
  <c r="BD84" i="11"/>
  <c r="AK84" i="11"/>
  <c r="AJ84" i="11"/>
  <c r="S72" i="12"/>
  <c r="F72" i="12"/>
  <c r="AB72" i="12" s="1"/>
  <c r="V72" i="12"/>
  <c r="AF72" i="12"/>
  <c r="AI72" i="12"/>
  <c r="T72" i="12"/>
  <c r="U72" i="12"/>
  <c r="G72" i="12"/>
  <c r="Q84" i="11"/>
  <c r="R84" i="11"/>
  <c r="R72" i="12"/>
  <c r="AL84" i="11"/>
  <c r="P72" i="12"/>
  <c r="BK84" i="11"/>
  <c r="N72" i="12"/>
  <c r="J72" i="12"/>
  <c r="W72" i="12"/>
  <c r="AC72" i="12"/>
  <c r="Q72" i="12"/>
  <c r="O72" i="12"/>
  <c r="M72" i="12"/>
  <c r="K72" i="12"/>
  <c r="I72" i="12"/>
  <c r="E72" i="12"/>
  <c r="AA72" i="12" s="1"/>
  <c r="BU84" i="11"/>
  <c r="BJ84" i="11"/>
  <c r="AS84" i="11"/>
  <c r="BI84" i="11"/>
  <c r="AF71" i="12"/>
  <c r="BD83" i="11"/>
  <c r="N71" i="12"/>
  <c r="AK83" i="11"/>
  <c r="AI71" i="12"/>
  <c r="AL83" i="11"/>
  <c r="AS83" i="11"/>
  <c r="BI83" i="11"/>
  <c r="BJ83" i="11"/>
  <c r="BK83" i="11"/>
  <c r="W71" i="12"/>
  <c r="V71" i="12"/>
  <c r="T71" i="12"/>
  <c r="S71" i="12"/>
  <c r="R71" i="12"/>
  <c r="Q71" i="12"/>
  <c r="O71" i="12"/>
  <c r="M71" i="12"/>
  <c r="K71" i="12"/>
  <c r="J71" i="12"/>
  <c r="G71" i="12"/>
  <c r="F71" i="12"/>
  <c r="AB71" i="12" s="1"/>
  <c r="E71" i="12"/>
  <c r="AA71" i="12" s="1"/>
  <c r="I71" i="12"/>
  <c r="BU83" i="11"/>
  <c r="P71" i="12"/>
  <c r="U71" i="12"/>
  <c r="AC71" i="12"/>
  <c r="AJ83" i="11"/>
  <c r="M70" i="12"/>
  <c r="K70" i="12"/>
  <c r="J70" i="12"/>
  <c r="I70" i="12"/>
  <c r="G70" i="12"/>
  <c r="F70" i="12"/>
  <c r="AB70" i="12" s="1"/>
  <c r="E70" i="12"/>
  <c r="AA70" i="12" s="1"/>
  <c r="AS82" i="11"/>
  <c r="AL82" i="11"/>
  <c r="AK82" i="11"/>
  <c r="AJ82" i="11"/>
  <c r="BK82" i="11"/>
  <c r="BU82" i="11"/>
  <c r="BJ82" i="11"/>
  <c r="BI82" i="11"/>
  <c r="BD82" i="11"/>
  <c r="AI70" i="12"/>
  <c r="AF70" i="12"/>
  <c r="AC70" i="12"/>
  <c r="W70" i="12"/>
  <c r="V70" i="12"/>
  <c r="U70" i="12"/>
  <c r="T70" i="12"/>
  <c r="S70" i="12"/>
  <c r="R70" i="12"/>
  <c r="Q70" i="12"/>
  <c r="P70" i="12"/>
  <c r="O70" i="12"/>
  <c r="N70" i="12"/>
  <c r="AS81" i="11"/>
  <c r="O69" i="12"/>
  <c r="P69" i="12"/>
  <c r="Q69" i="12"/>
  <c r="R69" i="12"/>
  <c r="BD81" i="11"/>
  <c r="AI69" i="12"/>
  <c r="AF69" i="12"/>
  <c r="AC69" i="12"/>
  <c r="W69" i="12"/>
  <c r="V69" i="12"/>
  <c r="U69" i="12"/>
  <c r="T69" i="12"/>
  <c r="S69" i="12"/>
  <c r="AL81" i="11"/>
  <c r="BU81" i="11"/>
  <c r="BK81" i="11"/>
  <c r="BJ81" i="11"/>
  <c r="BI81" i="11"/>
  <c r="E69" i="12"/>
  <c r="AA69" i="12" s="1"/>
  <c r="F69" i="12"/>
  <c r="AB69" i="12" s="1"/>
  <c r="G69" i="12"/>
  <c r="I69" i="12"/>
  <c r="J69" i="12"/>
  <c r="K69" i="12"/>
  <c r="M69" i="12"/>
  <c r="N69" i="12"/>
  <c r="AJ81" i="11"/>
  <c r="AK81" i="11"/>
  <c r="P68" i="12"/>
  <c r="BI80" i="11"/>
  <c r="BJ80" i="11"/>
  <c r="BK80" i="11"/>
  <c r="BU80" i="11"/>
  <c r="G68" i="12"/>
  <c r="F68" i="12"/>
  <c r="AB68" i="12" s="1"/>
  <c r="E68" i="12"/>
  <c r="AA68" i="12" s="1"/>
  <c r="U68" i="12"/>
  <c r="K68" i="12"/>
  <c r="AI68" i="12"/>
  <c r="AF68" i="12"/>
  <c r="AC68" i="12"/>
  <c r="W68" i="12"/>
  <c r="V68" i="12"/>
  <c r="T68" i="12"/>
  <c r="S68" i="12"/>
  <c r="R68" i="12"/>
  <c r="Q68" i="12"/>
  <c r="O68" i="12"/>
  <c r="N68" i="12"/>
  <c r="M68" i="12"/>
  <c r="J68" i="12"/>
  <c r="AJ80" i="11"/>
  <c r="AK80" i="11"/>
  <c r="AL80" i="11"/>
  <c r="AS80" i="11"/>
  <c r="I68" i="12"/>
  <c r="BD80" i="11"/>
  <c r="J67" i="12"/>
  <c r="I67" i="12"/>
  <c r="E67" i="12"/>
  <c r="AA67" i="12" s="1"/>
  <c r="F67" i="12"/>
  <c r="AB67" i="12" s="1"/>
  <c r="AS79" i="11"/>
  <c r="G67" i="12"/>
  <c r="AJ79" i="11"/>
  <c r="AK79" i="11"/>
  <c r="AL79" i="11"/>
  <c r="W67" i="12"/>
  <c r="BD79" i="11"/>
  <c r="BI79" i="11"/>
  <c r="BJ79" i="11"/>
  <c r="BK79" i="11"/>
  <c r="BU79" i="11"/>
  <c r="AC67" i="12"/>
  <c r="AF67" i="12"/>
  <c r="V67" i="12"/>
  <c r="AI67" i="12"/>
  <c r="U67" i="12"/>
  <c r="T67" i="12"/>
  <c r="S67" i="12"/>
  <c r="Q67" i="12"/>
  <c r="P67" i="12"/>
  <c r="O67" i="12"/>
  <c r="N67" i="12"/>
  <c r="M67" i="12"/>
  <c r="R67" i="12"/>
  <c r="K67" i="12"/>
  <c r="BO78" i="11"/>
  <c r="BP78" i="11"/>
  <c r="BM78" i="11"/>
  <c r="BL78" i="11"/>
  <c r="AL78" i="11"/>
  <c r="AK78" i="11"/>
  <c r="AJ78" i="11"/>
  <c r="AS78" i="11"/>
  <c r="V65" i="12"/>
  <c r="U65" i="12"/>
  <c r="T65" i="12"/>
  <c r="W65" i="12"/>
  <c r="S65" i="12"/>
  <c r="R65" i="12"/>
  <c r="Q65" i="12"/>
  <c r="BI77" i="11"/>
  <c r="F65" i="12"/>
  <c r="AB65" i="12" s="1"/>
  <c r="BD77" i="11"/>
  <c r="BJ77" i="11"/>
  <c r="AS77" i="11"/>
  <c r="AI65" i="12"/>
  <c r="AL77" i="11"/>
  <c r="AK77" i="11"/>
  <c r="AJ77" i="11"/>
  <c r="AF65" i="12"/>
  <c r="AC65" i="12"/>
  <c r="BU77" i="11"/>
  <c r="BK77" i="11"/>
  <c r="E65" i="12"/>
  <c r="AA65" i="12" s="1"/>
  <c r="P65" i="12"/>
  <c r="O65" i="12"/>
  <c r="N65" i="12"/>
  <c r="M65" i="12"/>
  <c r="K65" i="12"/>
  <c r="J65" i="12"/>
  <c r="I65" i="12"/>
  <c r="G65" i="12"/>
  <c r="V64" i="12"/>
  <c r="I64" i="12"/>
  <c r="BD76" i="11"/>
  <c r="AS76" i="11"/>
  <c r="AL76" i="11"/>
  <c r="AK76" i="11"/>
  <c r="AJ76" i="11"/>
  <c r="W64" i="12"/>
  <c r="G64" i="12"/>
  <c r="BU76" i="11"/>
  <c r="F64" i="12"/>
  <c r="AB64" i="12" s="1"/>
  <c r="R64" i="12"/>
  <c r="S64" i="12"/>
  <c r="T64" i="12"/>
  <c r="E64" i="12"/>
  <c r="AA64" i="12" s="1"/>
  <c r="U64" i="12"/>
  <c r="BJ76" i="11"/>
  <c r="BK76" i="11"/>
  <c r="AI64" i="12"/>
  <c r="AF64" i="12"/>
  <c r="BI76" i="11"/>
  <c r="AC64" i="12"/>
  <c r="Q64" i="12"/>
  <c r="P64" i="12"/>
  <c r="O64" i="12"/>
  <c r="N64" i="12"/>
  <c r="M64" i="12"/>
  <c r="K64" i="12"/>
  <c r="J64" i="12"/>
  <c r="AK75" i="11"/>
  <c r="BU75" i="11"/>
  <c r="BK75" i="11"/>
  <c r="BJ75" i="11"/>
  <c r="BI75" i="11"/>
  <c r="AL75" i="11"/>
  <c r="AJ75" i="11"/>
  <c r="AS75" i="11"/>
  <c r="E63" i="12"/>
  <c r="AA63" i="12" s="1"/>
  <c r="F63" i="12"/>
  <c r="AB63" i="12" s="1"/>
  <c r="G63" i="12"/>
  <c r="P63" i="12"/>
  <c r="AI63" i="12"/>
  <c r="AF63" i="12"/>
  <c r="AC63" i="12"/>
  <c r="W63" i="12"/>
  <c r="V63" i="12"/>
  <c r="U63" i="12"/>
  <c r="T63" i="12"/>
  <c r="S63" i="12"/>
  <c r="R63" i="12"/>
  <c r="Q63" i="12"/>
  <c r="BD75" i="11"/>
  <c r="O63" i="12"/>
  <c r="N63" i="12"/>
  <c r="M63" i="12"/>
  <c r="K63" i="12"/>
  <c r="J63" i="12"/>
  <c r="I63" i="12"/>
  <c r="AL74" i="11"/>
  <c r="AS74" i="11"/>
  <c r="O62" i="12"/>
  <c r="BD74" i="11"/>
  <c r="BI74" i="11"/>
  <c r="BJ74" i="11"/>
  <c r="BK74" i="11"/>
  <c r="BU74" i="11"/>
  <c r="N62" i="12"/>
  <c r="M62" i="12"/>
  <c r="K62" i="12"/>
  <c r="J62" i="12"/>
  <c r="I62" i="12"/>
  <c r="G62" i="12"/>
  <c r="F62" i="12"/>
  <c r="AB62" i="12" s="1"/>
  <c r="E62" i="12"/>
  <c r="AA62" i="12" s="1"/>
  <c r="AK74" i="11"/>
  <c r="AJ74" i="11"/>
  <c r="AI62" i="12"/>
  <c r="AF62" i="12"/>
  <c r="AC62" i="12"/>
  <c r="W62" i="12"/>
  <c r="V62" i="12"/>
  <c r="U62" i="12"/>
  <c r="T62" i="12"/>
  <c r="S62" i="12"/>
  <c r="R62" i="12"/>
  <c r="Q62" i="12"/>
  <c r="P62" i="12"/>
  <c r="T61" i="12"/>
  <c r="AS73" i="11"/>
  <c r="AL73" i="11"/>
  <c r="AK73" i="11"/>
  <c r="AJ73" i="11"/>
  <c r="M61" i="12"/>
  <c r="O61" i="12"/>
  <c r="N61" i="12"/>
  <c r="P61" i="12"/>
  <c r="Q61" i="12"/>
  <c r="I61" i="12"/>
  <c r="G61" i="12"/>
  <c r="F61" i="12"/>
  <c r="AB61" i="12" s="1"/>
  <c r="E61" i="12"/>
  <c r="AA61" i="12" s="1"/>
  <c r="K61" i="12"/>
  <c r="R61" i="12"/>
  <c r="S61" i="12"/>
  <c r="U61" i="12"/>
  <c r="V61" i="12"/>
  <c r="W61" i="12"/>
  <c r="AC61" i="12"/>
  <c r="AI61" i="12"/>
  <c r="AF61" i="12"/>
  <c r="J61" i="12"/>
  <c r="BI73" i="11"/>
  <c r="BJ73" i="11"/>
  <c r="BK73" i="11"/>
  <c r="BU73" i="11"/>
  <c r="BD73" i="11"/>
  <c r="G60" i="12"/>
  <c r="AS72" i="11"/>
  <c r="AL72" i="11"/>
  <c r="AK72" i="11"/>
  <c r="AI60" i="12"/>
  <c r="AF60" i="12"/>
  <c r="AC60" i="12"/>
  <c r="W60" i="12"/>
  <c r="V60" i="12"/>
  <c r="U60" i="12"/>
  <c r="T60" i="12"/>
  <c r="S60" i="12"/>
  <c r="R60" i="12"/>
  <c r="Q60" i="12"/>
  <c r="P60" i="12"/>
  <c r="O60" i="12"/>
  <c r="N60" i="12"/>
  <c r="M60" i="12"/>
  <c r="K60" i="12"/>
  <c r="BD72" i="11"/>
  <c r="F60" i="12"/>
  <c r="AB60" i="12" s="1"/>
  <c r="BK72" i="11"/>
  <c r="BU72" i="11"/>
  <c r="BJ72" i="11"/>
  <c r="E60" i="12"/>
  <c r="AA60" i="12" s="1"/>
  <c r="AJ72" i="11"/>
  <c r="BI72" i="11"/>
  <c r="I60" i="12"/>
  <c r="J60" i="12"/>
  <c r="V59" i="12"/>
  <c r="U59" i="12"/>
  <c r="T59" i="12"/>
  <c r="S59" i="12"/>
  <c r="R59" i="12"/>
  <c r="Q59" i="12"/>
  <c r="P59" i="12"/>
  <c r="N59" i="12"/>
  <c r="M59" i="12"/>
  <c r="K59" i="12"/>
  <c r="AI59" i="12"/>
  <c r="AF59" i="12"/>
  <c r="AC59" i="12"/>
  <c r="O59" i="12"/>
  <c r="W59" i="12"/>
  <c r="AJ71" i="11"/>
  <c r="I59" i="12"/>
  <c r="G59" i="12"/>
  <c r="F59" i="12"/>
  <c r="AB59" i="12" s="1"/>
  <c r="E59" i="12"/>
  <c r="AA59" i="12" s="1"/>
  <c r="J59" i="12"/>
  <c r="AK71" i="11"/>
  <c r="AL71" i="11"/>
  <c r="AS71" i="11"/>
  <c r="BD71" i="11"/>
  <c r="BI71" i="11"/>
  <c r="BJ71" i="11"/>
  <c r="BK71" i="11"/>
  <c r="BU71" i="11"/>
  <c r="AL70" i="11"/>
  <c r="AK70" i="11"/>
  <c r="AJ70" i="11"/>
  <c r="P58" i="12"/>
  <c r="Q58" i="12"/>
  <c r="R58" i="12"/>
  <c r="BJ70" i="11"/>
  <c r="AI58" i="12"/>
  <c r="AF58" i="12"/>
  <c r="AC58" i="12"/>
  <c r="W58" i="12"/>
  <c r="V58" i="12"/>
  <c r="U58" i="12"/>
  <c r="T58" i="12"/>
  <c r="O58" i="12"/>
  <c r="N58" i="12"/>
  <c r="M58" i="12"/>
  <c r="K58" i="12"/>
  <c r="J58" i="12"/>
  <c r="BI70" i="11"/>
  <c r="BK70" i="11"/>
  <c r="BU70" i="11"/>
  <c r="E58" i="12"/>
  <c r="AA58" i="12" s="1"/>
  <c r="F58" i="12"/>
  <c r="AB58" i="12" s="1"/>
  <c r="G58" i="12"/>
  <c r="I58" i="12"/>
  <c r="S58" i="12"/>
  <c r="AS70" i="11"/>
  <c r="BD70" i="11"/>
  <c r="Q57" i="12"/>
  <c r="R57" i="12"/>
  <c r="S57" i="12"/>
  <c r="T57" i="12"/>
  <c r="U57" i="12"/>
  <c r="V57" i="12"/>
  <c r="W57" i="12"/>
  <c r="AC57" i="12"/>
  <c r="AF57" i="12"/>
  <c r="AI57" i="12"/>
  <c r="AJ69" i="11"/>
  <c r="AK69" i="11"/>
  <c r="AL69" i="11"/>
  <c r="AS69" i="11"/>
  <c r="BD69" i="11"/>
  <c r="BJ69" i="11"/>
  <c r="BK69" i="11"/>
  <c r="BU69" i="11"/>
  <c r="P57" i="12"/>
  <c r="O57" i="12"/>
  <c r="N57" i="12"/>
  <c r="M57" i="12"/>
  <c r="K57" i="12"/>
  <c r="J57" i="12"/>
  <c r="I57" i="12"/>
  <c r="G57" i="12"/>
  <c r="F57" i="12"/>
  <c r="AB57" i="12" s="1"/>
  <c r="E57" i="12"/>
  <c r="AA57" i="12" s="1"/>
  <c r="BI69" i="11"/>
  <c r="AL68" i="11"/>
  <c r="S56" i="12"/>
  <c r="T56" i="12"/>
  <c r="U56" i="12"/>
  <c r="V56" i="12"/>
  <c r="W56" i="12"/>
  <c r="AK68" i="11"/>
  <c r="AC56" i="12"/>
  <c r="AF56" i="12"/>
  <c r="AI56" i="12"/>
  <c r="AJ68" i="11"/>
  <c r="I56" i="12"/>
  <c r="AS68" i="11"/>
  <c r="BD68" i="11"/>
  <c r="BI68" i="11"/>
  <c r="BJ68" i="11"/>
  <c r="BK68" i="11"/>
  <c r="BU68" i="11"/>
  <c r="F56" i="12"/>
  <c r="AB56" i="12" s="1"/>
  <c r="G56" i="12"/>
  <c r="P56" i="12"/>
  <c r="O56" i="12"/>
  <c r="E56" i="12"/>
  <c r="AA56" i="12" s="1"/>
  <c r="N56" i="12"/>
  <c r="M56" i="12"/>
  <c r="K56" i="12"/>
  <c r="J56" i="12"/>
  <c r="Q56" i="12"/>
  <c r="R56" i="12"/>
  <c r="BL67" i="11"/>
  <c r="BM67" i="11"/>
  <c r="BO67" i="11"/>
  <c r="BP67" i="11"/>
  <c r="U55" i="12"/>
  <c r="V55" i="12"/>
  <c r="W55" i="12"/>
  <c r="AC55" i="12"/>
  <c r="AF55" i="12"/>
  <c r="AI55" i="12"/>
  <c r="P55" i="12"/>
  <c r="F55" i="12"/>
  <c r="AB55" i="12" s="1"/>
  <c r="J55" i="12"/>
  <c r="G55" i="12"/>
  <c r="I55" i="12"/>
  <c r="E55" i="12"/>
  <c r="AA55" i="12" s="1"/>
  <c r="K55" i="12"/>
  <c r="M55" i="12"/>
  <c r="N55" i="12"/>
  <c r="O55" i="12"/>
  <c r="Q55" i="12"/>
  <c r="R55" i="12"/>
  <c r="AS67" i="11"/>
  <c r="AL67" i="11"/>
  <c r="AK67" i="11"/>
  <c r="AJ67" i="11"/>
  <c r="S55" i="12"/>
  <c r="T55" i="12"/>
  <c r="Q54" i="12"/>
  <c r="R54" i="12"/>
  <c r="S54" i="12"/>
  <c r="T54" i="12"/>
  <c r="V54" i="12"/>
  <c r="W54" i="12"/>
  <c r="AC54" i="12"/>
  <c r="AF54" i="12"/>
  <c r="G54" i="12"/>
  <c r="O54" i="12"/>
  <c r="N54" i="12"/>
  <c r="M54" i="12"/>
  <c r="K54" i="12"/>
  <c r="I54" i="12"/>
  <c r="J54" i="12"/>
  <c r="AI54" i="12"/>
  <c r="F54" i="12"/>
  <c r="AB54" i="12" s="1"/>
  <c r="P54" i="12"/>
  <c r="E54" i="12"/>
  <c r="AA54" i="12" s="1"/>
  <c r="AJ66" i="11"/>
  <c r="AK66" i="11"/>
  <c r="AL66" i="11"/>
  <c r="AS66" i="11"/>
  <c r="BD66" i="11"/>
  <c r="BI66" i="11"/>
  <c r="BJ66" i="11"/>
  <c r="BK66" i="11"/>
  <c r="BU66" i="11"/>
  <c r="U54" i="12"/>
  <c r="AI53" i="12"/>
  <c r="BK65" i="11"/>
  <c r="BJ65" i="11"/>
  <c r="BI65" i="11"/>
  <c r="BD65" i="11"/>
  <c r="S53" i="12"/>
  <c r="AS65" i="11"/>
  <c r="AL65" i="11"/>
  <c r="AK65" i="11"/>
  <c r="AJ65" i="11"/>
  <c r="T53" i="12"/>
  <c r="V53" i="12"/>
  <c r="W53" i="12"/>
  <c r="F53" i="12"/>
  <c r="AB53" i="12" s="1"/>
  <c r="AF53" i="12"/>
  <c r="U53" i="12"/>
  <c r="K53" i="12"/>
  <c r="M53" i="12"/>
  <c r="N53" i="12"/>
  <c r="BU65" i="11"/>
  <c r="O53" i="12"/>
  <c r="AC53" i="12"/>
  <c r="E53" i="12"/>
  <c r="AA53" i="12" s="1"/>
  <c r="P53" i="12"/>
  <c r="G53" i="12"/>
  <c r="I53" i="12"/>
  <c r="J53" i="12"/>
  <c r="Q53" i="12"/>
  <c r="R53" i="12"/>
  <c r="BJ64" i="11"/>
  <c r="BU64" i="11"/>
  <c r="J52" i="12"/>
  <c r="I52" i="12"/>
  <c r="F52" i="12"/>
  <c r="AB52" i="12" s="1"/>
  <c r="E52" i="12"/>
  <c r="AA52" i="12" s="1"/>
  <c r="BK64" i="11"/>
  <c r="BI64" i="11"/>
  <c r="BD64" i="11"/>
  <c r="AS64" i="11"/>
  <c r="AL64" i="11"/>
  <c r="AK64" i="11"/>
  <c r="AJ64" i="11"/>
  <c r="G52" i="12"/>
  <c r="N52" i="12"/>
  <c r="AI52" i="12"/>
  <c r="AF52" i="12"/>
  <c r="AC52" i="12"/>
  <c r="W52" i="12"/>
  <c r="V52" i="12"/>
  <c r="U52" i="12"/>
  <c r="T52" i="12"/>
  <c r="S52" i="12"/>
  <c r="R52" i="12"/>
  <c r="Q52" i="12"/>
  <c r="P52" i="12"/>
  <c r="O52" i="12"/>
  <c r="M52" i="12"/>
  <c r="K52" i="12"/>
  <c r="T51" i="12"/>
  <c r="AL63" i="11"/>
  <c r="V51" i="12"/>
  <c r="W51" i="12"/>
  <c r="AJ63" i="11"/>
  <c r="BJ63" i="11"/>
  <c r="BU63" i="11"/>
  <c r="F51" i="12"/>
  <c r="AB51" i="12" s="1"/>
  <c r="E51" i="12"/>
  <c r="AA51" i="12" s="1"/>
  <c r="AS63" i="11"/>
  <c r="AC51" i="12"/>
  <c r="U51" i="12"/>
  <c r="BK63" i="11"/>
  <c r="AF51" i="12"/>
  <c r="G51" i="12"/>
  <c r="J51" i="12"/>
  <c r="K51" i="12"/>
  <c r="M51" i="12"/>
  <c r="N51" i="12"/>
  <c r="O51" i="12"/>
  <c r="P51" i="12"/>
  <c r="Q51" i="12"/>
  <c r="BI63" i="11"/>
  <c r="BD63" i="11"/>
  <c r="AK63" i="11"/>
  <c r="I51" i="12"/>
  <c r="R51" i="12"/>
  <c r="S51" i="12"/>
  <c r="AI51" i="12"/>
  <c r="F50" i="12"/>
  <c r="AB50" i="12" s="1"/>
  <c r="AK62" i="11"/>
  <c r="G50" i="12"/>
  <c r="N50" i="12"/>
  <c r="K50" i="12"/>
  <c r="O50" i="12"/>
  <c r="E50" i="12"/>
  <c r="AA50" i="12" s="1"/>
  <c r="BD62" i="11"/>
  <c r="P50" i="12"/>
  <c r="Q50" i="12"/>
  <c r="S50" i="12"/>
  <c r="T50" i="12"/>
  <c r="U50" i="12"/>
  <c r="V50" i="12"/>
  <c r="W50" i="12"/>
  <c r="AC50" i="12"/>
  <c r="AF50" i="12"/>
  <c r="AI50" i="12"/>
  <c r="BI62" i="11"/>
  <c r="M50" i="12"/>
  <c r="R50" i="12"/>
  <c r="BJ62" i="11"/>
  <c r="BU62" i="11"/>
  <c r="BK62" i="11"/>
  <c r="AL62" i="11"/>
  <c r="AJ62" i="11"/>
  <c r="AS62" i="11"/>
  <c r="J50" i="12"/>
  <c r="I50" i="12"/>
  <c r="AU61" i="11"/>
  <c r="AT61" i="11"/>
  <c r="P61" i="11"/>
  <c r="N61" i="11"/>
  <c r="AC49" i="12"/>
  <c r="BK61" i="11"/>
  <c r="BU61" i="11"/>
  <c r="AJ61" i="11"/>
  <c r="AF49" i="12"/>
  <c r="V49" i="12"/>
  <c r="AL61" i="11"/>
  <c r="BI61" i="11"/>
  <c r="BD61" i="11"/>
  <c r="AK61" i="11"/>
  <c r="S49" i="12"/>
  <c r="R49" i="12"/>
  <c r="AI49" i="12"/>
  <c r="Q49" i="12"/>
  <c r="W49" i="12"/>
  <c r="P49" i="12"/>
  <c r="O49" i="12"/>
  <c r="T49" i="12"/>
  <c r="N49" i="12"/>
  <c r="M49" i="12"/>
  <c r="K49" i="12"/>
  <c r="J49" i="12"/>
  <c r="I49" i="12"/>
  <c r="G49" i="12"/>
  <c r="BJ61" i="11"/>
  <c r="F49" i="12"/>
  <c r="AB49" i="12" s="1"/>
  <c r="U49" i="12"/>
  <c r="E49" i="12"/>
  <c r="AA49" i="12" s="1"/>
  <c r="BI60" i="11"/>
  <c r="AL60" i="11"/>
  <c r="AF48" i="12"/>
  <c r="AC48" i="12"/>
  <c r="W48" i="12"/>
  <c r="V48" i="12"/>
  <c r="T48" i="12"/>
  <c r="S48" i="12"/>
  <c r="R48" i="12"/>
  <c r="Q48" i="12"/>
  <c r="P48" i="12"/>
  <c r="O48" i="12"/>
  <c r="N48" i="12"/>
  <c r="M48" i="12"/>
  <c r="K48" i="12"/>
  <c r="J48" i="12"/>
  <c r="I48" i="12"/>
  <c r="G48" i="12"/>
  <c r="F48" i="12"/>
  <c r="AB48" i="12" s="1"/>
  <c r="E48" i="12"/>
  <c r="AA48" i="12" s="1"/>
  <c r="U48" i="12"/>
  <c r="BU60" i="11"/>
  <c r="BK60" i="11"/>
  <c r="AS60" i="11"/>
  <c r="AJ60" i="11"/>
  <c r="BJ60" i="11"/>
  <c r="BD60" i="11"/>
  <c r="AK60" i="11"/>
  <c r="AI48" i="12"/>
  <c r="AS59" i="11"/>
  <c r="AK59" i="11"/>
  <c r="R47" i="12"/>
  <c r="S47" i="12"/>
  <c r="AJ59" i="11"/>
  <c r="BJ59" i="11"/>
  <c r="T47" i="12"/>
  <c r="U47" i="12"/>
  <c r="V47" i="12"/>
  <c r="W47" i="12"/>
  <c r="AC47" i="12"/>
  <c r="AF47" i="12"/>
  <c r="AI47" i="12"/>
  <c r="E47" i="12"/>
  <c r="AA47" i="12" s="1"/>
  <c r="F47" i="12"/>
  <c r="AB47" i="12" s="1"/>
  <c r="G47" i="12"/>
  <c r="BI59" i="11"/>
  <c r="I47" i="12"/>
  <c r="J47" i="12"/>
  <c r="BD59" i="11"/>
  <c r="BU59" i="11"/>
  <c r="BK59" i="11"/>
  <c r="AL59" i="11"/>
  <c r="K47" i="12"/>
  <c r="M47" i="12"/>
  <c r="N47" i="12"/>
  <c r="O47" i="12"/>
  <c r="P47" i="12"/>
  <c r="Q47" i="12"/>
  <c r="BU58" i="11"/>
  <c r="AI46" i="12"/>
  <c r="AS58" i="11"/>
  <c r="V46" i="12"/>
  <c r="U46" i="12"/>
  <c r="T46" i="12"/>
  <c r="BK58" i="11"/>
  <c r="BI58" i="11"/>
  <c r="BJ58" i="11"/>
  <c r="AL58" i="11"/>
  <c r="P46" i="12"/>
  <c r="Q46" i="12"/>
  <c r="R46" i="12"/>
  <c r="S46" i="12"/>
  <c r="BD58" i="11"/>
  <c r="W46" i="12"/>
  <c r="AC46" i="12"/>
  <c r="AJ58" i="11"/>
  <c r="AK58" i="11"/>
  <c r="O46" i="12"/>
  <c r="N46" i="12"/>
  <c r="M46" i="12"/>
  <c r="K46" i="12"/>
  <c r="J46" i="12"/>
  <c r="I46" i="12"/>
  <c r="G46" i="12"/>
  <c r="F46" i="12"/>
  <c r="AB46" i="12" s="1"/>
  <c r="E46" i="12"/>
  <c r="AA46" i="12" s="1"/>
  <c r="AF46" i="12"/>
  <c r="AK57" i="11"/>
  <c r="AJ57" i="11"/>
  <c r="BU57" i="11"/>
  <c r="BJ57" i="11"/>
  <c r="BD57" i="11"/>
  <c r="AL57" i="11"/>
  <c r="AS57" i="11"/>
  <c r="BI57" i="11"/>
  <c r="BK57" i="11"/>
  <c r="F45" i="12"/>
  <c r="AB45" i="12" s="1"/>
  <c r="U45" i="12"/>
  <c r="P45" i="12"/>
  <c r="AI45" i="12"/>
  <c r="W45" i="12"/>
  <c r="V45" i="12"/>
  <c r="AF45" i="12"/>
  <c r="AC45" i="12"/>
  <c r="T45" i="12"/>
  <c r="S45" i="12"/>
  <c r="R45" i="12"/>
  <c r="Q45" i="12"/>
  <c r="E45" i="12"/>
  <c r="AA45" i="12" s="1"/>
  <c r="O45" i="12"/>
  <c r="N45" i="12"/>
  <c r="M45" i="12"/>
  <c r="K45" i="12"/>
  <c r="J45" i="12"/>
  <c r="I45" i="12"/>
  <c r="G45" i="12"/>
  <c r="BP56" i="11"/>
  <c r="BO56" i="11"/>
  <c r="BL56" i="11"/>
  <c r="BM56" i="11"/>
  <c r="AT56" i="11"/>
  <c r="AU56" i="11"/>
  <c r="AJ56" i="11"/>
  <c r="AK56" i="11"/>
  <c r="AL56" i="11"/>
  <c r="E44" i="12"/>
  <c r="AA44" i="12" s="1"/>
  <c r="T44" i="12"/>
  <c r="S44" i="12"/>
  <c r="R44" i="12"/>
  <c r="Q44" i="12"/>
  <c r="P44" i="12"/>
  <c r="N44" i="12"/>
  <c r="M44" i="12"/>
  <c r="K44" i="12"/>
  <c r="J44" i="12"/>
  <c r="G44" i="12"/>
  <c r="AI44" i="12"/>
  <c r="AF44" i="12"/>
  <c r="AC44" i="12"/>
  <c r="W44" i="12"/>
  <c r="V44" i="12"/>
  <c r="U44" i="12"/>
  <c r="I44" i="12"/>
  <c r="F44" i="12"/>
  <c r="AB44" i="12" s="1"/>
  <c r="O44" i="12"/>
  <c r="BI55" i="11"/>
  <c r="BD55" i="11"/>
  <c r="AS55" i="11"/>
  <c r="AJ55" i="11"/>
  <c r="M43" i="12"/>
  <c r="AI43" i="12"/>
  <c r="AF43" i="12"/>
  <c r="W43" i="12"/>
  <c r="AL55" i="11"/>
  <c r="V43" i="12"/>
  <c r="U43" i="12"/>
  <c r="T43" i="12"/>
  <c r="BK55" i="11"/>
  <c r="K43" i="12"/>
  <c r="BJ55" i="11"/>
  <c r="AC43" i="12"/>
  <c r="S43" i="12"/>
  <c r="R43" i="12"/>
  <c r="E43" i="12"/>
  <c r="AA43" i="12" s="1"/>
  <c r="G43" i="12"/>
  <c r="F43" i="12"/>
  <c r="AB43" i="12" s="1"/>
  <c r="Q43" i="12"/>
  <c r="P43" i="12"/>
  <c r="AK55" i="11"/>
  <c r="I43" i="12"/>
  <c r="J43" i="12"/>
  <c r="O43" i="12"/>
  <c r="N43" i="12"/>
  <c r="BU55" i="11"/>
  <c r="N42" i="12"/>
  <c r="AI42" i="12"/>
  <c r="E42" i="12"/>
  <c r="AA42" i="12" s="1"/>
  <c r="AL54" i="11"/>
  <c r="J42" i="12"/>
  <c r="U42" i="12"/>
  <c r="I42" i="12"/>
  <c r="G42" i="12"/>
  <c r="F42" i="12"/>
  <c r="AB42" i="12" s="1"/>
  <c r="AJ54" i="11"/>
  <c r="BD54" i="11"/>
  <c r="BI54" i="11"/>
  <c r="W42" i="12"/>
  <c r="P42" i="12"/>
  <c r="Q42" i="12"/>
  <c r="R42" i="12"/>
  <c r="S42" i="12"/>
  <c r="AK54" i="11"/>
  <c r="T42" i="12"/>
  <c r="V42" i="12"/>
  <c r="AS54" i="11"/>
  <c r="BJ54" i="11"/>
  <c r="M42" i="12"/>
  <c r="BU54" i="11"/>
  <c r="BK54" i="11"/>
  <c r="AF42" i="12"/>
  <c r="AC42" i="12"/>
  <c r="K42" i="12"/>
  <c r="O42" i="12"/>
  <c r="M41" i="12"/>
  <c r="S41" i="12"/>
  <c r="BJ53" i="11"/>
  <c r="AK53" i="11"/>
  <c r="AC41" i="12"/>
  <c r="AS53" i="11"/>
  <c r="BD53" i="11"/>
  <c r="N41" i="12"/>
  <c r="O41" i="12"/>
  <c r="E41" i="12"/>
  <c r="AA41" i="12" s="1"/>
  <c r="P41" i="12"/>
  <c r="Q41" i="12"/>
  <c r="R41" i="12"/>
  <c r="BU53" i="11"/>
  <c r="AI41" i="12"/>
  <c r="AF41" i="12"/>
  <c r="F41" i="12"/>
  <c r="AB41" i="12" s="1"/>
  <c r="W41" i="12"/>
  <c r="V41" i="12"/>
  <c r="U41" i="12"/>
  <c r="G41" i="12"/>
  <c r="BK53" i="11"/>
  <c r="K41" i="12"/>
  <c r="J41" i="12"/>
  <c r="I41" i="12"/>
  <c r="T41" i="12"/>
  <c r="AJ53" i="11"/>
  <c r="AL53" i="11"/>
  <c r="BI53" i="11"/>
  <c r="AI40" i="12"/>
  <c r="AJ52" i="11"/>
  <c r="AS52" i="11"/>
  <c r="BI52" i="11"/>
  <c r="E40" i="12"/>
  <c r="AA40" i="12" s="1"/>
  <c r="BK52" i="11"/>
  <c r="N40" i="12"/>
  <c r="AF40" i="12"/>
  <c r="O40" i="12"/>
  <c r="T40" i="12"/>
  <c r="R40" i="12"/>
  <c r="Q40" i="12"/>
  <c r="K40" i="12"/>
  <c r="P40" i="12"/>
  <c r="J40" i="12"/>
  <c r="V40" i="12"/>
  <c r="W40" i="12"/>
  <c r="AC40" i="12"/>
  <c r="I40" i="12"/>
  <c r="M40" i="12"/>
  <c r="G40" i="12"/>
  <c r="F40" i="12"/>
  <c r="AB40" i="12" s="1"/>
  <c r="BU52" i="11"/>
  <c r="S40" i="12"/>
  <c r="BJ52" i="11"/>
  <c r="AL52" i="11"/>
  <c r="U40" i="12"/>
  <c r="BD52" i="11"/>
  <c r="AK52" i="11"/>
  <c r="AL51" i="11"/>
  <c r="O39" i="12"/>
  <c r="M39" i="12"/>
  <c r="U39" i="12"/>
  <c r="AK51" i="11"/>
  <c r="AJ51" i="11"/>
  <c r="AS51" i="11"/>
  <c r="BJ51" i="11"/>
  <c r="J39" i="12"/>
  <c r="V39" i="12"/>
  <c r="W39" i="12"/>
  <c r="AC39" i="12"/>
  <c r="AF39" i="12"/>
  <c r="AI39" i="12"/>
  <c r="I39" i="12"/>
  <c r="G39" i="12"/>
  <c r="F39" i="12"/>
  <c r="AB39" i="12" s="1"/>
  <c r="BD51" i="11"/>
  <c r="E39" i="12"/>
  <c r="AA39" i="12" s="1"/>
  <c r="P39" i="12"/>
  <c r="Q39" i="12"/>
  <c r="BU51" i="11"/>
  <c r="BK51" i="11"/>
  <c r="R39" i="12"/>
  <c r="S39" i="12"/>
  <c r="T39" i="12"/>
  <c r="BI51" i="11"/>
  <c r="K39" i="12"/>
  <c r="N39" i="12"/>
  <c r="BI50" i="11"/>
  <c r="BD50" i="11"/>
  <c r="BJ50" i="11"/>
  <c r="AS50" i="11"/>
  <c r="AL50" i="11"/>
  <c r="AK50" i="11"/>
  <c r="AJ50" i="11"/>
  <c r="V38" i="12"/>
  <c r="W38" i="12"/>
  <c r="AC38" i="12"/>
  <c r="AF38" i="12"/>
  <c r="AI38" i="12"/>
  <c r="E38" i="12"/>
  <c r="AA38" i="12" s="1"/>
  <c r="G38" i="12"/>
  <c r="F38" i="12"/>
  <c r="AB38" i="12" s="1"/>
  <c r="J38" i="12"/>
  <c r="K38" i="12"/>
  <c r="M38" i="12"/>
  <c r="I38" i="12"/>
  <c r="N38" i="12"/>
  <c r="O38" i="12"/>
  <c r="P38" i="12"/>
  <c r="Q38" i="12"/>
  <c r="R38" i="12"/>
  <c r="S38" i="12"/>
  <c r="T38" i="12"/>
  <c r="U38" i="12"/>
  <c r="BU50" i="11"/>
  <c r="BK50" i="11"/>
  <c r="O37" i="12"/>
  <c r="P37" i="12"/>
  <c r="Q37" i="12"/>
  <c r="R37" i="12"/>
  <c r="S37" i="12"/>
  <c r="T37" i="12"/>
  <c r="U37" i="12"/>
  <c r="V37" i="12"/>
  <c r="W37" i="12"/>
  <c r="AC37" i="12"/>
  <c r="AF37" i="12"/>
  <c r="AI37" i="12"/>
  <c r="AS49" i="11"/>
  <c r="BD49" i="11"/>
  <c r="BJ49" i="11"/>
  <c r="AK49" i="11"/>
  <c r="AJ49" i="11"/>
  <c r="AL49" i="11"/>
  <c r="BI49" i="11"/>
  <c r="E37" i="12"/>
  <c r="AA37" i="12" s="1"/>
  <c r="BU49" i="11"/>
  <c r="BK49" i="11"/>
  <c r="F37" i="12"/>
  <c r="AB37" i="12" s="1"/>
  <c r="G37" i="12"/>
  <c r="I37" i="12"/>
  <c r="J37" i="12"/>
  <c r="K37" i="12"/>
  <c r="M37" i="12"/>
  <c r="N37" i="12"/>
  <c r="BI48" i="11"/>
  <c r="BU48" i="11"/>
  <c r="AI36" i="12"/>
  <c r="AF36" i="12"/>
  <c r="AC36" i="12"/>
  <c r="W36" i="12"/>
  <c r="V36" i="12"/>
  <c r="U36" i="12"/>
  <c r="T36" i="12"/>
  <c r="S36" i="12"/>
  <c r="R36" i="12"/>
  <c r="M36" i="12"/>
  <c r="BJ48" i="11"/>
  <c r="AK48" i="11"/>
  <c r="Q36" i="12"/>
  <c r="F36" i="12"/>
  <c r="AB36" i="12" s="1"/>
  <c r="G36" i="12"/>
  <c r="I36" i="12"/>
  <c r="O36" i="12"/>
  <c r="N36" i="12"/>
  <c r="BD48" i="11"/>
  <c r="K36" i="12"/>
  <c r="AS48" i="11"/>
  <c r="E36" i="12"/>
  <c r="AA36" i="12" s="1"/>
  <c r="AJ48" i="11"/>
  <c r="AL48" i="11"/>
  <c r="J36" i="12"/>
  <c r="BK48" i="11"/>
  <c r="P36" i="12"/>
  <c r="AK47" i="11"/>
  <c r="BU47" i="11"/>
  <c r="AJ47" i="11"/>
  <c r="O35" i="12"/>
  <c r="BK47" i="11"/>
  <c r="T35" i="12"/>
  <c r="S35" i="12"/>
  <c r="R35" i="12"/>
  <c r="Q35" i="12"/>
  <c r="P35" i="12"/>
  <c r="N35" i="12"/>
  <c r="M35" i="12"/>
  <c r="K35" i="12"/>
  <c r="J35" i="12"/>
  <c r="I35" i="12"/>
  <c r="G35" i="12"/>
  <c r="F35" i="12"/>
  <c r="AB35" i="12" s="1"/>
  <c r="E35" i="12"/>
  <c r="AA35" i="12" s="1"/>
  <c r="BJ47" i="11"/>
  <c r="AI35" i="12"/>
  <c r="AF35" i="12"/>
  <c r="AC35" i="12"/>
  <c r="W35" i="12"/>
  <c r="V35" i="12"/>
  <c r="U35" i="12"/>
  <c r="AS47" i="11"/>
  <c r="AL47" i="11"/>
  <c r="BD47" i="11"/>
  <c r="BI47" i="11"/>
  <c r="BU46" i="11"/>
  <c r="BI46" i="11"/>
  <c r="BD46" i="11"/>
  <c r="E34" i="12"/>
  <c r="AA34" i="12" s="1"/>
  <c r="W34" i="12"/>
  <c r="AC34" i="12"/>
  <c r="T34" i="12"/>
  <c r="S34" i="12"/>
  <c r="R34" i="12"/>
  <c r="Q34" i="12"/>
  <c r="P34" i="12"/>
  <c r="O34" i="12"/>
  <c r="AF34" i="12"/>
  <c r="AI34" i="12"/>
  <c r="N34" i="12"/>
  <c r="BJ46" i="11"/>
  <c r="AK46" i="11"/>
  <c r="AJ46" i="11"/>
  <c r="BK46" i="11"/>
  <c r="M34" i="12"/>
  <c r="K34" i="12"/>
  <c r="J34" i="12"/>
  <c r="I34" i="12"/>
  <c r="U34" i="12"/>
  <c r="F34" i="12"/>
  <c r="AB34" i="12" s="1"/>
  <c r="AL46" i="11"/>
  <c r="G34" i="12"/>
  <c r="V34" i="12"/>
  <c r="AS46" i="11"/>
  <c r="BO45" i="11"/>
  <c r="BL45" i="11"/>
  <c r="BP45" i="11"/>
  <c r="BM45" i="11"/>
  <c r="AU45" i="11"/>
  <c r="AT45" i="11"/>
  <c r="J33" i="12"/>
  <c r="I33" i="12"/>
  <c r="G33" i="12"/>
  <c r="F33" i="12"/>
  <c r="AB33" i="12" s="1"/>
  <c r="E33" i="12"/>
  <c r="AA33" i="12" s="1"/>
  <c r="AL45" i="11"/>
  <c r="AK45" i="11"/>
  <c r="AJ45" i="11"/>
  <c r="AI33" i="12"/>
  <c r="AF33" i="12"/>
  <c r="AC33" i="12"/>
  <c r="W33" i="12"/>
  <c r="V33" i="12"/>
  <c r="U33" i="12"/>
  <c r="T33" i="12"/>
  <c r="S33" i="12"/>
  <c r="R33" i="12"/>
  <c r="Q33" i="12"/>
  <c r="P33" i="12"/>
  <c r="O33" i="12"/>
  <c r="N33" i="12"/>
  <c r="M33" i="12"/>
  <c r="K33" i="12"/>
  <c r="BX47" i="11"/>
  <c r="BX55" i="11"/>
  <c r="BX103" i="11" s="1"/>
  <c r="L13" i="11" s="1"/>
  <c r="I7" i="11"/>
  <c r="R32" i="12"/>
  <c r="V32" i="12"/>
  <c r="U32" i="12"/>
  <c r="T32" i="12"/>
  <c r="S32" i="12"/>
  <c r="Q32" i="12"/>
  <c r="O32" i="12"/>
  <c r="N32" i="12"/>
  <c r="AK44" i="11"/>
  <c r="M32" i="12"/>
  <c r="K32" i="12"/>
  <c r="J32" i="12"/>
  <c r="I32" i="12"/>
  <c r="G32" i="12"/>
  <c r="F32" i="12"/>
  <c r="AB32" i="12" s="1"/>
  <c r="E32" i="12"/>
  <c r="AA32" i="12" s="1"/>
  <c r="BI44" i="11"/>
  <c r="AS44" i="11"/>
  <c r="AL44" i="11"/>
  <c r="P32" i="12"/>
  <c r="BK44" i="11"/>
  <c r="AJ44" i="11"/>
  <c r="BD44" i="11"/>
  <c r="BU44" i="11"/>
  <c r="BJ44" i="11"/>
  <c r="AI32" i="12"/>
  <c r="AF32" i="12"/>
  <c r="AC32" i="12"/>
  <c r="W32" i="12"/>
  <c r="U31" i="12"/>
  <c r="M31" i="12"/>
  <c r="K31" i="12"/>
  <c r="W31" i="12"/>
  <c r="V31" i="12"/>
  <c r="BD43" i="11"/>
  <c r="BU43" i="11"/>
  <c r="Q31" i="12"/>
  <c r="O31" i="12"/>
  <c r="AI31" i="12"/>
  <c r="AF31" i="12"/>
  <c r="J31" i="12"/>
  <c r="BK43" i="11"/>
  <c r="N31" i="12"/>
  <c r="AL43" i="11"/>
  <c r="P31" i="12"/>
  <c r="T31" i="12"/>
  <c r="AS43" i="11"/>
  <c r="S31" i="12"/>
  <c r="R31" i="12"/>
  <c r="I31" i="12"/>
  <c r="G31" i="12"/>
  <c r="F31" i="12"/>
  <c r="AB31" i="12" s="1"/>
  <c r="E31" i="12"/>
  <c r="AA31" i="12" s="1"/>
  <c r="AC31" i="12"/>
  <c r="AK43" i="11"/>
  <c r="AJ43" i="11"/>
  <c r="BI43" i="11"/>
  <c r="BJ43" i="11"/>
  <c r="G30" i="12"/>
  <c r="F30" i="12"/>
  <c r="AB30" i="12" s="1"/>
  <c r="V30" i="12"/>
  <c r="U30" i="12"/>
  <c r="T30" i="12"/>
  <c r="W30" i="12"/>
  <c r="AL42" i="11"/>
  <c r="AS42" i="11"/>
  <c r="BD42" i="11"/>
  <c r="R30" i="12"/>
  <c r="Q30" i="12"/>
  <c r="P30" i="12"/>
  <c r="O30" i="12"/>
  <c r="BI42" i="11"/>
  <c r="S30" i="12"/>
  <c r="AK42" i="11"/>
  <c r="BK42" i="11"/>
  <c r="N30" i="12"/>
  <c r="E30" i="12"/>
  <c r="AA30" i="12" s="1"/>
  <c r="AJ42" i="11"/>
  <c r="BJ42" i="11"/>
  <c r="M30" i="12"/>
  <c r="K30" i="12"/>
  <c r="J30" i="12"/>
  <c r="I30" i="12"/>
  <c r="AC30" i="12"/>
  <c r="BU42" i="11"/>
  <c r="AI30" i="12"/>
  <c r="AF30" i="12"/>
  <c r="E29" i="12"/>
  <c r="AA29" i="12" s="1"/>
  <c r="F29" i="12"/>
  <c r="AB29" i="12" s="1"/>
  <c r="G29" i="12"/>
  <c r="I29" i="12"/>
  <c r="J29" i="12"/>
  <c r="K29" i="12"/>
  <c r="M29" i="12"/>
  <c r="N29" i="12"/>
  <c r="O29" i="12"/>
  <c r="P29" i="12"/>
  <c r="Q29" i="12"/>
  <c r="R29" i="12"/>
  <c r="S29" i="12"/>
  <c r="T29" i="12"/>
  <c r="U29" i="12"/>
  <c r="V29" i="12"/>
  <c r="W29" i="12"/>
  <c r="AC29" i="12"/>
  <c r="AF29" i="12"/>
  <c r="AI29" i="12"/>
  <c r="BK41" i="11"/>
  <c r="BJ41" i="11"/>
  <c r="AK41" i="11"/>
  <c r="AS41" i="11"/>
  <c r="AL41" i="11"/>
  <c r="BU41" i="11"/>
  <c r="BI41" i="11"/>
  <c r="BD41" i="11"/>
  <c r="AJ41" i="11"/>
  <c r="K28" i="12"/>
  <c r="R28" i="12"/>
  <c r="E28" i="12"/>
  <c r="AA28" i="12" s="1"/>
  <c r="F28" i="12"/>
  <c r="AB28" i="12" s="1"/>
  <c r="G28" i="12"/>
  <c r="S28" i="12"/>
  <c r="AJ40" i="11"/>
  <c r="BD40" i="11"/>
  <c r="AL40" i="11"/>
  <c r="J28" i="12"/>
  <c r="I28" i="12"/>
  <c r="AS40" i="11"/>
  <c r="BJ40" i="11"/>
  <c r="AI28" i="12"/>
  <c r="BU40" i="11"/>
  <c r="T28" i="12"/>
  <c r="BI40" i="11"/>
  <c r="AF28" i="12"/>
  <c r="AC28" i="12"/>
  <c r="M28" i="12"/>
  <c r="N28" i="12"/>
  <c r="O28" i="12"/>
  <c r="U28" i="12"/>
  <c r="W28" i="12"/>
  <c r="AK40" i="11"/>
  <c r="V28" i="12"/>
  <c r="P28" i="12"/>
  <c r="Q28" i="12"/>
  <c r="BK40" i="11"/>
  <c r="AI27" i="12"/>
  <c r="F27" i="12"/>
  <c r="AB27" i="12" s="1"/>
  <c r="E27" i="12"/>
  <c r="AA27" i="12" s="1"/>
  <c r="Q27" i="12"/>
  <c r="R27" i="12"/>
  <c r="S27" i="12"/>
  <c r="BJ39" i="11"/>
  <c r="AF27" i="12"/>
  <c r="I27" i="12"/>
  <c r="U27" i="12"/>
  <c r="V27" i="12"/>
  <c r="W27" i="12"/>
  <c r="G27" i="12"/>
  <c r="J27" i="12"/>
  <c r="BI39" i="11"/>
  <c r="K27" i="12"/>
  <c r="AJ39" i="11"/>
  <c r="AK39" i="11"/>
  <c r="AL39" i="11"/>
  <c r="AS39" i="11"/>
  <c r="M27" i="12"/>
  <c r="BD39" i="11"/>
  <c r="AC27" i="12"/>
  <c r="BK39" i="11"/>
  <c r="N27" i="12"/>
  <c r="O27" i="12"/>
  <c r="T27" i="12"/>
  <c r="P27" i="12"/>
  <c r="AI26" i="12"/>
  <c r="O26" i="12"/>
  <c r="N26" i="12"/>
  <c r="BI38" i="11"/>
  <c r="AS38" i="11"/>
  <c r="BD38" i="11"/>
  <c r="AF26" i="12"/>
  <c r="AJ38" i="11"/>
  <c r="T26" i="12"/>
  <c r="AC26" i="12"/>
  <c r="G26" i="12"/>
  <c r="W26" i="12"/>
  <c r="U26" i="12"/>
  <c r="F26" i="12"/>
  <c r="AB26" i="12" s="1"/>
  <c r="M26" i="12"/>
  <c r="BK38" i="11"/>
  <c r="S26" i="12"/>
  <c r="E26" i="12"/>
  <c r="AA26" i="12" s="1"/>
  <c r="V26" i="12"/>
  <c r="Q26" i="12"/>
  <c r="K26" i="12"/>
  <c r="J26" i="12"/>
  <c r="I26" i="12"/>
  <c r="BU38" i="11"/>
  <c r="AK38" i="11"/>
  <c r="BJ38" i="11"/>
  <c r="AL38" i="11"/>
  <c r="R26" i="12"/>
  <c r="P26" i="12"/>
  <c r="E25" i="12"/>
  <c r="AA25" i="12" s="1"/>
  <c r="F25" i="12"/>
  <c r="AB25" i="12" s="1"/>
  <c r="G25" i="12"/>
  <c r="I25" i="12"/>
  <c r="J25" i="12"/>
  <c r="K25" i="12"/>
  <c r="M25" i="12"/>
  <c r="N25" i="12"/>
  <c r="P25" i="12"/>
  <c r="Q25" i="12"/>
  <c r="R25" i="12"/>
  <c r="S25" i="12"/>
  <c r="T25" i="12"/>
  <c r="U25" i="12"/>
  <c r="V25" i="12"/>
  <c r="W25" i="12"/>
  <c r="AC25" i="12"/>
  <c r="AI25" i="12"/>
  <c r="O25" i="12"/>
  <c r="BK37" i="11"/>
  <c r="BI37" i="11"/>
  <c r="AL37" i="11"/>
  <c r="AK37" i="11"/>
  <c r="BJ37" i="11"/>
  <c r="BU37" i="11"/>
  <c r="BD37" i="11"/>
  <c r="AJ37" i="11"/>
  <c r="AS37" i="11"/>
  <c r="AF25" i="12"/>
  <c r="V24" i="12"/>
  <c r="W24" i="12"/>
  <c r="AC24" i="12"/>
  <c r="AF24" i="12"/>
  <c r="AI24" i="12"/>
  <c r="T24" i="12"/>
  <c r="I24" i="12"/>
  <c r="F24" i="12"/>
  <c r="AB24" i="12" s="1"/>
  <c r="BU36" i="11"/>
  <c r="AS36" i="11"/>
  <c r="U24" i="12"/>
  <c r="J24" i="12"/>
  <c r="BI36" i="11"/>
  <c r="AL36" i="11"/>
  <c r="BD36" i="11"/>
  <c r="AK36" i="11"/>
  <c r="G24" i="12"/>
  <c r="BJ36" i="11"/>
  <c r="BK36" i="11"/>
  <c r="AJ36" i="11"/>
  <c r="K24" i="12"/>
  <c r="M24" i="12"/>
  <c r="N24" i="12"/>
  <c r="O24" i="12"/>
  <c r="P24" i="12"/>
  <c r="Q24" i="12"/>
  <c r="E24" i="12"/>
  <c r="AA24" i="12" s="1"/>
  <c r="R24" i="12"/>
  <c r="S24" i="12"/>
  <c r="E23" i="12"/>
  <c r="AA23" i="12" s="1"/>
  <c r="F23" i="12"/>
  <c r="AB23" i="12" s="1"/>
  <c r="G23" i="12"/>
  <c r="I23" i="12"/>
  <c r="J23" i="12"/>
  <c r="K23" i="12"/>
  <c r="M23" i="12"/>
  <c r="N23" i="12"/>
  <c r="O23" i="12"/>
  <c r="P23" i="12"/>
  <c r="Q23" i="12"/>
  <c r="R23" i="12"/>
  <c r="S23" i="12"/>
  <c r="T23" i="12"/>
  <c r="U23" i="12"/>
  <c r="V23" i="12"/>
  <c r="W23" i="12"/>
  <c r="AC23" i="12"/>
  <c r="AF23" i="12"/>
  <c r="AI23" i="12"/>
  <c r="AL35" i="11"/>
  <c r="BK35" i="11"/>
  <c r="AS35" i="11"/>
  <c r="BU35" i="11"/>
  <c r="BI35" i="11"/>
  <c r="AJ35" i="11"/>
  <c r="BX3" i="11"/>
  <c r="BJ35" i="11"/>
  <c r="BD35" i="11"/>
  <c r="AK35" i="11"/>
  <c r="BO34" i="11"/>
  <c r="BL34" i="11"/>
  <c r="BM34" i="11"/>
  <c r="BP34" i="11"/>
  <c r="AT34" i="11"/>
  <c r="P34" i="11"/>
  <c r="AU34" i="11"/>
  <c r="N34" i="11"/>
  <c r="AO34" i="11"/>
  <c r="AR34" i="11"/>
  <c r="AN34" i="11"/>
  <c r="AQ34" i="11"/>
  <c r="AM34" i="11"/>
  <c r="AP34" i="11"/>
  <c r="AC22" i="12"/>
  <c r="I22" i="12"/>
  <c r="W22" i="12"/>
  <c r="E22" i="12"/>
  <c r="AA22" i="12" s="1"/>
  <c r="F22" i="12"/>
  <c r="AB22" i="12" s="1"/>
  <c r="G22" i="12"/>
  <c r="J22" i="12"/>
  <c r="K22" i="12"/>
  <c r="M22" i="12"/>
  <c r="N22" i="12"/>
  <c r="O22" i="12"/>
  <c r="P22" i="12"/>
  <c r="Q22" i="12"/>
  <c r="AF22" i="12"/>
  <c r="V22" i="12"/>
  <c r="R22" i="12"/>
  <c r="S22" i="12"/>
  <c r="T22" i="12"/>
  <c r="U22" i="12"/>
  <c r="AI22" i="12"/>
  <c r="O21" i="12"/>
  <c r="N21" i="12"/>
  <c r="M21" i="12"/>
  <c r="J21" i="12"/>
  <c r="I21" i="12"/>
  <c r="F21" i="12"/>
  <c r="AB21" i="12" s="1"/>
  <c r="E21" i="12"/>
  <c r="AA21" i="12" s="1"/>
  <c r="G21" i="12"/>
  <c r="K21" i="12"/>
  <c r="BI33" i="11"/>
  <c r="AI21" i="12"/>
  <c r="AF21" i="12"/>
  <c r="P21" i="12"/>
  <c r="BU33" i="11"/>
  <c r="BK33" i="11"/>
  <c r="BJ33" i="11"/>
  <c r="BD33" i="11"/>
  <c r="AS33" i="11"/>
  <c r="AL33" i="11"/>
  <c r="AK33" i="11"/>
  <c r="AJ33" i="11"/>
  <c r="Q21" i="12"/>
  <c r="R21" i="12"/>
  <c r="S21" i="12"/>
  <c r="T21" i="12"/>
  <c r="U21" i="12"/>
  <c r="V21" i="12"/>
  <c r="W21" i="12"/>
  <c r="AC21" i="12"/>
  <c r="BK32" i="11"/>
  <c r="BU32" i="11"/>
  <c r="E20" i="12"/>
  <c r="AA20" i="12" s="1"/>
  <c r="F20" i="12"/>
  <c r="AB20" i="12" s="1"/>
  <c r="I20" i="12"/>
  <c r="J20" i="12"/>
  <c r="K20" i="12"/>
  <c r="M20" i="12"/>
  <c r="N20" i="12"/>
  <c r="O20" i="12"/>
  <c r="P20" i="12"/>
  <c r="Q20" i="12"/>
  <c r="R20" i="12"/>
  <c r="S20" i="12"/>
  <c r="T20" i="12"/>
  <c r="U20" i="12"/>
  <c r="V20" i="12"/>
  <c r="W20" i="12"/>
  <c r="AC20" i="12"/>
  <c r="AF20" i="12"/>
  <c r="G20" i="12"/>
  <c r="AJ32" i="11"/>
  <c r="AK32" i="11"/>
  <c r="AL32" i="11"/>
  <c r="AS32" i="11"/>
  <c r="BD32" i="11"/>
  <c r="BI32" i="11"/>
  <c r="BJ32" i="11"/>
  <c r="AI20" i="12"/>
  <c r="R19" i="12"/>
  <c r="Q19" i="12"/>
  <c r="P19" i="12"/>
  <c r="O19" i="12"/>
  <c r="N19" i="12"/>
  <c r="M19" i="12"/>
  <c r="K19" i="12"/>
  <c r="J19" i="12"/>
  <c r="I19" i="12"/>
  <c r="T19" i="12"/>
  <c r="G19" i="12"/>
  <c r="F19" i="12"/>
  <c r="AB19" i="12" s="1"/>
  <c r="E19" i="12"/>
  <c r="AA19" i="12" s="1"/>
  <c r="AJ31" i="11"/>
  <c r="AI19" i="12"/>
  <c r="S19" i="12"/>
  <c r="BD31" i="11"/>
  <c r="AS31" i="11"/>
  <c r="AL31" i="11"/>
  <c r="AK31" i="11"/>
  <c r="BI31" i="11"/>
  <c r="BU31" i="11"/>
  <c r="BK31" i="11"/>
  <c r="U19" i="12"/>
  <c r="BJ31" i="11"/>
  <c r="V19" i="12"/>
  <c r="W19" i="12"/>
  <c r="AC19" i="12"/>
  <c r="AF19" i="12"/>
  <c r="O18" i="12"/>
  <c r="N18" i="12"/>
  <c r="BU30" i="11"/>
  <c r="BK30" i="11"/>
  <c r="BJ30" i="11"/>
  <c r="BI30" i="11"/>
  <c r="BD30" i="11"/>
  <c r="AS30" i="11"/>
  <c r="AL30" i="11"/>
  <c r="AK30" i="11"/>
  <c r="AJ30" i="11"/>
  <c r="M18" i="12"/>
  <c r="K18" i="12"/>
  <c r="J18" i="12"/>
  <c r="I18" i="12"/>
  <c r="G18" i="12"/>
  <c r="F18" i="12"/>
  <c r="AB18" i="12" s="1"/>
  <c r="E18" i="12"/>
  <c r="AA18" i="12" s="1"/>
  <c r="AI18" i="12"/>
  <c r="AF18" i="12"/>
  <c r="AC18" i="12"/>
  <c r="W18" i="12"/>
  <c r="V18" i="12"/>
  <c r="U18" i="12"/>
  <c r="T18" i="12"/>
  <c r="S18" i="12"/>
  <c r="R18" i="12"/>
  <c r="Q18" i="12"/>
  <c r="P18" i="12"/>
  <c r="T17" i="12"/>
  <c r="U17" i="12"/>
  <c r="V17" i="12"/>
  <c r="BI29" i="11"/>
  <c r="AC17" i="12"/>
  <c r="AF17" i="12"/>
  <c r="AI17" i="12"/>
  <c r="W17" i="12"/>
  <c r="Q17" i="12"/>
  <c r="R17" i="12"/>
  <c r="S17" i="12"/>
  <c r="AJ29" i="11"/>
  <c r="AK29" i="11"/>
  <c r="AL29" i="11"/>
  <c r="AS29" i="11"/>
  <c r="E17" i="12"/>
  <c r="AA17" i="12" s="1"/>
  <c r="F17" i="12"/>
  <c r="AB17" i="12" s="1"/>
  <c r="BD29" i="11"/>
  <c r="G17" i="12"/>
  <c r="I17" i="12"/>
  <c r="P17" i="12"/>
  <c r="O17" i="12"/>
  <c r="N17" i="12"/>
  <c r="M17" i="12"/>
  <c r="K17" i="12"/>
  <c r="J17" i="12"/>
  <c r="BJ29" i="11"/>
  <c r="BK29" i="11"/>
  <c r="BU29" i="11"/>
  <c r="O16" i="12"/>
  <c r="P16" i="12"/>
  <c r="R16" i="12"/>
  <c r="S16" i="12"/>
  <c r="T16" i="12"/>
  <c r="U16" i="12"/>
  <c r="V16" i="12"/>
  <c r="W16" i="12"/>
  <c r="AC16" i="12"/>
  <c r="AF16" i="12"/>
  <c r="AI16" i="12"/>
  <c r="E16" i="12"/>
  <c r="AA16" i="12" s="1"/>
  <c r="F16" i="12"/>
  <c r="AB16" i="12" s="1"/>
  <c r="G16" i="12"/>
  <c r="I16" i="12"/>
  <c r="J16" i="12"/>
  <c r="K16" i="12"/>
  <c r="BK28" i="11"/>
  <c r="BJ28" i="11"/>
  <c r="BI28" i="11"/>
  <c r="BD28" i="11"/>
  <c r="AS28" i="11"/>
  <c r="AL28" i="11"/>
  <c r="AK28" i="11"/>
  <c r="AJ28" i="11"/>
  <c r="Q16" i="12"/>
  <c r="M16" i="12"/>
  <c r="N16" i="12"/>
  <c r="R15" i="12"/>
  <c r="K15" i="12"/>
  <c r="S15" i="12"/>
  <c r="T15" i="12"/>
  <c r="U15" i="12"/>
  <c r="F15" i="12"/>
  <c r="AB15" i="12" s="1"/>
  <c r="V15" i="12"/>
  <c r="W15" i="12"/>
  <c r="BJ27" i="11"/>
  <c r="AC15" i="12"/>
  <c r="AF15" i="12"/>
  <c r="E15" i="12"/>
  <c r="AA15" i="12" s="1"/>
  <c r="J15" i="12"/>
  <c r="M15" i="12"/>
  <c r="G15" i="12"/>
  <c r="P15" i="12"/>
  <c r="Q15" i="12"/>
  <c r="O15" i="12"/>
  <c r="BU27" i="11"/>
  <c r="BK27" i="11"/>
  <c r="I15" i="12"/>
  <c r="BI27" i="11"/>
  <c r="BD27" i="11"/>
  <c r="AS27" i="11"/>
  <c r="AL27" i="11"/>
  <c r="AK27" i="11"/>
  <c r="AJ27" i="11"/>
  <c r="N15" i="12"/>
  <c r="AI15" i="12"/>
  <c r="U14" i="12"/>
  <c r="R14" i="12"/>
  <c r="S14" i="12"/>
  <c r="T14" i="12"/>
  <c r="V14" i="12"/>
  <c r="W14" i="12"/>
  <c r="AC14" i="12"/>
  <c r="AF14" i="12"/>
  <c r="AI14" i="12"/>
  <c r="AS26" i="11"/>
  <c r="AK26" i="11"/>
  <c r="BJ26" i="11"/>
  <c r="BU26" i="11"/>
  <c r="BK26" i="11"/>
  <c r="E14" i="12"/>
  <c r="AA14" i="12" s="1"/>
  <c r="F14" i="12"/>
  <c r="AB14" i="12" s="1"/>
  <c r="G14" i="12"/>
  <c r="I14" i="12"/>
  <c r="J14" i="12"/>
  <c r="BI26" i="11"/>
  <c r="K14" i="12"/>
  <c r="M14" i="12"/>
  <c r="BD26" i="11"/>
  <c r="N14" i="12"/>
  <c r="O14" i="12"/>
  <c r="P14" i="12"/>
  <c r="Q14" i="12"/>
  <c r="AJ26" i="11"/>
  <c r="AL26" i="11"/>
  <c r="AL26" i="12"/>
  <c r="AL27" i="12"/>
  <c r="AL106" i="12"/>
  <c r="AL103" i="12"/>
  <c r="AL34" i="12"/>
  <c r="AL33" i="12"/>
  <c r="AL32" i="12"/>
  <c r="AL31" i="12"/>
  <c r="AL85" i="12"/>
  <c r="AL13" i="12"/>
  <c r="AL105" i="12"/>
  <c r="AL73" i="12"/>
  <c r="AL92" i="12"/>
  <c r="AL14" i="12"/>
  <c r="AL72" i="12"/>
  <c r="AL78" i="12"/>
  <c r="AL99" i="12"/>
  <c r="AL74" i="12"/>
  <c r="AL46" i="12"/>
  <c r="AL104" i="12"/>
  <c r="AL50" i="12"/>
  <c r="AL15" i="12"/>
  <c r="AL57" i="12"/>
  <c r="AL98" i="12"/>
  <c r="AL83" i="12"/>
  <c r="AL97" i="12"/>
  <c r="AL111" i="12"/>
  <c r="AL96" i="12"/>
  <c r="AL82" i="12"/>
  <c r="AL95" i="12"/>
  <c r="AL54" i="12"/>
  <c r="AL94" i="12"/>
  <c r="AL93" i="12"/>
  <c r="AL30" i="12"/>
  <c r="AL75" i="12"/>
  <c r="AL47" i="12"/>
  <c r="AL28" i="12"/>
  <c r="AL91" i="12"/>
  <c r="AL90" i="12"/>
  <c r="AL53" i="12"/>
  <c r="AL16" i="12"/>
  <c r="AL89" i="12"/>
  <c r="AL48" i="12"/>
  <c r="AL88" i="12"/>
  <c r="AL87" i="12"/>
  <c r="AL86" i="12"/>
  <c r="AL17" i="12"/>
  <c r="AL100" i="12"/>
  <c r="AL56" i="12"/>
  <c r="AL29" i="12"/>
  <c r="AL59" i="12"/>
  <c r="AL101" i="12"/>
  <c r="AL61" i="12"/>
  <c r="AL62" i="12"/>
  <c r="AL49" i="12"/>
  <c r="AL63" i="12"/>
  <c r="AL64" i="12"/>
  <c r="AL65" i="12"/>
  <c r="AL66" i="12"/>
  <c r="AL67" i="12"/>
  <c r="AL68" i="12"/>
  <c r="AL69" i="12"/>
  <c r="AL70" i="12"/>
  <c r="AL24" i="12"/>
  <c r="AL55" i="12"/>
  <c r="AL52" i="12"/>
  <c r="AL84" i="12"/>
  <c r="AL25" i="12"/>
  <c r="AL107" i="12"/>
  <c r="AL60" i="12"/>
  <c r="AL18" i="12"/>
  <c r="AL19" i="12"/>
  <c r="AL20" i="12"/>
  <c r="AL76" i="12"/>
  <c r="AL77" i="12"/>
  <c r="AL79" i="12"/>
  <c r="AL80" i="12"/>
  <c r="AL81" i="12"/>
  <c r="AL21" i="12"/>
  <c r="AL102" i="12"/>
  <c r="AL22" i="12"/>
  <c r="AL23" i="12"/>
  <c r="AL108" i="12"/>
  <c r="AL109" i="12"/>
  <c r="AL110" i="12"/>
  <c r="AL45" i="12"/>
  <c r="AL44" i="12"/>
  <c r="AL43" i="12"/>
  <c r="AL42" i="12"/>
  <c r="AL41" i="12"/>
  <c r="AL40" i="12"/>
  <c r="AL58" i="12"/>
  <c r="AL51" i="12"/>
  <c r="AL39" i="12"/>
  <c r="AL38" i="12"/>
  <c r="AL37" i="12"/>
  <c r="AL36" i="12"/>
  <c r="AL35" i="12"/>
  <c r="AL71" i="12"/>
  <c r="AK25" i="11"/>
  <c r="K13" i="12"/>
  <c r="BJ25" i="11"/>
  <c r="BI25" i="11"/>
  <c r="BD25" i="11"/>
  <c r="AS25" i="11"/>
  <c r="AL25" i="11"/>
  <c r="AJ25" i="11"/>
  <c r="M13" i="12"/>
  <c r="N13" i="12"/>
  <c r="O13" i="12"/>
  <c r="P13" i="12"/>
  <c r="Q13" i="12"/>
  <c r="R13" i="12"/>
  <c r="S13" i="12"/>
  <c r="T13" i="12"/>
  <c r="U13" i="12"/>
  <c r="W13" i="12"/>
  <c r="AC13" i="12"/>
  <c r="AF13" i="12"/>
  <c r="AI13" i="12"/>
  <c r="V13" i="12"/>
  <c r="BX61" i="11"/>
  <c r="J13" i="12"/>
  <c r="BK25" i="11"/>
  <c r="E13" i="12"/>
  <c r="AA13" i="12" s="1"/>
  <c r="F13" i="12"/>
  <c r="AB13" i="12" s="1"/>
  <c r="G13" i="12"/>
  <c r="I13" i="12"/>
  <c r="BU25" i="11"/>
  <c r="BX79" i="11"/>
  <c r="BX80" i="11"/>
  <c r="AD9" i="12" s="1"/>
  <c r="BX81" i="11"/>
  <c r="BX82" i="11"/>
  <c r="AI9" i="12" s="1"/>
  <c r="AG123" i="11"/>
  <c r="AG76" i="11"/>
  <c r="AG30" i="11"/>
  <c r="AG109" i="11"/>
  <c r="AG78" i="11"/>
  <c r="AG75" i="11"/>
  <c r="AL117" i="11"/>
  <c r="AG56" i="11"/>
  <c r="AG79" i="11"/>
  <c r="AG33" i="11"/>
  <c r="AG72" i="11"/>
  <c r="AG71" i="11"/>
  <c r="AG117" i="11"/>
  <c r="AG83" i="11"/>
  <c r="AG67" i="11"/>
  <c r="AG111" i="11"/>
  <c r="AG28" i="11"/>
  <c r="AG27" i="11"/>
  <c r="AG26" i="11"/>
  <c r="AG29" i="11"/>
  <c r="AG121" i="11"/>
  <c r="AG120" i="11"/>
  <c r="AG31" i="11"/>
  <c r="AG119" i="11"/>
  <c r="AG81" i="11"/>
  <c r="AG118" i="11"/>
  <c r="AK117" i="11"/>
  <c r="AG116" i="11"/>
  <c r="AG114" i="11"/>
  <c r="AG32" i="11"/>
  <c r="AG82" i="11"/>
  <c r="AG39" i="11"/>
  <c r="AG112" i="11"/>
  <c r="AG124" i="11"/>
  <c r="AG77" i="11"/>
  <c r="AG50" i="11"/>
  <c r="AG45" i="11"/>
  <c r="AG115" i="11"/>
  <c r="AG100" i="11"/>
  <c r="AG25" i="11"/>
  <c r="AG110" i="11"/>
  <c r="F13" i="11"/>
  <c r="BX28" i="11" s="1"/>
  <c r="AG80" i="11"/>
  <c r="AG89" i="11"/>
  <c r="AG122" i="11"/>
  <c r="AG113" i="11"/>
  <c r="R6" i="12"/>
  <c r="AG34" i="11"/>
  <c r="G143" i="11" l="1"/>
  <c r="H143" i="11"/>
  <c r="L143" i="11" s="1"/>
  <c r="G142" i="11"/>
  <c r="H142" i="11"/>
  <c r="L142" i="11" s="1"/>
  <c r="G141" i="11"/>
  <c r="H141" i="11"/>
  <c r="L141" i="11" s="1"/>
  <c r="G140" i="11"/>
  <c r="H140" i="11"/>
  <c r="L140" i="11" s="1"/>
  <c r="G139" i="11"/>
  <c r="H139" i="11"/>
  <c r="L139" i="11" s="1"/>
  <c r="G138" i="11"/>
  <c r="H138" i="11"/>
  <c r="L138" i="11" s="1"/>
  <c r="G137" i="11"/>
  <c r="H137" i="11"/>
  <c r="L137" i="11" s="1"/>
  <c r="G136" i="11"/>
  <c r="H136" i="11"/>
  <c r="L136" i="11" s="1"/>
  <c r="G135" i="11"/>
  <c r="H135" i="11"/>
  <c r="L135" i="11" s="1"/>
  <c r="G134" i="11"/>
  <c r="H134" i="11"/>
  <c r="L134" i="11" s="1"/>
  <c r="G133" i="11"/>
  <c r="H133" i="11"/>
  <c r="L133" i="11" s="1"/>
  <c r="G132" i="11"/>
  <c r="H132" i="11"/>
  <c r="L132" i="11" s="1"/>
  <c r="G131" i="11"/>
  <c r="H131" i="11" s="1"/>
  <c r="L131" i="11" s="1"/>
  <c r="G130" i="11"/>
  <c r="H130" i="11"/>
  <c r="G129" i="11"/>
  <c r="H129" i="11"/>
  <c r="G128" i="11"/>
  <c r="G146" i="11" s="1"/>
  <c r="BX9" i="11" s="1"/>
  <c r="H128" i="11"/>
  <c r="F146" i="11"/>
  <c r="BX8" i="11" s="1"/>
  <c r="AT124" i="11"/>
  <c r="AU124" i="11"/>
  <c r="P124" i="11"/>
  <c r="N124" i="11"/>
  <c r="AQ124" i="11"/>
  <c r="AN124" i="11"/>
  <c r="BM124" i="11"/>
  <c r="BO124" i="11"/>
  <c r="BP124" i="11"/>
  <c r="BL124" i="11"/>
  <c r="AO124" i="11"/>
  <c r="AR124" i="11"/>
  <c r="AP124" i="11"/>
  <c r="AM124" i="11"/>
  <c r="BL123" i="11"/>
  <c r="BM123" i="11"/>
  <c r="BO123" i="11"/>
  <c r="BP123" i="11"/>
  <c r="AT123" i="11"/>
  <c r="AU123" i="11"/>
  <c r="N123" i="11"/>
  <c r="P123" i="11"/>
  <c r="AO123" i="11"/>
  <c r="AR123" i="11"/>
  <c r="AM123" i="11"/>
  <c r="AP123" i="11"/>
  <c r="AN123" i="11"/>
  <c r="AQ123" i="11"/>
  <c r="BL122" i="11"/>
  <c r="BM122" i="11"/>
  <c r="BO122" i="11"/>
  <c r="BP122" i="11"/>
  <c r="AT122" i="11"/>
  <c r="AU122" i="11"/>
  <c r="P122" i="11"/>
  <c r="N122" i="11"/>
  <c r="AO122" i="11"/>
  <c r="AR122" i="11"/>
  <c r="AN122" i="11"/>
  <c r="AQ122" i="11"/>
  <c r="AM122" i="11"/>
  <c r="AP122" i="11"/>
  <c r="BL121" i="11"/>
  <c r="BM121" i="11"/>
  <c r="BO121" i="11"/>
  <c r="BP121" i="11"/>
  <c r="AT121" i="11"/>
  <c r="AU121" i="11"/>
  <c r="N121" i="11"/>
  <c r="P121" i="11"/>
  <c r="AO121" i="11"/>
  <c r="AR121" i="11"/>
  <c r="AN121" i="11"/>
  <c r="AQ121" i="11"/>
  <c r="AM121" i="11"/>
  <c r="AP121" i="11"/>
  <c r="AT120" i="11"/>
  <c r="AU120" i="11"/>
  <c r="N120" i="11"/>
  <c r="P120" i="11"/>
  <c r="BL120" i="11"/>
  <c r="BM120" i="11"/>
  <c r="BO120" i="11"/>
  <c r="BP120" i="11"/>
  <c r="AM120" i="11"/>
  <c r="AP120" i="11"/>
  <c r="AN120" i="11"/>
  <c r="AQ120" i="11"/>
  <c r="AO120" i="11"/>
  <c r="AR120" i="11"/>
  <c r="BL119" i="11"/>
  <c r="BM119" i="11"/>
  <c r="BO119" i="11"/>
  <c r="BP119" i="11"/>
  <c r="AT119" i="11"/>
  <c r="AU119" i="11"/>
  <c r="N119" i="11"/>
  <c r="P119" i="11"/>
  <c r="AO119" i="11"/>
  <c r="AR119" i="11"/>
  <c r="AN119" i="11"/>
  <c r="AQ119" i="11"/>
  <c r="AM119" i="11"/>
  <c r="AP119" i="11"/>
  <c r="AN118" i="11"/>
  <c r="AQ118" i="11"/>
  <c r="AM118" i="11"/>
  <c r="AP118" i="11"/>
  <c r="AO118" i="11"/>
  <c r="AR118" i="11"/>
  <c r="AT118" i="11"/>
  <c r="AU118" i="11"/>
  <c r="N118" i="11"/>
  <c r="P118" i="11"/>
  <c r="BL118" i="11"/>
  <c r="BM118" i="11"/>
  <c r="BO118" i="11"/>
  <c r="BP118" i="11"/>
  <c r="AW117" i="11"/>
  <c r="AZ117" i="11"/>
  <c r="BS117" i="11" s="1"/>
  <c r="AM117" i="11"/>
  <c r="AP117" i="11"/>
  <c r="AM116" i="11"/>
  <c r="AP116" i="11"/>
  <c r="AN116" i="11"/>
  <c r="AQ116" i="11"/>
  <c r="AO116" i="11"/>
  <c r="AR116" i="11"/>
  <c r="AT116" i="11"/>
  <c r="AU116" i="11"/>
  <c r="N116" i="11"/>
  <c r="P116" i="11"/>
  <c r="BL116" i="11"/>
  <c r="BM116" i="11"/>
  <c r="BO116" i="11"/>
  <c r="BP116" i="11"/>
  <c r="AM115" i="11"/>
  <c r="AP115" i="11"/>
  <c r="AO115" i="11"/>
  <c r="AR115" i="11"/>
  <c r="N115" i="11"/>
  <c r="P115" i="11"/>
  <c r="AT115" i="11"/>
  <c r="AU115" i="11"/>
  <c r="AN115" i="11"/>
  <c r="AQ115" i="11"/>
  <c r="BM115" i="11"/>
  <c r="BO115" i="11"/>
  <c r="BL115" i="11"/>
  <c r="BP115" i="11"/>
  <c r="BM114" i="11"/>
  <c r="BP114" i="11"/>
  <c r="BL114" i="11"/>
  <c r="BO114" i="11"/>
  <c r="AU114" i="11"/>
  <c r="P114" i="11"/>
  <c r="AT114" i="11"/>
  <c r="N114" i="11"/>
  <c r="AM114" i="11"/>
  <c r="AP114" i="11"/>
  <c r="AO114" i="11"/>
  <c r="AR114" i="11"/>
  <c r="AN114" i="11"/>
  <c r="AQ114" i="11"/>
  <c r="BL113" i="11"/>
  <c r="BP113" i="11"/>
  <c r="BM113" i="11"/>
  <c r="BO113" i="11"/>
  <c r="AN113" i="11"/>
  <c r="AQ113" i="11"/>
  <c r="AP113" i="11"/>
  <c r="AM113" i="11"/>
  <c r="AU113" i="11"/>
  <c r="N113" i="11"/>
  <c r="P113" i="11"/>
  <c r="AT113" i="11"/>
  <c r="AO113" i="11"/>
  <c r="AR113" i="11"/>
  <c r="BL112" i="11"/>
  <c r="BM112" i="11"/>
  <c r="BP112" i="11"/>
  <c r="BO112" i="11"/>
  <c r="AO112" i="11"/>
  <c r="AR112" i="11"/>
  <c r="AP112" i="11"/>
  <c r="AM112" i="11"/>
  <c r="AQ112" i="11"/>
  <c r="AN112" i="11"/>
  <c r="AU112" i="11"/>
  <c r="AT112" i="11"/>
  <c r="N112" i="11"/>
  <c r="P112" i="11"/>
  <c r="AM111" i="11"/>
  <c r="AP111" i="11"/>
  <c r="BL111" i="11"/>
  <c r="BM111" i="11"/>
  <c r="BO111" i="11"/>
  <c r="BP111" i="11"/>
  <c r="AO111" i="11"/>
  <c r="AR111" i="11"/>
  <c r="AN111" i="11"/>
  <c r="AQ111" i="11"/>
  <c r="AT111" i="11"/>
  <c r="AU111" i="11"/>
  <c r="N111" i="11"/>
  <c r="P111" i="11"/>
  <c r="AM110" i="11"/>
  <c r="AP110" i="11"/>
  <c r="AN110" i="11"/>
  <c r="AQ110" i="11"/>
  <c r="AO110" i="11"/>
  <c r="AR110" i="11"/>
  <c r="BP110" i="11"/>
  <c r="BM110" i="11"/>
  <c r="BL110" i="11"/>
  <c r="BO110" i="11"/>
  <c r="AT110" i="11"/>
  <c r="AU110" i="11"/>
  <c r="N110" i="11"/>
  <c r="P110" i="11"/>
  <c r="BM109" i="11"/>
  <c r="BO109" i="11"/>
  <c r="BL109" i="11"/>
  <c r="BP109" i="11"/>
  <c r="AN109" i="11"/>
  <c r="AQ109" i="11"/>
  <c r="AP109" i="11"/>
  <c r="AM109" i="11"/>
  <c r="AO109" i="11"/>
  <c r="AR109" i="11"/>
  <c r="AU109" i="11"/>
  <c r="N109" i="11"/>
  <c r="P109" i="11"/>
  <c r="AT109" i="11"/>
  <c r="AQ108" i="11"/>
  <c r="AN108" i="11"/>
  <c r="BM108" i="11"/>
  <c r="BO108" i="11"/>
  <c r="BL108" i="11"/>
  <c r="BP108" i="11"/>
  <c r="AU108" i="11"/>
  <c r="P108" i="11"/>
  <c r="AT108" i="11"/>
  <c r="N108" i="11"/>
  <c r="AO108" i="11"/>
  <c r="AR108" i="11"/>
  <c r="AP108" i="11"/>
  <c r="AM108" i="11"/>
  <c r="AU107" i="11"/>
  <c r="AT107" i="11"/>
  <c r="N107" i="11"/>
  <c r="P107" i="11"/>
  <c r="AO107" i="11"/>
  <c r="AR107" i="11"/>
  <c r="BM107" i="11"/>
  <c r="BL107" i="11"/>
  <c r="BO107" i="11"/>
  <c r="BP107" i="11"/>
  <c r="AN107" i="11"/>
  <c r="AQ107" i="11"/>
  <c r="AM107" i="11"/>
  <c r="AP107" i="11"/>
  <c r="AW106" i="11"/>
  <c r="AZ106" i="11"/>
  <c r="BS106" i="11" s="1"/>
  <c r="BM105" i="11"/>
  <c r="BL105" i="11"/>
  <c r="BO105" i="11"/>
  <c r="BP105" i="11"/>
  <c r="AO105" i="11"/>
  <c r="AR105" i="11"/>
  <c r="AN105" i="11"/>
  <c r="AQ105" i="11"/>
  <c r="AT105" i="11"/>
  <c r="AU105" i="11"/>
  <c r="N105" i="11"/>
  <c r="P105" i="11"/>
  <c r="AM105" i="11"/>
  <c r="AP105" i="11"/>
  <c r="AO104" i="11"/>
  <c r="AR104" i="11"/>
  <c r="AN104" i="11"/>
  <c r="AQ104" i="11"/>
  <c r="BL104" i="11"/>
  <c r="BM104" i="11"/>
  <c r="BO104" i="11"/>
  <c r="BP104" i="11"/>
  <c r="AT104" i="11"/>
  <c r="AU104" i="11"/>
  <c r="P104" i="11"/>
  <c r="N104" i="11"/>
  <c r="AM104" i="11"/>
  <c r="AP104" i="11"/>
  <c r="AN103" i="11"/>
  <c r="AQ103" i="11"/>
  <c r="AT103" i="11"/>
  <c r="AU103" i="11"/>
  <c r="N103" i="11"/>
  <c r="P103" i="11"/>
  <c r="AM103" i="11"/>
  <c r="AP103" i="11"/>
  <c r="BL103" i="11"/>
  <c r="BM103" i="11"/>
  <c r="BO103" i="11"/>
  <c r="BP103" i="11"/>
  <c r="AR103" i="11"/>
  <c r="AO103" i="11"/>
  <c r="AN102" i="11"/>
  <c r="AQ102" i="11"/>
  <c r="AU102" i="11"/>
  <c r="AT102" i="11"/>
  <c r="N102" i="11"/>
  <c r="P102" i="11"/>
  <c r="AO102" i="11"/>
  <c r="AR102" i="11"/>
  <c r="AP102" i="11"/>
  <c r="AM102" i="11"/>
  <c r="BL102" i="11"/>
  <c r="BP102" i="11"/>
  <c r="BM102" i="11"/>
  <c r="BO102" i="11"/>
  <c r="BM101" i="11"/>
  <c r="BP101" i="11"/>
  <c r="BL101" i="11"/>
  <c r="BO101" i="11"/>
  <c r="AN101" i="11"/>
  <c r="AQ101" i="11"/>
  <c r="AR101" i="11"/>
  <c r="AO101" i="11"/>
  <c r="AP101" i="11"/>
  <c r="AM101" i="11"/>
  <c r="AT101" i="11"/>
  <c r="AU101" i="11"/>
  <c r="N101" i="11"/>
  <c r="P101" i="11"/>
  <c r="AN100" i="11"/>
  <c r="AQ100" i="11"/>
  <c r="AM100" i="11"/>
  <c r="AP100" i="11"/>
  <c r="AT100" i="11"/>
  <c r="AU100" i="11"/>
  <c r="N100" i="11"/>
  <c r="P100" i="11"/>
  <c r="AO100" i="11"/>
  <c r="AR100" i="11"/>
  <c r="AP99" i="11"/>
  <c r="AM99" i="11"/>
  <c r="AN99" i="11"/>
  <c r="AQ99" i="11"/>
  <c r="BL99" i="11"/>
  <c r="BO99" i="11"/>
  <c r="BM99" i="11"/>
  <c r="BP99" i="11"/>
  <c r="AO99" i="11"/>
  <c r="AR99" i="11"/>
  <c r="AT99" i="11"/>
  <c r="AU99" i="11"/>
  <c r="N99" i="11"/>
  <c r="P99" i="11"/>
  <c r="AR98" i="11"/>
  <c r="AO98" i="11"/>
  <c r="BP98" i="11"/>
  <c r="BM98" i="11"/>
  <c r="BL98" i="11"/>
  <c r="BO98" i="11"/>
  <c r="AM98" i="11"/>
  <c r="AP98" i="11"/>
  <c r="AQ98" i="11"/>
  <c r="AN98" i="11"/>
  <c r="AU98" i="11"/>
  <c r="AT98" i="11"/>
  <c r="N98" i="11"/>
  <c r="P98" i="11"/>
  <c r="N97" i="11"/>
  <c r="P97" i="11"/>
  <c r="AT97" i="11"/>
  <c r="AU97" i="11"/>
  <c r="BM97" i="11"/>
  <c r="BP97" i="11"/>
  <c r="BL97" i="11"/>
  <c r="BO97" i="11"/>
  <c r="AQ97" i="11"/>
  <c r="AN97" i="11"/>
  <c r="AO97" i="11"/>
  <c r="AR97" i="11"/>
  <c r="AM97" i="11"/>
  <c r="AP97" i="11"/>
  <c r="AU96" i="11"/>
  <c r="AT96" i="11"/>
  <c r="N96" i="11"/>
  <c r="P96" i="11"/>
  <c r="AQ96" i="11"/>
  <c r="AN96" i="11"/>
  <c r="BO96" i="11"/>
  <c r="BL96" i="11"/>
  <c r="BP96" i="11"/>
  <c r="BM96" i="11"/>
  <c r="AO96" i="11"/>
  <c r="AR96" i="11"/>
  <c r="AM96" i="11"/>
  <c r="AP96" i="11"/>
  <c r="AW95" i="11"/>
  <c r="AZ95" i="11"/>
  <c r="BS95" i="11" s="1"/>
  <c r="AM94" i="11"/>
  <c r="AP94" i="11"/>
  <c r="AN94" i="11"/>
  <c r="AQ94" i="11"/>
  <c r="BP94" i="11"/>
  <c r="BL94" i="11"/>
  <c r="BO94" i="11"/>
  <c r="BM94" i="11"/>
  <c r="AR94" i="11"/>
  <c r="AO94" i="11"/>
  <c r="AU94" i="11"/>
  <c r="AT94" i="11"/>
  <c r="N94" i="11"/>
  <c r="P94" i="11"/>
  <c r="AN93" i="11"/>
  <c r="AQ93" i="11"/>
  <c r="P93" i="11"/>
  <c r="N93" i="11"/>
  <c r="AT93" i="11"/>
  <c r="AU93" i="11"/>
  <c r="BM93" i="11"/>
  <c r="BO93" i="11"/>
  <c r="BP93" i="11"/>
  <c r="BL93" i="11"/>
  <c r="AR93" i="11"/>
  <c r="AO93" i="11"/>
  <c r="AM93" i="11"/>
  <c r="AP93" i="11"/>
  <c r="BO92" i="11"/>
  <c r="BM92" i="11"/>
  <c r="BL92" i="11"/>
  <c r="BP92" i="11"/>
  <c r="AM92" i="11"/>
  <c r="AP92" i="11"/>
  <c r="AR92" i="11"/>
  <c r="AO92" i="11"/>
  <c r="AU92" i="11"/>
  <c r="AT92" i="11"/>
  <c r="N92" i="11"/>
  <c r="P92" i="11"/>
  <c r="AN92" i="11"/>
  <c r="AQ92" i="11"/>
  <c r="AO91" i="11"/>
  <c r="AR91" i="11"/>
  <c r="AN91" i="11"/>
  <c r="AQ91" i="11"/>
  <c r="BL91" i="11"/>
  <c r="BM91" i="11"/>
  <c r="BP91" i="11"/>
  <c r="BO91" i="11"/>
  <c r="AM91" i="11"/>
  <c r="AP91" i="11"/>
  <c r="AU91" i="11"/>
  <c r="AT91" i="11"/>
  <c r="N91" i="11"/>
  <c r="P91" i="11"/>
  <c r="AM90" i="11"/>
  <c r="AP90" i="11"/>
  <c r="AR90" i="11"/>
  <c r="AO90" i="11"/>
  <c r="P90" i="11"/>
  <c r="N90" i="11"/>
  <c r="AT90" i="11"/>
  <c r="AU90" i="11"/>
  <c r="BO90" i="11"/>
  <c r="BL90" i="11"/>
  <c r="BM90" i="11"/>
  <c r="BP90" i="11"/>
  <c r="AN90" i="11"/>
  <c r="AQ90" i="11"/>
  <c r="AT89" i="11"/>
  <c r="AU89" i="11"/>
  <c r="N89" i="11"/>
  <c r="P89" i="11"/>
  <c r="AO89" i="11"/>
  <c r="AR89" i="11"/>
  <c r="AN89" i="11"/>
  <c r="AQ89" i="11"/>
  <c r="AM89" i="11"/>
  <c r="AP89" i="11"/>
  <c r="BO88" i="11"/>
  <c r="BL88" i="11"/>
  <c r="BP88" i="11"/>
  <c r="BM88" i="11"/>
  <c r="AU88" i="11"/>
  <c r="N88" i="11"/>
  <c r="P88" i="11"/>
  <c r="AT88" i="11"/>
  <c r="AQ88" i="11"/>
  <c r="AN88" i="11"/>
  <c r="AO88" i="11"/>
  <c r="AR88" i="11"/>
  <c r="AP88" i="11"/>
  <c r="AM88" i="11"/>
  <c r="AN87" i="11"/>
  <c r="AQ87" i="11"/>
  <c r="AU87" i="11"/>
  <c r="N87" i="11"/>
  <c r="P87" i="11"/>
  <c r="AT87" i="11"/>
  <c r="BO87" i="11"/>
  <c r="BP87" i="11"/>
  <c r="BL87" i="11"/>
  <c r="BM87" i="11"/>
  <c r="AO87" i="11"/>
  <c r="AR87" i="11"/>
  <c r="AM87" i="11"/>
  <c r="AP87" i="11"/>
  <c r="BP86" i="11"/>
  <c r="BL86" i="11"/>
  <c r="BO86" i="11"/>
  <c r="BM86" i="11"/>
  <c r="AM86" i="11"/>
  <c r="AP86" i="11"/>
  <c r="AO86" i="11"/>
  <c r="AR86" i="11"/>
  <c r="P86" i="11"/>
  <c r="AT86" i="11"/>
  <c r="N86" i="11"/>
  <c r="AU86" i="11"/>
  <c r="AN86" i="11"/>
  <c r="AQ86" i="11"/>
  <c r="N85" i="11"/>
  <c r="P85" i="11"/>
  <c r="AU85" i="11"/>
  <c r="AT85" i="11"/>
  <c r="AO85" i="11"/>
  <c r="AR85" i="11"/>
  <c r="AN85" i="11"/>
  <c r="AQ85" i="11"/>
  <c r="BM85" i="11"/>
  <c r="BP85" i="11"/>
  <c r="BL85" i="11"/>
  <c r="BO85" i="11"/>
  <c r="AM85" i="11"/>
  <c r="AP85" i="11"/>
  <c r="BX115" i="11"/>
  <c r="BX116" i="11"/>
  <c r="BX117" i="11"/>
  <c r="AN84" i="11"/>
  <c r="AQ84" i="11"/>
  <c r="AP84" i="11"/>
  <c r="AM84" i="11"/>
  <c r="AO84" i="11"/>
  <c r="AR84" i="11"/>
  <c r="BM84" i="11"/>
  <c r="BP84" i="11"/>
  <c r="BL84" i="11"/>
  <c r="BO84" i="11"/>
  <c r="AU84" i="11"/>
  <c r="N84" i="11"/>
  <c r="P84" i="11"/>
  <c r="AT84" i="11"/>
  <c r="AN83" i="11"/>
  <c r="AQ83" i="11"/>
  <c r="AO83" i="11"/>
  <c r="AR83" i="11"/>
  <c r="AT83" i="11"/>
  <c r="AU83" i="11"/>
  <c r="N83" i="11"/>
  <c r="P83" i="11"/>
  <c r="BL83" i="11"/>
  <c r="BM83" i="11"/>
  <c r="BO83" i="11"/>
  <c r="BP83" i="11"/>
  <c r="AM83" i="11"/>
  <c r="AP83" i="11"/>
  <c r="AT82" i="11"/>
  <c r="AU82" i="11"/>
  <c r="N82" i="11"/>
  <c r="P82" i="11"/>
  <c r="AO82" i="11"/>
  <c r="AR82" i="11"/>
  <c r="AN82" i="11"/>
  <c r="AQ82" i="11"/>
  <c r="AM82" i="11"/>
  <c r="AP82" i="11"/>
  <c r="BL82" i="11"/>
  <c r="BM82" i="11"/>
  <c r="BO82" i="11"/>
  <c r="BP82" i="11"/>
  <c r="AT81" i="11"/>
  <c r="AU81" i="11"/>
  <c r="N81" i="11"/>
  <c r="P81" i="11"/>
  <c r="AO81" i="11"/>
  <c r="AR81" i="11"/>
  <c r="BL81" i="11"/>
  <c r="BM81" i="11"/>
  <c r="BO81" i="11"/>
  <c r="BP81" i="11"/>
  <c r="AM81" i="11"/>
  <c r="AP81" i="11"/>
  <c r="AN81" i="11"/>
  <c r="AQ81" i="11"/>
  <c r="BL80" i="11"/>
  <c r="BM80" i="11"/>
  <c r="BO80" i="11"/>
  <c r="BP80" i="11"/>
  <c r="AM80" i="11"/>
  <c r="AP80" i="11"/>
  <c r="AN80" i="11"/>
  <c r="AQ80" i="11"/>
  <c r="AO80" i="11"/>
  <c r="AR80" i="11"/>
  <c r="AT80" i="11"/>
  <c r="AU80" i="11"/>
  <c r="N80" i="11"/>
  <c r="P80" i="11"/>
  <c r="AT79" i="11"/>
  <c r="AU79" i="11"/>
  <c r="N79" i="11"/>
  <c r="P79" i="11"/>
  <c r="AM79" i="11"/>
  <c r="AP79" i="11"/>
  <c r="AN79" i="11"/>
  <c r="AQ79" i="11"/>
  <c r="AO79" i="11"/>
  <c r="AR79" i="11"/>
  <c r="BL79" i="11"/>
  <c r="BM79" i="11"/>
  <c r="BO79" i="11"/>
  <c r="BP79" i="11"/>
  <c r="AO78" i="11"/>
  <c r="AR78" i="11"/>
  <c r="AN78" i="11"/>
  <c r="AQ78" i="11"/>
  <c r="AM78" i="11"/>
  <c r="AP78" i="11"/>
  <c r="AT78" i="11"/>
  <c r="AU78" i="11"/>
  <c r="N78" i="11"/>
  <c r="P78" i="11"/>
  <c r="AT77" i="11"/>
  <c r="AU77" i="11"/>
  <c r="N77" i="11"/>
  <c r="P77" i="11"/>
  <c r="AO77" i="11"/>
  <c r="AR77" i="11"/>
  <c r="AN77" i="11"/>
  <c r="AQ77" i="11"/>
  <c r="AM77" i="11"/>
  <c r="AP77" i="11"/>
  <c r="BL77" i="11"/>
  <c r="BM77" i="11"/>
  <c r="BO77" i="11"/>
  <c r="BP77" i="11"/>
  <c r="AT76" i="11"/>
  <c r="AU76" i="11"/>
  <c r="N76" i="11"/>
  <c r="P76" i="11"/>
  <c r="AO76" i="11"/>
  <c r="AR76" i="11"/>
  <c r="AN76" i="11"/>
  <c r="AQ76" i="11"/>
  <c r="AM76" i="11"/>
  <c r="AP76" i="11"/>
  <c r="BL76" i="11"/>
  <c r="BM76" i="11"/>
  <c r="BO76" i="11"/>
  <c r="BP76" i="11"/>
  <c r="AN75" i="11"/>
  <c r="AQ75" i="11"/>
  <c r="BL75" i="11"/>
  <c r="BM75" i="11"/>
  <c r="BO75" i="11"/>
  <c r="BP75" i="11"/>
  <c r="AO75" i="11"/>
  <c r="AR75" i="11"/>
  <c r="AM75" i="11"/>
  <c r="AP75" i="11"/>
  <c r="AT75" i="11"/>
  <c r="AU75" i="11"/>
  <c r="N75" i="11"/>
  <c r="P75" i="11"/>
  <c r="AO74" i="11"/>
  <c r="AR74" i="11"/>
  <c r="AT74" i="11"/>
  <c r="AU74" i="11"/>
  <c r="N74" i="11"/>
  <c r="P74" i="11"/>
  <c r="BL74" i="11"/>
  <c r="BM74" i="11"/>
  <c r="BO74" i="11"/>
  <c r="BP74" i="11"/>
  <c r="AN74" i="11"/>
  <c r="AQ74" i="11"/>
  <c r="AM74" i="11"/>
  <c r="AP74" i="11"/>
  <c r="AT73" i="11"/>
  <c r="AU73" i="11"/>
  <c r="N73" i="11"/>
  <c r="P73" i="11"/>
  <c r="AO73" i="11"/>
  <c r="AR73" i="11"/>
  <c r="AN73" i="11"/>
  <c r="AQ73" i="11"/>
  <c r="AM73" i="11"/>
  <c r="AP73" i="11"/>
  <c r="BL73" i="11"/>
  <c r="BM73" i="11"/>
  <c r="BO73" i="11"/>
  <c r="BP73" i="11"/>
  <c r="AT72" i="11"/>
  <c r="AU72" i="11"/>
  <c r="N72" i="11"/>
  <c r="P72" i="11"/>
  <c r="AO72" i="11"/>
  <c r="AR72" i="11"/>
  <c r="AN72" i="11"/>
  <c r="AQ72" i="11"/>
  <c r="BL72" i="11"/>
  <c r="BM72" i="11"/>
  <c r="BO72" i="11"/>
  <c r="BP72" i="11"/>
  <c r="AM72" i="11"/>
  <c r="AP72" i="11"/>
  <c r="AM71" i="11"/>
  <c r="AP71" i="11"/>
  <c r="AN71" i="11"/>
  <c r="AQ71" i="11"/>
  <c r="AO71" i="11"/>
  <c r="AR71" i="11"/>
  <c r="AT71" i="11"/>
  <c r="AU71" i="11"/>
  <c r="N71" i="11"/>
  <c r="P71" i="11"/>
  <c r="BL71" i="11"/>
  <c r="BM71" i="11"/>
  <c r="BO71" i="11"/>
  <c r="BP71" i="11"/>
  <c r="AO70" i="11"/>
  <c r="AR70" i="11"/>
  <c r="AN70" i="11"/>
  <c r="AQ70" i="11"/>
  <c r="AM70" i="11"/>
  <c r="AP70" i="11"/>
  <c r="BL70" i="11"/>
  <c r="BM70" i="11"/>
  <c r="BO70" i="11"/>
  <c r="BP70" i="11"/>
  <c r="AT70" i="11"/>
  <c r="AU70" i="11"/>
  <c r="N70" i="11"/>
  <c r="P70" i="11"/>
  <c r="AM69" i="11"/>
  <c r="AP69" i="11"/>
  <c r="AN69" i="11"/>
  <c r="AQ69" i="11"/>
  <c r="AO69" i="11"/>
  <c r="AR69" i="11"/>
  <c r="AT69" i="11"/>
  <c r="AU69" i="11"/>
  <c r="N69" i="11"/>
  <c r="P69" i="11"/>
  <c r="BL69" i="11"/>
  <c r="BM69" i="11"/>
  <c r="BO69" i="11"/>
  <c r="BP69" i="11"/>
  <c r="AO68" i="11"/>
  <c r="AR68" i="11"/>
  <c r="AN68" i="11"/>
  <c r="AQ68" i="11"/>
  <c r="AM68" i="11"/>
  <c r="AP68" i="11"/>
  <c r="AT68" i="11"/>
  <c r="AU68" i="11"/>
  <c r="N68" i="11"/>
  <c r="P68" i="11"/>
  <c r="BL68" i="11"/>
  <c r="BM68" i="11"/>
  <c r="BO68" i="11"/>
  <c r="BP68" i="11"/>
  <c r="AT67" i="11"/>
  <c r="AU67" i="11"/>
  <c r="N67" i="11"/>
  <c r="P67" i="11"/>
  <c r="AO67" i="11"/>
  <c r="AR67" i="11"/>
  <c r="AN67" i="11"/>
  <c r="AQ67" i="11"/>
  <c r="AM67" i="11"/>
  <c r="AP67" i="11"/>
  <c r="AM66" i="11"/>
  <c r="AP66" i="11"/>
  <c r="AN66" i="11"/>
  <c r="AQ66" i="11"/>
  <c r="AO66" i="11"/>
  <c r="AR66" i="11"/>
  <c r="AT66" i="11"/>
  <c r="AU66" i="11"/>
  <c r="N66" i="11"/>
  <c r="P66" i="11"/>
  <c r="BL66" i="11"/>
  <c r="BM66" i="11"/>
  <c r="BO66" i="11"/>
  <c r="BP66" i="11"/>
  <c r="BL65" i="11"/>
  <c r="BM65" i="11"/>
  <c r="BO65" i="11"/>
  <c r="BP65" i="11"/>
  <c r="AT65" i="11"/>
  <c r="AU65" i="11"/>
  <c r="N65" i="11"/>
  <c r="P65" i="11"/>
  <c r="AO65" i="11"/>
  <c r="AR65" i="11"/>
  <c r="AN65" i="11"/>
  <c r="AQ65" i="11"/>
  <c r="AM65" i="11"/>
  <c r="AP65" i="11"/>
  <c r="BL64" i="11"/>
  <c r="BM64" i="11"/>
  <c r="BO64" i="11"/>
  <c r="BP64" i="11"/>
  <c r="AT64" i="11"/>
  <c r="AU64" i="11"/>
  <c r="N64" i="11"/>
  <c r="P64" i="11"/>
  <c r="AO64" i="11"/>
  <c r="AR64" i="11"/>
  <c r="AN64" i="11"/>
  <c r="AQ64" i="11"/>
  <c r="AM64" i="11"/>
  <c r="AP64" i="11"/>
  <c r="AR63" i="11"/>
  <c r="AO63" i="11"/>
  <c r="AM63" i="11"/>
  <c r="AP63" i="11"/>
  <c r="AU63" i="11"/>
  <c r="N63" i="11"/>
  <c r="P63" i="11"/>
  <c r="AT63" i="11"/>
  <c r="BM63" i="11"/>
  <c r="BL63" i="11"/>
  <c r="BO63" i="11"/>
  <c r="BP63" i="11"/>
  <c r="AQ63" i="11"/>
  <c r="AN63" i="11"/>
  <c r="AN62" i="11"/>
  <c r="AQ62" i="11"/>
  <c r="BM62" i="11"/>
  <c r="BO62" i="11"/>
  <c r="BL62" i="11"/>
  <c r="BP62" i="11"/>
  <c r="AO62" i="11"/>
  <c r="AR62" i="11"/>
  <c r="AM62" i="11"/>
  <c r="AP62" i="11"/>
  <c r="AU62" i="11"/>
  <c r="N62" i="11"/>
  <c r="P62" i="11"/>
  <c r="AT62" i="11"/>
  <c r="AW61" i="11"/>
  <c r="AZ61" i="11"/>
  <c r="BS61" i="11" s="1"/>
  <c r="BP61" i="11"/>
  <c r="BM61" i="11"/>
  <c r="BO61" i="11"/>
  <c r="BL61" i="11"/>
  <c r="AP61" i="11"/>
  <c r="AM61" i="11"/>
  <c r="AO61" i="11"/>
  <c r="AR61" i="11"/>
  <c r="AN61" i="11"/>
  <c r="AQ61" i="11"/>
  <c r="AO60" i="11"/>
  <c r="AR60" i="11"/>
  <c r="BL60" i="11"/>
  <c r="BO60" i="11"/>
  <c r="BM60" i="11"/>
  <c r="BP60" i="11"/>
  <c r="AT60" i="11"/>
  <c r="N60" i="11"/>
  <c r="P60" i="11"/>
  <c r="AU60" i="11"/>
  <c r="AM60" i="11"/>
  <c r="AP60" i="11"/>
  <c r="AN60" i="11"/>
  <c r="AQ60" i="11"/>
  <c r="N59" i="11"/>
  <c r="AT59" i="11"/>
  <c r="AU59" i="11"/>
  <c r="P59" i="11"/>
  <c r="AQ59" i="11"/>
  <c r="AN59" i="11"/>
  <c r="AM59" i="11"/>
  <c r="AP59" i="11"/>
  <c r="BM59" i="11"/>
  <c r="BP59" i="11"/>
  <c r="BO59" i="11"/>
  <c r="BL59" i="11"/>
  <c r="AO59" i="11"/>
  <c r="AR59" i="11"/>
  <c r="AU58" i="11"/>
  <c r="N58" i="11"/>
  <c r="P58" i="11"/>
  <c r="AT58" i="11"/>
  <c r="BM58" i="11"/>
  <c r="BP58" i="11"/>
  <c r="BL58" i="11"/>
  <c r="BO58" i="11"/>
  <c r="AO58" i="11"/>
  <c r="AR58" i="11"/>
  <c r="AP58" i="11"/>
  <c r="AM58" i="11"/>
  <c r="AN58" i="11"/>
  <c r="AQ58" i="11"/>
  <c r="AN57" i="11"/>
  <c r="AQ57" i="11"/>
  <c r="AM57" i="11"/>
  <c r="AP57" i="11"/>
  <c r="AO57" i="11"/>
  <c r="AR57" i="11"/>
  <c r="P57" i="11"/>
  <c r="AT57" i="11"/>
  <c r="N57" i="11"/>
  <c r="AU57" i="11"/>
  <c r="BP57" i="11"/>
  <c r="BL57" i="11"/>
  <c r="BO57" i="11"/>
  <c r="BM57" i="11"/>
  <c r="AW56" i="11"/>
  <c r="AZ56" i="11"/>
  <c r="BS56" i="11" s="1"/>
  <c r="AM56" i="11"/>
  <c r="AP56" i="11"/>
  <c r="AN56" i="11"/>
  <c r="AQ56" i="11"/>
  <c r="AO56" i="11"/>
  <c r="AR56" i="11"/>
  <c r="N55" i="11"/>
  <c r="P55" i="11"/>
  <c r="AT55" i="11"/>
  <c r="AU55" i="11"/>
  <c r="AM55" i="11"/>
  <c r="AP55" i="11"/>
  <c r="AO55" i="11"/>
  <c r="AR55" i="11"/>
  <c r="BL55" i="11"/>
  <c r="BP55" i="11"/>
  <c r="BO55" i="11"/>
  <c r="BM55" i="11"/>
  <c r="AN55" i="11"/>
  <c r="AQ55" i="11"/>
  <c r="AO54" i="11"/>
  <c r="AR54" i="11"/>
  <c r="AM54" i="11"/>
  <c r="AP54" i="11"/>
  <c r="AN54" i="11"/>
  <c r="AQ54" i="11"/>
  <c r="N54" i="11"/>
  <c r="P54" i="11"/>
  <c r="AT54" i="11"/>
  <c r="AU54" i="11"/>
  <c r="BM54" i="11"/>
  <c r="BP54" i="11"/>
  <c r="BL54" i="11"/>
  <c r="BO54" i="11"/>
  <c r="AN53" i="11"/>
  <c r="AQ53" i="11"/>
  <c r="AT53" i="11"/>
  <c r="N53" i="11"/>
  <c r="P53" i="11"/>
  <c r="AU53" i="11"/>
  <c r="BO53" i="11"/>
  <c r="BM53" i="11"/>
  <c r="BP53" i="11"/>
  <c r="BL53" i="11"/>
  <c r="AM53" i="11"/>
  <c r="AP53" i="11"/>
  <c r="AR53" i="11"/>
  <c r="AO53" i="11"/>
  <c r="AM52" i="11"/>
  <c r="AP52" i="11"/>
  <c r="AT52" i="11"/>
  <c r="AU52" i="11"/>
  <c r="P52" i="11"/>
  <c r="N52" i="11"/>
  <c r="BL52" i="11"/>
  <c r="BM52" i="11"/>
  <c r="BO52" i="11"/>
  <c r="BP52" i="11"/>
  <c r="AR52" i="11"/>
  <c r="AO52" i="11"/>
  <c r="AN52" i="11"/>
  <c r="AQ52" i="11"/>
  <c r="AO51" i="11"/>
  <c r="AR51" i="11"/>
  <c r="AQ51" i="11"/>
  <c r="AN51" i="11"/>
  <c r="AM51" i="11"/>
  <c r="AP51" i="11"/>
  <c r="AU51" i="11"/>
  <c r="AT51" i="11"/>
  <c r="N51" i="11"/>
  <c r="P51" i="11"/>
  <c r="BM51" i="11"/>
  <c r="BO51" i="11"/>
  <c r="BP51" i="11"/>
  <c r="BL51" i="11"/>
  <c r="AT50" i="11"/>
  <c r="AU50" i="11"/>
  <c r="N50" i="11"/>
  <c r="P50" i="11"/>
  <c r="AO50" i="11"/>
  <c r="AR50" i="11"/>
  <c r="AN50" i="11"/>
  <c r="AQ50" i="11"/>
  <c r="AM50" i="11"/>
  <c r="AP50" i="11"/>
  <c r="BL50" i="11"/>
  <c r="BM50" i="11"/>
  <c r="BO50" i="11"/>
  <c r="BP50" i="11"/>
  <c r="AT49" i="11"/>
  <c r="N49" i="11"/>
  <c r="P49" i="11"/>
  <c r="AU49" i="11"/>
  <c r="AN49" i="11"/>
  <c r="AQ49" i="11"/>
  <c r="AM49" i="11"/>
  <c r="AP49" i="11"/>
  <c r="AO49" i="11"/>
  <c r="AR49" i="11"/>
  <c r="BO49" i="11"/>
  <c r="BM49" i="11"/>
  <c r="BL49" i="11"/>
  <c r="BP49" i="11"/>
  <c r="AQ48" i="11"/>
  <c r="AN48" i="11"/>
  <c r="AU48" i="11"/>
  <c r="N48" i="11"/>
  <c r="P48" i="11"/>
  <c r="AT48" i="11"/>
  <c r="AP48" i="11"/>
  <c r="AM48" i="11"/>
  <c r="AO48" i="11"/>
  <c r="AR48" i="11"/>
  <c r="BO48" i="11"/>
  <c r="BL48" i="11"/>
  <c r="BM48" i="11"/>
  <c r="BP48" i="11"/>
  <c r="AN47" i="11"/>
  <c r="AQ47" i="11"/>
  <c r="AM47" i="11"/>
  <c r="AP47" i="11"/>
  <c r="BL47" i="11"/>
  <c r="BO47" i="11"/>
  <c r="BM47" i="11"/>
  <c r="BP47" i="11"/>
  <c r="AU47" i="11"/>
  <c r="AT47" i="11"/>
  <c r="N47" i="11"/>
  <c r="P47" i="11"/>
  <c r="AO47" i="11"/>
  <c r="AR47" i="11"/>
  <c r="AQ46" i="11"/>
  <c r="AN46" i="11"/>
  <c r="AP46" i="11"/>
  <c r="AM46" i="11"/>
  <c r="BO46" i="11"/>
  <c r="BP46" i="11"/>
  <c r="BL46" i="11"/>
  <c r="BM46" i="11"/>
  <c r="AO46" i="11"/>
  <c r="AR46" i="11"/>
  <c r="AU46" i="11"/>
  <c r="AT46" i="11"/>
  <c r="N46" i="11"/>
  <c r="P46" i="11"/>
  <c r="AW45" i="11"/>
  <c r="AZ45" i="11"/>
  <c r="BS45" i="11" s="1"/>
  <c r="AR45" i="11"/>
  <c r="AO45" i="11"/>
  <c r="AQ45" i="11"/>
  <c r="AN45" i="11"/>
  <c r="AM45" i="11"/>
  <c r="AP45" i="11"/>
  <c r="AN44" i="11"/>
  <c r="AQ44" i="11"/>
  <c r="N44" i="11"/>
  <c r="P44" i="11"/>
  <c r="AU44" i="11"/>
  <c r="AT44" i="11"/>
  <c r="AO44" i="11"/>
  <c r="AR44" i="11"/>
  <c r="BP44" i="11"/>
  <c r="BM44" i="11"/>
  <c r="BL44" i="11"/>
  <c r="BO44" i="11"/>
  <c r="AP44" i="11"/>
  <c r="AM44" i="11"/>
  <c r="BP43" i="11"/>
  <c r="BM43" i="11"/>
  <c r="BL43" i="11"/>
  <c r="BO43" i="11"/>
  <c r="AO43" i="11"/>
  <c r="AR43" i="11"/>
  <c r="AU43" i="11"/>
  <c r="AT43" i="11"/>
  <c r="N43" i="11"/>
  <c r="P43" i="11"/>
  <c r="AQ43" i="11"/>
  <c r="AN43" i="11"/>
  <c r="AM43" i="11"/>
  <c r="AP43" i="11"/>
  <c r="AO42" i="11"/>
  <c r="AR42" i="11"/>
  <c r="P42" i="11"/>
  <c r="AU42" i="11"/>
  <c r="AT42" i="11"/>
  <c r="N42" i="11"/>
  <c r="AQ42" i="11"/>
  <c r="AN42" i="11"/>
  <c r="BP42" i="11"/>
  <c r="BL42" i="11"/>
  <c r="BO42" i="11"/>
  <c r="BM42" i="11"/>
  <c r="AM42" i="11"/>
  <c r="AP42" i="11"/>
  <c r="BO41" i="11"/>
  <c r="BL41" i="11"/>
  <c r="BP41" i="11"/>
  <c r="BM41" i="11"/>
  <c r="AQ41" i="11"/>
  <c r="AN41" i="11"/>
  <c r="AU41" i="11"/>
  <c r="AT41" i="11"/>
  <c r="N41" i="11"/>
  <c r="P41" i="11"/>
  <c r="AO41" i="11"/>
  <c r="AR41" i="11"/>
  <c r="AP41" i="11"/>
  <c r="AM41" i="11"/>
  <c r="AM40" i="11"/>
  <c r="AP40" i="11"/>
  <c r="AR40" i="11"/>
  <c r="AO40" i="11"/>
  <c r="N40" i="11"/>
  <c r="P40" i="11"/>
  <c r="AT40" i="11"/>
  <c r="AU40" i="11"/>
  <c r="AQ40" i="11"/>
  <c r="AN40" i="11"/>
  <c r="BL40" i="11"/>
  <c r="BM40" i="11"/>
  <c r="BP40" i="11"/>
  <c r="BO40" i="11"/>
  <c r="AM39" i="11"/>
  <c r="AP39" i="11"/>
  <c r="AN39" i="11"/>
  <c r="AQ39" i="11"/>
  <c r="AO39" i="11"/>
  <c r="AR39" i="11"/>
  <c r="AT39" i="11"/>
  <c r="AU39" i="11"/>
  <c r="N39" i="11"/>
  <c r="P39" i="11"/>
  <c r="BL39" i="11"/>
  <c r="BM39" i="11"/>
  <c r="BO39" i="11"/>
  <c r="BP39" i="11"/>
  <c r="AT38" i="11"/>
  <c r="AU38" i="11"/>
  <c r="N38" i="11"/>
  <c r="P38" i="11"/>
  <c r="AM38" i="11"/>
  <c r="AP38" i="11"/>
  <c r="BP38" i="11"/>
  <c r="BM38" i="11"/>
  <c r="BO38" i="11"/>
  <c r="BL38" i="11"/>
  <c r="AN38" i="11"/>
  <c r="AQ38" i="11"/>
  <c r="AR38" i="11"/>
  <c r="AO38" i="11"/>
  <c r="BP37" i="11"/>
  <c r="BM37" i="11"/>
  <c r="BO37" i="11"/>
  <c r="BL37" i="11"/>
  <c r="AO37" i="11"/>
  <c r="AR37" i="11"/>
  <c r="AQ37" i="11"/>
  <c r="AN37" i="11"/>
  <c r="AP37" i="11"/>
  <c r="AM37" i="11"/>
  <c r="AU37" i="11"/>
  <c r="N37" i="11"/>
  <c r="P37" i="11"/>
  <c r="AT37" i="11"/>
  <c r="AU36" i="11"/>
  <c r="AT36" i="11"/>
  <c r="N36" i="11"/>
  <c r="P36" i="11"/>
  <c r="AR36" i="11"/>
  <c r="AO36" i="11"/>
  <c r="AN36" i="11"/>
  <c r="AQ36" i="11"/>
  <c r="BO36" i="11"/>
  <c r="BM36" i="11"/>
  <c r="BP36" i="11"/>
  <c r="BL36" i="11"/>
  <c r="AM36" i="11"/>
  <c r="AP36" i="11"/>
  <c r="AO35" i="11"/>
  <c r="AR35" i="11"/>
  <c r="BO35" i="11"/>
  <c r="BL35" i="11"/>
  <c r="BP35" i="11"/>
  <c r="BM35" i="11"/>
  <c r="AU35" i="11"/>
  <c r="N35" i="11"/>
  <c r="P35" i="11"/>
  <c r="AT35" i="11"/>
  <c r="AP35" i="11"/>
  <c r="AM35" i="11"/>
  <c r="BX18" i="11"/>
  <c r="BX21" i="11" s="1"/>
  <c r="N6" i="12" s="1"/>
  <c r="BX16" i="11"/>
  <c r="BX19" i="11" s="1"/>
  <c r="BX17" i="11"/>
  <c r="BX20" i="11" s="1"/>
  <c r="M6" i="12" s="1"/>
  <c r="AN35" i="11"/>
  <c r="AQ35" i="11"/>
  <c r="AZ34" i="11"/>
  <c r="BS34" i="11" s="1"/>
  <c r="AW34" i="11"/>
  <c r="BL33" i="11"/>
  <c r="BM33" i="11"/>
  <c r="BO33" i="11"/>
  <c r="BP33" i="11"/>
  <c r="AT33" i="11"/>
  <c r="AU33" i="11"/>
  <c r="N33" i="11"/>
  <c r="P33" i="11"/>
  <c r="AO33" i="11"/>
  <c r="AR33" i="11"/>
  <c r="AN33" i="11"/>
  <c r="AQ33" i="11"/>
  <c r="AM33" i="11"/>
  <c r="AP33" i="11"/>
  <c r="BL32" i="11"/>
  <c r="BM32" i="11"/>
  <c r="BO32" i="11"/>
  <c r="BP32" i="11"/>
  <c r="AM32" i="11"/>
  <c r="AP32" i="11"/>
  <c r="AN32" i="11"/>
  <c r="AQ32" i="11"/>
  <c r="AO32" i="11"/>
  <c r="AR32" i="11"/>
  <c r="AT32" i="11"/>
  <c r="AU32" i="11"/>
  <c r="N32" i="11"/>
  <c r="P32" i="11"/>
  <c r="AM31" i="11"/>
  <c r="AP31" i="11"/>
  <c r="AT31" i="11"/>
  <c r="AU31" i="11"/>
  <c r="N31" i="11"/>
  <c r="P31" i="11"/>
  <c r="AO31" i="11"/>
  <c r="AR31" i="11"/>
  <c r="AN31" i="11"/>
  <c r="AQ31" i="11"/>
  <c r="BL31" i="11"/>
  <c r="BM31" i="11"/>
  <c r="BO31" i="11"/>
  <c r="BP31" i="11"/>
  <c r="BL30" i="11"/>
  <c r="BM30" i="11"/>
  <c r="BO30" i="11"/>
  <c r="BP30" i="11"/>
  <c r="AT30" i="11"/>
  <c r="AU30" i="11"/>
  <c r="N30" i="11"/>
  <c r="P30" i="11"/>
  <c r="AO30" i="11"/>
  <c r="AR30" i="11"/>
  <c r="AN30" i="11"/>
  <c r="AQ30" i="11"/>
  <c r="AM30" i="11"/>
  <c r="AP30" i="11"/>
  <c r="AM29" i="11"/>
  <c r="AP29" i="11"/>
  <c r="AN29" i="11"/>
  <c r="AQ29" i="11"/>
  <c r="AO29" i="11"/>
  <c r="AR29" i="11"/>
  <c r="AT29" i="11"/>
  <c r="AU29" i="11"/>
  <c r="N29" i="11"/>
  <c r="P29" i="11"/>
  <c r="BL29" i="11"/>
  <c r="BM29" i="11"/>
  <c r="BO29" i="11"/>
  <c r="BP29" i="11"/>
  <c r="BL28" i="11"/>
  <c r="BM28" i="11"/>
  <c r="BO28" i="11"/>
  <c r="BP28" i="11"/>
  <c r="AT28" i="11"/>
  <c r="AU28" i="11"/>
  <c r="N28" i="11"/>
  <c r="P28" i="11"/>
  <c r="AO28" i="11"/>
  <c r="AR28" i="11"/>
  <c r="AN28" i="11"/>
  <c r="AQ28" i="11"/>
  <c r="AM28" i="11"/>
  <c r="AP28" i="11"/>
  <c r="BL27" i="11"/>
  <c r="BM27" i="11"/>
  <c r="BO27" i="11"/>
  <c r="BP27" i="11"/>
  <c r="AT27" i="11"/>
  <c r="AU27" i="11"/>
  <c r="N27" i="11"/>
  <c r="P27" i="11"/>
  <c r="AO27" i="11"/>
  <c r="AR27" i="11"/>
  <c r="AN27" i="11"/>
  <c r="AQ27" i="11"/>
  <c r="AM27" i="11"/>
  <c r="AP27" i="11"/>
  <c r="N26" i="11"/>
  <c r="P26" i="11"/>
  <c r="AT26" i="11"/>
  <c r="AU26" i="11"/>
  <c r="AQ26" i="11"/>
  <c r="AN26" i="11"/>
  <c r="BM26" i="11"/>
  <c r="BO26" i="11"/>
  <c r="BL26" i="11"/>
  <c r="BP26" i="11"/>
  <c r="AP26" i="11"/>
  <c r="AM26" i="11"/>
  <c r="AR26" i="11"/>
  <c r="AO26" i="11"/>
  <c r="AN25" i="11"/>
  <c r="AQ25" i="11"/>
  <c r="BX5" i="11"/>
  <c r="AF113" i="12" s="1"/>
  <c r="AT25" i="11"/>
  <c r="AU25" i="11"/>
  <c r="N25" i="11"/>
  <c r="P25" i="11"/>
  <c r="AO25" i="11"/>
  <c r="AR25" i="11"/>
  <c r="BX6" i="11"/>
  <c r="AI113" i="12" s="1"/>
  <c r="BX4" i="11"/>
  <c r="AM25" i="11"/>
  <c r="AP25" i="11"/>
  <c r="BM25" i="11"/>
  <c r="BP25" i="11"/>
  <c r="BL25" i="11"/>
  <c r="BO25" i="11"/>
  <c r="X9" i="12"/>
  <c r="L16" i="11"/>
  <c r="AO117" i="11"/>
  <c r="AR117" i="11"/>
  <c r="AN117" i="11"/>
  <c r="AQ117" i="11"/>
  <c r="J130" i="11" l="1"/>
  <c r="L130" i="11"/>
  <c r="J129" i="11"/>
  <c r="L129" i="11"/>
  <c r="L128" i="11"/>
  <c r="L146" i="11" s="1"/>
  <c r="BX11" i="11" s="1"/>
  <c r="H146" i="11"/>
  <c r="BX10" i="11" s="1"/>
  <c r="AW124" i="11"/>
  <c r="AZ124" i="11"/>
  <c r="BS124" i="11" s="1"/>
  <c r="AW123" i="11"/>
  <c r="AZ123" i="11"/>
  <c r="BS123" i="11" s="1"/>
  <c r="AW122" i="11"/>
  <c r="AZ122" i="11"/>
  <c r="BS122" i="11" s="1"/>
  <c r="AW121" i="11"/>
  <c r="AZ121" i="11"/>
  <c r="BS121" i="11" s="1"/>
  <c r="AW120" i="11"/>
  <c r="AZ120" i="11"/>
  <c r="BS120" i="11" s="1"/>
  <c r="AW119" i="11"/>
  <c r="AZ119" i="11"/>
  <c r="BS119" i="11" s="1"/>
  <c r="AW118" i="11"/>
  <c r="AZ118" i="11"/>
  <c r="BS118" i="11" s="1"/>
  <c r="AX117" i="11"/>
  <c r="AY117" i="11"/>
  <c r="BR117" i="11" s="1"/>
  <c r="BA117" i="11"/>
  <c r="BT117" i="11" s="1"/>
  <c r="BB117" i="11"/>
  <c r="BC117" i="11" s="1"/>
  <c r="BE117" i="11" s="1"/>
  <c r="BF117" i="11" s="1"/>
  <c r="BG117" i="11" s="1"/>
  <c r="BH117" i="11" s="1"/>
  <c r="BQ117" i="11"/>
  <c r="AW116" i="11"/>
  <c r="AZ116" i="11"/>
  <c r="BS116" i="11" s="1"/>
  <c r="AW115" i="11"/>
  <c r="AZ115" i="11"/>
  <c r="BS115" i="11" s="1"/>
  <c r="AW114" i="11"/>
  <c r="AZ114" i="11"/>
  <c r="BS114" i="11" s="1"/>
  <c r="AW113" i="11"/>
  <c r="AZ113" i="11"/>
  <c r="BS113" i="11" s="1"/>
  <c r="AW112" i="11"/>
  <c r="AZ112" i="11"/>
  <c r="BS112" i="11" s="1"/>
  <c r="AW111" i="11"/>
  <c r="AZ111" i="11"/>
  <c r="BS111" i="11" s="1"/>
  <c r="AW110" i="11"/>
  <c r="AZ110" i="11"/>
  <c r="BS110" i="11" s="1"/>
  <c r="AW109" i="11"/>
  <c r="AZ109" i="11"/>
  <c r="BS109" i="11" s="1"/>
  <c r="AW108" i="11"/>
  <c r="AZ108" i="11"/>
  <c r="BS108" i="11" s="1"/>
  <c r="AW107" i="11"/>
  <c r="AZ107" i="11"/>
  <c r="BS107" i="11" s="1"/>
  <c r="AY106" i="11"/>
  <c r="BR106" i="11" s="1"/>
  <c r="BQ106" i="11"/>
  <c r="AX106" i="11"/>
  <c r="BA106" i="11"/>
  <c r="BT106" i="11" s="1"/>
  <c r="BB106" i="11"/>
  <c r="BC106" i="11" s="1"/>
  <c r="BE106" i="11" s="1"/>
  <c r="BF106" i="11" s="1"/>
  <c r="BG106" i="11" s="1"/>
  <c r="BH106" i="11" s="1"/>
  <c r="AW105" i="11"/>
  <c r="AZ105" i="11"/>
  <c r="BS105" i="11" s="1"/>
  <c r="AW104" i="11"/>
  <c r="AZ104" i="11"/>
  <c r="BS104" i="11" s="1"/>
  <c r="AW103" i="11"/>
  <c r="AZ103" i="11"/>
  <c r="BS103" i="11" s="1"/>
  <c r="AW102" i="11"/>
  <c r="AZ102" i="11"/>
  <c r="BS102" i="11" s="1"/>
  <c r="AW101" i="11"/>
  <c r="AZ101" i="11"/>
  <c r="BS101" i="11" s="1"/>
  <c r="AW100" i="11"/>
  <c r="AZ100" i="11"/>
  <c r="BS100" i="11" s="1"/>
  <c r="AW99" i="11"/>
  <c r="AZ99" i="11"/>
  <c r="BS99" i="11" s="1"/>
  <c r="AZ98" i="11"/>
  <c r="BS98" i="11" s="1"/>
  <c r="AW98" i="11"/>
  <c r="AZ97" i="11"/>
  <c r="BS97" i="11" s="1"/>
  <c r="AW97" i="11"/>
  <c r="AW96" i="11"/>
  <c r="AZ96" i="11"/>
  <c r="BS96" i="11" s="1"/>
  <c r="BA95" i="11"/>
  <c r="BT95" i="11" s="1"/>
  <c r="AY95" i="11"/>
  <c r="BR95" i="11" s="1"/>
  <c r="BB95" i="11"/>
  <c r="BC95" i="11" s="1"/>
  <c r="BE95" i="11" s="1"/>
  <c r="BF95" i="11" s="1"/>
  <c r="BG95" i="11" s="1"/>
  <c r="BH95" i="11" s="1"/>
  <c r="BQ95" i="11"/>
  <c r="AX95" i="11"/>
  <c r="AZ94" i="11"/>
  <c r="BS94" i="11" s="1"/>
  <c r="AW94" i="11"/>
  <c r="AZ93" i="11"/>
  <c r="BS93" i="11" s="1"/>
  <c r="AW93" i="11"/>
  <c r="AZ92" i="11"/>
  <c r="BS92" i="11" s="1"/>
  <c r="AW92" i="11"/>
  <c r="AZ91" i="11"/>
  <c r="BS91" i="11" s="1"/>
  <c r="AW91" i="11"/>
  <c r="AZ90" i="11"/>
  <c r="BS90" i="11" s="1"/>
  <c r="AW90" i="11"/>
  <c r="AW89" i="11"/>
  <c r="AZ89" i="11"/>
  <c r="BS89" i="11" s="1"/>
  <c r="AW88" i="11"/>
  <c r="AZ88" i="11"/>
  <c r="BS88" i="11" s="1"/>
  <c r="AW87" i="11"/>
  <c r="AZ87" i="11"/>
  <c r="BS87" i="11" s="1"/>
  <c r="AW86" i="11"/>
  <c r="AZ86" i="11"/>
  <c r="BS86" i="11" s="1"/>
  <c r="AW85" i="11"/>
  <c r="AZ85" i="11"/>
  <c r="BS85" i="11" s="1"/>
  <c r="AW84" i="11"/>
  <c r="AZ84" i="11"/>
  <c r="BS84" i="11" s="1"/>
  <c r="AW83" i="11"/>
  <c r="AZ83" i="11"/>
  <c r="BS83" i="11" s="1"/>
  <c r="AW82" i="11"/>
  <c r="AZ82" i="11"/>
  <c r="BS82" i="11" s="1"/>
  <c r="AW81" i="11"/>
  <c r="AZ81" i="11"/>
  <c r="BS81" i="11" s="1"/>
  <c r="AW80" i="11"/>
  <c r="AZ80" i="11"/>
  <c r="BS80" i="11" s="1"/>
  <c r="AW79" i="11"/>
  <c r="AZ79" i="11"/>
  <c r="BS79" i="11" s="1"/>
  <c r="AW78" i="11"/>
  <c r="AZ78" i="11"/>
  <c r="BS78" i="11" s="1"/>
  <c r="AW77" i="11"/>
  <c r="AZ77" i="11"/>
  <c r="BS77" i="11" s="1"/>
  <c r="AW76" i="11"/>
  <c r="AZ76" i="11"/>
  <c r="BS76" i="11" s="1"/>
  <c r="AW75" i="11"/>
  <c r="AZ75" i="11"/>
  <c r="BS75" i="11" s="1"/>
  <c r="AW74" i="11"/>
  <c r="AZ74" i="11"/>
  <c r="BS74" i="11" s="1"/>
  <c r="AW73" i="11"/>
  <c r="AZ73" i="11"/>
  <c r="BS73" i="11" s="1"/>
  <c r="AW72" i="11"/>
  <c r="AZ72" i="11"/>
  <c r="BS72" i="11" s="1"/>
  <c r="AW71" i="11"/>
  <c r="AZ71" i="11"/>
  <c r="BS71" i="11" s="1"/>
  <c r="AW70" i="11"/>
  <c r="AZ70" i="11"/>
  <c r="BS70" i="11" s="1"/>
  <c r="AW69" i="11"/>
  <c r="AZ69" i="11"/>
  <c r="BS69" i="11" s="1"/>
  <c r="AW68" i="11"/>
  <c r="AZ68" i="11"/>
  <c r="BS68" i="11" s="1"/>
  <c r="AW67" i="11"/>
  <c r="AZ67" i="11"/>
  <c r="BS67" i="11" s="1"/>
  <c r="AW66" i="11"/>
  <c r="AZ66" i="11"/>
  <c r="BS66" i="11" s="1"/>
  <c r="AW65" i="11"/>
  <c r="AZ65" i="11"/>
  <c r="BS65" i="11" s="1"/>
  <c r="AW64" i="11"/>
  <c r="AZ64" i="11"/>
  <c r="BS64" i="11" s="1"/>
  <c r="AW63" i="11"/>
  <c r="AZ63" i="11"/>
  <c r="BS63" i="11" s="1"/>
  <c r="AW62" i="11"/>
  <c r="AZ62" i="11"/>
  <c r="BS62" i="11" s="1"/>
  <c r="BQ61" i="11"/>
  <c r="AX61" i="11"/>
  <c r="BA61" i="11"/>
  <c r="BT61" i="11" s="1"/>
  <c r="BB61" i="11"/>
  <c r="BC61" i="11" s="1"/>
  <c r="BE61" i="11" s="1"/>
  <c r="BF61" i="11" s="1"/>
  <c r="BG61" i="11" s="1"/>
  <c r="BH61" i="11" s="1"/>
  <c r="AY61" i="11"/>
  <c r="BR61" i="11" s="1"/>
  <c r="AZ60" i="11"/>
  <c r="BS60" i="11" s="1"/>
  <c r="AW60" i="11"/>
  <c r="AZ59" i="11"/>
  <c r="BS59" i="11" s="1"/>
  <c r="AW59" i="11"/>
  <c r="AZ58" i="11"/>
  <c r="BS58" i="11" s="1"/>
  <c r="AW58" i="11"/>
  <c r="AW57" i="11"/>
  <c r="AZ57" i="11"/>
  <c r="BS57" i="11" s="1"/>
  <c r="BQ56" i="11"/>
  <c r="BB56" i="11"/>
  <c r="BC56" i="11" s="1"/>
  <c r="BE56" i="11" s="1"/>
  <c r="BF56" i="11" s="1"/>
  <c r="BG56" i="11" s="1"/>
  <c r="BH56" i="11" s="1"/>
  <c r="AY56" i="11"/>
  <c r="BR56" i="11" s="1"/>
  <c r="AX56" i="11"/>
  <c r="BA56" i="11"/>
  <c r="BT56" i="11" s="1"/>
  <c r="AW55" i="11"/>
  <c r="AZ55" i="11"/>
  <c r="BS55" i="11" s="1"/>
  <c r="AZ54" i="11"/>
  <c r="BS54" i="11" s="1"/>
  <c r="AW54" i="11"/>
  <c r="AW53" i="11"/>
  <c r="AZ53" i="11"/>
  <c r="BS53" i="11" s="1"/>
  <c r="AW52" i="11"/>
  <c r="AZ52" i="11"/>
  <c r="BS52" i="11" s="1"/>
  <c r="AW51" i="11"/>
  <c r="AZ51" i="11"/>
  <c r="BS51" i="11" s="1"/>
  <c r="AW50" i="11"/>
  <c r="AZ50" i="11"/>
  <c r="BS50" i="11" s="1"/>
  <c r="AZ49" i="11"/>
  <c r="BS49" i="11" s="1"/>
  <c r="AW49" i="11"/>
  <c r="AZ48" i="11"/>
  <c r="BS48" i="11" s="1"/>
  <c r="AW48" i="11"/>
  <c r="AW47" i="11"/>
  <c r="AZ47" i="11"/>
  <c r="BS47" i="11" s="1"/>
  <c r="AW46" i="11"/>
  <c r="AZ46" i="11"/>
  <c r="BS46" i="11" s="1"/>
  <c r="BA45" i="11"/>
  <c r="BT45" i="11" s="1"/>
  <c r="AY45" i="11"/>
  <c r="BR45" i="11" s="1"/>
  <c r="BQ45" i="11"/>
  <c r="AX45" i="11"/>
  <c r="BB45" i="11"/>
  <c r="BC45" i="11" s="1"/>
  <c r="BE45" i="11" s="1"/>
  <c r="BF45" i="11" s="1"/>
  <c r="BG45" i="11" s="1"/>
  <c r="BH45" i="11" s="1"/>
  <c r="AZ44" i="11"/>
  <c r="BS44" i="11" s="1"/>
  <c r="AW44" i="11"/>
  <c r="AZ43" i="11"/>
  <c r="BS43" i="11" s="1"/>
  <c r="AW43" i="11"/>
  <c r="AW42" i="11"/>
  <c r="AZ42" i="11"/>
  <c r="BS42" i="11" s="1"/>
  <c r="AW41" i="11"/>
  <c r="AZ41" i="11"/>
  <c r="BS41" i="11" s="1"/>
  <c r="AW40" i="11"/>
  <c r="AZ40" i="11"/>
  <c r="BS40" i="11" s="1"/>
  <c r="AW39" i="11"/>
  <c r="AZ39" i="11"/>
  <c r="BS39" i="11" s="1"/>
  <c r="AW38" i="11"/>
  <c r="AZ38" i="11"/>
  <c r="BS38" i="11" s="1"/>
  <c r="AW37" i="11"/>
  <c r="AZ37" i="11"/>
  <c r="BS37" i="11" s="1"/>
  <c r="AZ36" i="11"/>
  <c r="BS36" i="11" s="1"/>
  <c r="AW36" i="11"/>
  <c r="AW35" i="11"/>
  <c r="AZ35" i="11"/>
  <c r="BS35" i="11" s="1"/>
  <c r="L6" i="12"/>
  <c r="L6" i="11"/>
  <c r="BB34" i="11"/>
  <c r="BC34" i="11" s="1"/>
  <c r="BE34" i="11" s="1"/>
  <c r="BF34" i="11" s="1"/>
  <c r="BG34" i="11" s="1"/>
  <c r="BH34" i="11" s="1"/>
  <c r="BQ34" i="11"/>
  <c r="BA34" i="11"/>
  <c r="BT34" i="11" s="1"/>
  <c r="AY34" i="11"/>
  <c r="BR34" i="11" s="1"/>
  <c r="AX34" i="11"/>
  <c r="AW33" i="11"/>
  <c r="AZ33" i="11"/>
  <c r="BS33" i="11" s="1"/>
  <c r="AW32" i="11"/>
  <c r="AZ32" i="11"/>
  <c r="BS32" i="11" s="1"/>
  <c r="AW31" i="11"/>
  <c r="AZ31" i="11"/>
  <c r="BS31" i="11" s="1"/>
  <c r="AW30" i="11"/>
  <c r="AZ30" i="11"/>
  <c r="BS30" i="11" s="1"/>
  <c r="AW29" i="11"/>
  <c r="AZ29" i="11"/>
  <c r="BS29" i="11" s="1"/>
  <c r="AW28" i="11"/>
  <c r="AZ28" i="11"/>
  <c r="BS28" i="11" s="1"/>
  <c r="AW27" i="11"/>
  <c r="AZ27" i="11"/>
  <c r="BS27" i="11" s="1"/>
  <c r="AW26" i="11"/>
  <c r="AZ26" i="11"/>
  <c r="BS26" i="11" s="1"/>
  <c r="AW25" i="11"/>
  <c r="AZ25" i="11"/>
  <c r="BS25" i="11" s="1"/>
  <c r="BX7" i="11"/>
  <c r="BX39" i="11"/>
  <c r="AC113" i="12"/>
  <c r="BX12" i="11" l="1"/>
  <c r="BX14" i="11" s="1"/>
  <c r="BX23" i="11"/>
  <c r="B6" i="12"/>
  <c r="L3" i="11"/>
  <c r="AY124" i="11"/>
  <c r="BR124" i="11" s="1"/>
  <c r="BA124" i="11"/>
  <c r="BT124" i="11" s="1"/>
  <c r="BQ124" i="11"/>
  <c r="AX124" i="11"/>
  <c r="BB124" i="11"/>
  <c r="BC124" i="11" s="1"/>
  <c r="BE124" i="11" s="1"/>
  <c r="BF124" i="11" s="1"/>
  <c r="BG124" i="11" s="1"/>
  <c r="BH124" i="11" s="1"/>
  <c r="AX123" i="11"/>
  <c r="AY123" i="11"/>
  <c r="BR123" i="11" s="1"/>
  <c r="BA123" i="11"/>
  <c r="BT123" i="11" s="1"/>
  <c r="BB123" i="11"/>
  <c r="BC123" i="11" s="1"/>
  <c r="BE123" i="11" s="1"/>
  <c r="BF123" i="11" s="1"/>
  <c r="BG123" i="11" s="1"/>
  <c r="BH123" i="11" s="1"/>
  <c r="BQ123" i="11"/>
  <c r="AX122" i="11"/>
  <c r="AY122" i="11"/>
  <c r="BR122" i="11" s="1"/>
  <c r="BA122" i="11"/>
  <c r="BT122" i="11" s="1"/>
  <c r="BB122" i="11"/>
  <c r="BC122" i="11" s="1"/>
  <c r="BE122" i="11" s="1"/>
  <c r="BF122" i="11" s="1"/>
  <c r="BG122" i="11" s="1"/>
  <c r="BH122" i="11" s="1"/>
  <c r="BQ122" i="11"/>
  <c r="AX121" i="11"/>
  <c r="AY121" i="11"/>
  <c r="BR121" i="11" s="1"/>
  <c r="BA121" i="11"/>
  <c r="BT121" i="11" s="1"/>
  <c r="BB121" i="11"/>
  <c r="BC121" i="11" s="1"/>
  <c r="BE121" i="11" s="1"/>
  <c r="BF121" i="11" s="1"/>
  <c r="BG121" i="11" s="1"/>
  <c r="BH121" i="11" s="1"/>
  <c r="BQ121" i="11"/>
  <c r="AX120" i="11"/>
  <c r="AY120" i="11"/>
  <c r="BR120" i="11" s="1"/>
  <c r="BA120" i="11"/>
  <c r="BT120" i="11" s="1"/>
  <c r="BB120" i="11"/>
  <c r="BC120" i="11" s="1"/>
  <c r="BE120" i="11" s="1"/>
  <c r="BF120" i="11" s="1"/>
  <c r="BG120" i="11" s="1"/>
  <c r="BH120" i="11" s="1"/>
  <c r="BQ120" i="11"/>
  <c r="AX119" i="11"/>
  <c r="AY119" i="11"/>
  <c r="BR119" i="11" s="1"/>
  <c r="BA119" i="11"/>
  <c r="BT119" i="11" s="1"/>
  <c r="BB119" i="11"/>
  <c r="BC119" i="11" s="1"/>
  <c r="BE119" i="11" s="1"/>
  <c r="BF119" i="11" s="1"/>
  <c r="BG119" i="11" s="1"/>
  <c r="BH119" i="11" s="1"/>
  <c r="BQ119" i="11"/>
  <c r="AX118" i="11"/>
  <c r="AY118" i="11"/>
  <c r="BR118" i="11" s="1"/>
  <c r="BA118" i="11"/>
  <c r="BT118" i="11" s="1"/>
  <c r="BB118" i="11"/>
  <c r="BC118" i="11" s="1"/>
  <c r="BE118" i="11" s="1"/>
  <c r="BF118" i="11" s="1"/>
  <c r="BG118" i="11" s="1"/>
  <c r="BH118" i="11" s="1"/>
  <c r="BQ118" i="11"/>
  <c r="AX116" i="11"/>
  <c r="AY116" i="11"/>
  <c r="BR116" i="11" s="1"/>
  <c r="BA116" i="11"/>
  <c r="BT116" i="11" s="1"/>
  <c r="BB116" i="11"/>
  <c r="BC116" i="11" s="1"/>
  <c r="BE116" i="11" s="1"/>
  <c r="BF116" i="11" s="1"/>
  <c r="BG116" i="11" s="1"/>
  <c r="BH116" i="11" s="1"/>
  <c r="BQ116" i="11"/>
  <c r="AY115" i="11"/>
  <c r="BR115" i="11" s="1"/>
  <c r="BA115" i="11"/>
  <c r="BT115" i="11" s="1"/>
  <c r="BB115" i="11"/>
  <c r="BC115" i="11" s="1"/>
  <c r="BE115" i="11" s="1"/>
  <c r="BF115" i="11" s="1"/>
  <c r="BG115" i="11" s="1"/>
  <c r="BH115" i="11" s="1"/>
  <c r="BQ115" i="11"/>
  <c r="AX115" i="11"/>
  <c r="AY114" i="11"/>
  <c r="BR114" i="11" s="1"/>
  <c r="BB114" i="11"/>
  <c r="BC114" i="11" s="1"/>
  <c r="BE114" i="11" s="1"/>
  <c r="BF114" i="11" s="1"/>
  <c r="BG114" i="11" s="1"/>
  <c r="BH114" i="11" s="1"/>
  <c r="AX114" i="11"/>
  <c r="BA114" i="11"/>
  <c r="BT114" i="11" s="1"/>
  <c r="BQ114" i="11"/>
  <c r="AY113" i="11"/>
  <c r="BR113" i="11" s="1"/>
  <c r="BQ113" i="11"/>
  <c r="AX113" i="11"/>
  <c r="BA113" i="11"/>
  <c r="BT113" i="11" s="1"/>
  <c r="BB113" i="11"/>
  <c r="BC113" i="11" s="1"/>
  <c r="BE113" i="11" s="1"/>
  <c r="BF113" i="11" s="1"/>
  <c r="BG113" i="11" s="1"/>
  <c r="BH113" i="11" s="1"/>
  <c r="BB112" i="11"/>
  <c r="BC112" i="11" s="1"/>
  <c r="BE112" i="11" s="1"/>
  <c r="BF112" i="11" s="1"/>
  <c r="BG112" i="11" s="1"/>
  <c r="BH112" i="11" s="1"/>
  <c r="AY112" i="11"/>
  <c r="BR112" i="11" s="1"/>
  <c r="BQ112" i="11"/>
  <c r="AX112" i="11"/>
  <c r="BA112" i="11"/>
  <c r="BT112" i="11" s="1"/>
  <c r="AX111" i="11"/>
  <c r="AY111" i="11"/>
  <c r="BR111" i="11" s="1"/>
  <c r="BA111" i="11"/>
  <c r="BT111" i="11" s="1"/>
  <c r="BB111" i="11"/>
  <c r="BC111" i="11" s="1"/>
  <c r="BE111" i="11" s="1"/>
  <c r="BF111" i="11" s="1"/>
  <c r="BG111" i="11" s="1"/>
  <c r="BH111" i="11" s="1"/>
  <c r="BQ111" i="11"/>
  <c r="BQ110" i="11"/>
  <c r="AX110" i="11"/>
  <c r="BA110" i="11"/>
  <c r="BT110" i="11" s="1"/>
  <c r="AY110" i="11"/>
  <c r="BR110" i="11" s="1"/>
  <c r="BB110" i="11"/>
  <c r="BC110" i="11" s="1"/>
  <c r="BE110" i="11" s="1"/>
  <c r="BF110" i="11" s="1"/>
  <c r="BG110" i="11" s="1"/>
  <c r="BH110" i="11" s="1"/>
  <c r="AY109" i="11"/>
  <c r="BR109" i="11" s="1"/>
  <c r="BB109" i="11"/>
  <c r="BC109" i="11" s="1"/>
  <c r="BE109" i="11" s="1"/>
  <c r="BF109" i="11" s="1"/>
  <c r="BG109" i="11" s="1"/>
  <c r="BH109" i="11" s="1"/>
  <c r="AX109" i="11"/>
  <c r="BA109" i="11"/>
  <c r="BT109" i="11" s="1"/>
  <c r="BQ109" i="11"/>
  <c r="BA108" i="11"/>
  <c r="BT108" i="11" s="1"/>
  <c r="AY108" i="11"/>
  <c r="BR108" i="11" s="1"/>
  <c r="AX108" i="11"/>
  <c r="BB108" i="11"/>
  <c r="BC108" i="11" s="1"/>
  <c r="BE108" i="11" s="1"/>
  <c r="BF108" i="11" s="1"/>
  <c r="BG108" i="11" s="1"/>
  <c r="BH108" i="11" s="1"/>
  <c r="BQ108" i="11"/>
  <c r="AY107" i="11"/>
  <c r="BR107" i="11" s="1"/>
  <c r="BB107" i="11"/>
  <c r="BC107" i="11" s="1"/>
  <c r="BE107" i="11" s="1"/>
  <c r="BF107" i="11" s="1"/>
  <c r="BG107" i="11" s="1"/>
  <c r="BH107" i="11" s="1"/>
  <c r="BQ107" i="11"/>
  <c r="AX107" i="11"/>
  <c r="BA107" i="11"/>
  <c r="BT107" i="11" s="1"/>
  <c r="AY105" i="11"/>
  <c r="BR105" i="11" s="1"/>
  <c r="BA105" i="11"/>
  <c r="BT105" i="11" s="1"/>
  <c r="AX105" i="11"/>
  <c r="BB105" i="11"/>
  <c r="BC105" i="11" s="1"/>
  <c r="BE105" i="11" s="1"/>
  <c r="BF105" i="11" s="1"/>
  <c r="BG105" i="11" s="1"/>
  <c r="BH105" i="11" s="1"/>
  <c r="BQ105" i="11"/>
  <c r="AX104" i="11"/>
  <c r="BA104" i="11"/>
  <c r="BT104" i="11" s="1"/>
  <c r="AY104" i="11"/>
  <c r="BR104" i="11" s="1"/>
  <c r="BB104" i="11"/>
  <c r="BC104" i="11" s="1"/>
  <c r="BE104" i="11" s="1"/>
  <c r="BF104" i="11" s="1"/>
  <c r="BG104" i="11" s="1"/>
  <c r="BH104" i="11" s="1"/>
  <c r="BQ104" i="11"/>
  <c r="BQ103" i="11"/>
  <c r="AX103" i="11"/>
  <c r="AY103" i="11"/>
  <c r="BR103" i="11" s="1"/>
  <c r="BA103" i="11"/>
  <c r="BT103" i="11" s="1"/>
  <c r="BB103" i="11"/>
  <c r="BC103" i="11" s="1"/>
  <c r="BE103" i="11" s="1"/>
  <c r="BF103" i="11" s="1"/>
  <c r="BG103" i="11" s="1"/>
  <c r="BH103" i="11" s="1"/>
  <c r="AY102" i="11"/>
  <c r="BR102" i="11" s="1"/>
  <c r="BA102" i="11"/>
  <c r="BT102" i="11" s="1"/>
  <c r="AX102" i="11"/>
  <c r="BB102" i="11"/>
  <c r="BC102" i="11" s="1"/>
  <c r="BE102" i="11" s="1"/>
  <c r="BF102" i="11" s="1"/>
  <c r="BG102" i="11" s="1"/>
  <c r="BH102" i="11" s="1"/>
  <c r="BQ102" i="11"/>
  <c r="AX101" i="11"/>
  <c r="BB101" i="11"/>
  <c r="BC101" i="11" s="1"/>
  <c r="BE101" i="11" s="1"/>
  <c r="BF101" i="11" s="1"/>
  <c r="BG101" i="11" s="1"/>
  <c r="BH101" i="11" s="1"/>
  <c r="AY101" i="11"/>
  <c r="BR101" i="11" s="1"/>
  <c r="BA101" i="11"/>
  <c r="BT101" i="11" s="1"/>
  <c r="BQ101" i="11"/>
  <c r="AX100" i="11"/>
  <c r="AY100" i="11"/>
  <c r="BR100" i="11" s="1"/>
  <c r="BA100" i="11"/>
  <c r="BT100" i="11" s="1"/>
  <c r="BB100" i="11"/>
  <c r="BC100" i="11" s="1"/>
  <c r="BE100" i="11" s="1"/>
  <c r="BF100" i="11" s="1"/>
  <c r="BG100" i="11" s="1"/>
  <c r="BH100" i="11" s="1"/>
  <c r="BQ100" i="11"/>
  <c r="BB99" i="11"/>
  <c r="BC99" i="11" s="1"/>
  <c r="BE99" i="11" s="1"/>
  <c r="BF99" i="11" s="1"/>
  <c r="BG99" i="11" s="1"/>
  <c r="BH99" i="11" s="1"/>
  <c r="AX99" i="11"/>
  <c r="AY99" i="11"/>
  <c r="BR99" i="11" s="1"/>
  <c r="BA99" i="11"/>
  <c r="BT99" i="11" s="1"/>
  <c r="BQ99" i="11"/>
  <c r="AY98" i="11"/>
  <c r="BR98" i="11" s="1"/>
  <c r="BA98" i="11"/>
  <c r="BT98" i="11" s="1"/>
  <c r="BQ98" i="11"/>
  <c r="AX98" i="11"/>
  <c r="BB98" i="11"/>
  <c r="BC98" i="11" s="1"/>
  <c r="BE98" i="11" s="1"/>
  <c r="BF98" i="11" s="1"/>
  <c r="BG98" i="11" s="1"/>
  <c r="BH98" i="11" s="1"/>
  <c r="AX97" i="11"/>
  <c r="BB97" i="11"/>
  <c r="BC97" i="11" s="1"/>
  <c r="BE97" i="11" s="1"/>
  <c r="BF97" i="11" s="1"/>
  <c r="BG97" i="11" s="1"/>
  <c r="BH97" i="11" s="1"/>
  <c r="BA97" i="11"/>
  <c r="BT97" i="11" s="1"/>
  <c r="AY97" i="11"/>
  <c r="BR97" i="11" s="1"/>
  <c r="BQ97" i="11"/>
  <c r="BA96" i="11"/>
  <c r="BT96" i="11" s="1"/>
  <c r="AY96" i="11"/>
  <c r="BR96" i="11" s="1"/>
  <c r="BB96" i="11"/>
  <c r="BC96" i="11" s="1"/>
  <c r="BE96" i="11" s="1"/>
  <c r="BF96" i="11" s="1"/>
  <c r="BG96" i="11" s="1"/>
  <c r="BH96" i="11" s="1"/>
  <c r="BQ96" i="11"/>
  <c r="AX96" i="11"/>
  <c r="AX94" i="11"/>
  <c r="BA94" i="11"/>
  <c r="BT94" i="11" s="1"/>
  <c r="AY94" i="11"/>
  <c r="BR94" i="11" s="1"/>
  <c r="BB94" i="11"/>
  <c r="BC94" i="11" s="1"/>
  <c r="BE94" i="11" s="1"/>
  <c r="BF94" i="11" s="1"/>
  <c r="BG94" i="11" s="1"/>
  <c r="BH94" i="11" s="1"/>
  <c r="BQ94" i="11"/>
  <c r="BB93" i="11"/>
  <c r="BC93" i="11" s="1"/>
  <c r="BE93" i="11" s="1"/>
  <c r="BF93" i="11" s="1"/>
  <c r="BG93" i="11" s="1"/>
  <c r="BH93" i="11" s="1"/>
  <c r="BQ93" i="11"/>
  <c r="AX93" i="11"/>
  <c r="BA93" i="11"/>
  <c r="BT93" i="11" s="1"/>
  <c r="AY93" i="11"/>
  <c r="BR93" i="11" s="1"/>
  <c r="BQ92" i="11"/>
  <c r="BA92" i="11"/>
  <c r="BT92" i="11" s="1"/>
  <c r="AX92" i="11"/>
  <c r="AY92" i="11"/>
  <c r="BR92" i="11" s="1"/>
  <c r="BB92" i="11"/>
  <c r="BC92" i="11" s="1"/>
  <c r="BE92" i="11" s="1"/>
  <c r="BF92" i="11" s="1"/>
  <c r="BG92" i="11" s="1"/>
  <c r="BH92" i="11" s="1"/>
  <c r="AY91" i="11"/>
  <c r="BR91" i="11" s="1"/>
  <c r="BB91" i="11"/>
  <c r="BC91" i="11" s="1"/>
  <c r="BE91" i="11" s="1"/>
  <c r="BF91" i="11" s="1"/>
  <c r="BG91" i="11" s="1"/>
  <c r="BH91" i="11" s="1"/>
  <c r="BQ91" i="11"/>
  <c r="AX91" i="11"/>
  <c r="BA91" i="11"/>
  <c r="BT91" i="11" s="1"/>
  <c r="BB90" i="11"/>
  <c r="BC90" i="11" s="1"/>
  <c r="BE90" i="11" s="1"/>
  <c r="BF90" i="11" s="1"/>
  <c r="BG90" i="11" s="1"/>
  <c r="BH90" i="11" s="1"/>
  <c r="BQ90" i="11"/>
  <c r="AX90" i="11"/>
  <c r="BA90" i="11"/>
  <c r="BT90" i="11" s="1"/>
  <c r="AY90" i="11"/>
  <c r="BR90" i="11" s="1"/>
  <c r="AX89" i="11"/>
  <c r="AY89" i="11"/>
  <c r="BR89" i="11" s="1"/>
  <c r="BA89" i="11"/>
  <c r="BT89" i="11" s="1"/>
  <c r="BB89" i="11"/>
  <c r="BC89" i="11" s="1"/>
  <c r="BE89" i="11" s="1"/>
  <c r="BF89" i="11" s="1"/>
  <c r="BG89" i="11" s="1"/>
  <c r="BH89" i="11" s="1"/>
  <c r="BQ89" i="11"/>
  <c r="AY88" i="11"/>
  <c r="BR88" i="11" s="1"/>
  <c r="BB88" i="11"/>
  <c r="BC88" i="11" s="1"/>
  <c r="BE88" i="11" s="1"/>
  <c r="BF88" i="11" s="1"/>
  <c r="BG88" i="11" s="1"/>
  <c r="BH88" i="11" s="1"/>
  <c r="BA88" i="11"/>
  <c r="BT88" i="11" s="1"/>
  <c r="AX88" i="11"/>
  <c r="BQ88" i="11"/>
  <c r="BB87" i="11"/>
  <c r="BC87" i="11" s="1"/>
  <c r="BE87" i="11" s="1"/>
  <c r="BF87" i="11" s="1"/>
  <c r="BG87" i="11" s="1"/>
  <c r="BH87" i="11" s="1"/>
  <c r="AX87" i="11"/>
  <c r="BA87" i="11"/>
  <c r="BT87" i="11" s="1"/>
  <c r="AY87" i="11"/>
  <c r="BR87" i="11" s="1"/>
  <c r="BQ87" i="11"/>
  <c r="AX86" i="11"/>
  <c r="BB86" i="11"/>
  <c r="BC86" i="11" s="1"/>
  <c r="BE86" i="11" s="1"/>
  <c r="BF86" i="11" s="1"/>
  <c r="BG86" i="11" s="1"/>
  <c r="BH86" i="11" s="1"/>
  <c r="BQ86" i="11"/>
  <c r="BA86" i="11"/>
  <c r="BT86" i="11" s="1"/>
  <c r="AY86" i="11"/>
  <c r="BR86" i="11" s="1"/>
  <c r="AY85" i="11"/>
  <c r="BR85" i="11" s="1"/>
  <c r="BQ85" i="11"/>
  <c r="BA85" i="11"/>
  <c r="BT85" i="11" s="1"/>
  <c r="AX85" i="11"/>
  <c r="BB85" i="11"/>
  <c r="BC85" i="11" s="1"/>
  <c r="BE85" i="11" s="1"/>
  <c r="BF85" i="11" s="1"/>
  <c r="BG85" i="11" s="1"/>
  <c r="BH85" i="11" s="1"/>
  <c r="AY84" i="11"/>
  <c r="BR84" i="11" s="1"/>
  <c r="BQ84" i="11"/>
  <c r="AX84" i="11"/>
  <c r="BB84" i="11"/>
  <c r="BC84" i="11" s="1"/>
  <c r="BE84" i="11" s="1"/>
  <c r="BF84" i="11" s="1"/>
  <c r="BG84" i="11" s="1"/>
  <c r="BH84" i="11" s="1"/>
  <c r="BA84" i="11"/>
  <c r="BT84" i="11" s="1"/>
  <c r="AX83" i="11"/>
  <c r="AY83" i="11"/>
  <c r="BR83" i="11" s="1"/>
  <c r="BA83" i="11"/>
  <c r="BT83" i="11" s="1"/>
  <c r="BB83" i="11"/>
  <c r="BC83" i="11" s="1"/>
  <c r="BE83" i="11" s="1"/>
  <c r="BF83" i="11" s="1"/>
  <c r="BG83" i="11" s="1"/>
  <c r="BH83" i="11" s="1"/>
  <c r="BQ83" i="11"/>
  <c r="AX82" i="11"/>
  <c r="AY82" i="11"/>
  <c r="BR82" i="11" s="1"/>
  <c r="BA82" i="11"/>
  <c r="BT82" i="11" s="1"/>
  <c r="BB82" i="11"/>
  <c r="BC82" i="11" s="1"/>
  <c r="BE82" i="11" s="1"/>
  <c r="BF82" i="11" s="1"/>
  <c r="BG82" i="11" s="1"/>
  <c r="BH82" i="11" s="1"/>
  <c r="BQ82" i="11"/>
  <c r="AX81" i="11"/>
  <c r="AY81" i="11"/>
  <c r="BR81" i="11" s="1"/>
  <c r="BA81" i="11"/>
  <c r="BT81" i="11" s="1"/>
  <c r="BB81" i="11"/>
  <c r="BC81" i="11" s="1"/>
  <c r="BE81" i="11" s="1"/>
  <c r="BF81" i="11" s="1"/>
  <c r="BG81" i="11" s="1"/>
  <c r="BH81" i="11" s="1"/>
  <c r="BQ81" i="11"/>
  <c r="AX80" i="11"/>
  <c r="AY80" i="11"/>
  <c r="BR80" i="11" s="1"/>
  <c r="BA80" i="11"/>
  <c r="BT80" i="11" s="1"/>
  <c r="BB80" i="11"/>
  <c r="BC80" i="11" s="1"/>
  <c r="BE80" i="11" s="1"/>
  <c r="BF80" i="11" s="1"/>
  <c r="BG80" i="11" s="1"/>
  <c r="BH80" i="11" s="1"/>
  <c r="BQ80" i="11"/>
  <c r="AX79" i="11"/>
  <c r="AY79" i="11"/>
  <c r="BR79" i="11" s="1"/>
  <c r="BA79" i="11"/>
  <c r="BT79" i="11" s="1"/>
  <c r="BB79" i="11"/>
  <c r="BC79" i="11" s="1"/>
  <c r="BE79" i="11" s="1"/>
  <c r="BF79" i="11" s="1"/>
  <c r="BG79" i="11" s="1"/>
  <c r="BH79" i="11" s="1"/>
  <c r="BQ79" i="11"/>
  <c r="AX78" i="11"/>
  <c r="AY78" i="11"/>
  <c r="BR78" i="11" s="1"/>
  <c r="BA78" i="11"/>
  <c r="BT78" i="11" s="1"/>
  <c r="BB78" i="11"/>
  <c r="BC78" i="11" s="1"/>
  <c r="BE78" i="11" s="1"/>
  <c r="BF78" i="11" s="1"/>
  <c r="BG78" i="11" s="1"/>
  <c r="BH78" i="11" s="1"/>
  <c r="BQ78" i="11"/>
  <c r="AX77" i="11"/>
  <c r="AY77" i="11"/>
  <c r="BR77" i="11" s="1"/>
  <c r="BA77" i="11"/>
  <c r="BT77" i="11" s="1"/>
  <c r="BB77" i="11"/>
  <c r="BC77" i="11" s="1"/>
  <c r="BE77" i="11" s="1"/>
  <c r="BF77" i="11" s="1"/>
  <c r="BG77" i="11" s="1"/>
  <c r="BH77" i="11" s="1"/>
  <c r="BQ77" i="11"/>
  <c r="AX76" i="11"/>
  <c r="AY76" i="11"/>
  <c r="BR76" i="11" s="1"/>
  <c r="BA76" i="11"/>
  <c r="BT76" i="11" s="1"/>
  <c r="BB76" i="11"/>
  <c r="BC76" i="11" s="1"/>
  <c r="BE76" i="11" s="1"/>
  <c r="BF76" i="11" s="1"/>
  <c r="BG76" i="11" s="1"/>
  <c r="BH76" i="11" s="1"/>
  <c r="BQ76" i="11"/>
  <c r="AX75" i="11"/>
  <c r="AY75" i="11"/>
  <c r="BR75" i="11" s="1"/>
  <c r="BA75" i="11"/>
  <c r="BT75" i="11" s="1"/>
  <c r="BB75" i="11"/>
  <c r="BC75" i="11" s="1"/>
  <c r="BE75" i="11" s="1"/>
  <c r="BF75" i="11" s="1"/>
  <c r="BG75" i="11" s="1"/>
  <c r="BH75" i="11" s="1"/>
  <c r="BQ75" i="11"/>
  <c r="AX74" i="11"/>
  <c r="AY74" i="11"/>
  <c r="BR74" i="11" s="1"/>
  <c r="BA74" i="11"/>
  <c r="BT74" i="11" s="1"/>
  <c r="BB74" i="11"/>
  <c r="BC74" i="11" s="1"/>
  <c r="BE74" i="11" s="1"/>
  <c r="BF74" i="11" s="1"/>
  <c r="BG74" i="11" s="1"/>
  <c r="BH74" i="11" s="1"/>
  <c r="BQ74" i="11"/>
  <c r="AX73" i="11"/>
  <c r="AY73" i="11"/>
  <c r="BR73" i="11" s="1"/>
  <c r="BA73" i="11"/>
  <c r="BT73" i="11" s="1"/>
  <c r="BB73" i="11"/>
  <c r="BC73" i="11" s="1"/>
  <c r="BE73" i="11" s="1"/>
  <c r="BF73" i="11" s="1"/>
  <c r="BG73" i="11" s="1"/>
  <c r="BH73" i="11" s="1"/>
  <c r="BQ73" i="11"/>
  <c r="AX72" i="11"/>
  <c r="AY72" i="11"/>
  <c r="BR72" i="11" s="1"/>
  <c r="BA72" i="11"/>
  <c r="BT72" i="11" s="1"/>
  <c r="BB72" i="11"/>
  <c r="BC72" i="11" s="1"/>
  <c r="BE72" i="11" s="1"/>
  <c r="BF72" i="11" s="1"/>
  <c r="BG72" i="11" s="1"/>
  <c r="BH72" i="11" s="1"/>
  <c r="BQ72" i="11"/>
  <c r="AX71" i="11"/>
  <c r="AY71" i="11"/>
  <c r="BR71" i="11" s="1"/>
  <c r="BA71" i="11"/>
  <c r="BT71" i="11" s="1"/>
  <c r="BB71" i="11"/>
  <c r="BC71" i="11" s="1"/>
  <c r="BE71" i="11" s="1"/>
  <c r="BF71" i="11" s="1"/>
  <c r="BG71" i="11" s="1"/>
  <c r="BH71" i="11" s="1"/>
  <c r="BQ71" i="11"/>
  <c r="AX70" i="11"/>
  <c r="AY70" i="11"/>
  <c r="BR70" i="11" s="1"/>
  <c r="BA70" i="11"/>
  <c r="BT70" i="11" s="1"/>
  <c r="BB70" i="11"/>
  <c r="BC70" i="11" s="1"/>
  <c r="BE70" i="11" s="1"/>
  <c r="BF70" i="11" s="1"/>
  <c r="BG70" i="11" s="1"/>
  <c r="BH70" i="11" s="1"/>
  <c r="BQ70" i="11"/>
  <c r="AX69" i="11"/>
  <c r="AY69" i="11"/>
  <c r="BR69" i="11" s="1"/>
  <c r="BA69" i="11"/>
  <c r="BT69" i="11" s="1"/>
  <c r="BB69" i="11"/>
  <c r="BC69" i="11" s="1"/>
  <c r="BE69" i="11" s="1"/>
  <c r="BF69" i="11" s="1"/>
  <c r="BG69" i="11" s="1"/>
  <c r="BH69" i="11" s="1"/>
  <c r="BQ69" i="11"/>
  <c r="AX68" i="11"/>
  <c r="AY68" i="11"/>
  <c r="BR68" i="11" s="1"/>
  <c r="BA68" i="11"/>
  <c r="BT68" i="11" s="1"/>
  <c r="BB68" i="11"/>
  <c r="BC68" i="11" s="1"/>
  <c r="BE68" i="11" s="1"/>
  <c r="BF68" i="11" s="1"/>
  <c r="BG68" i="11" s="1"/>
  <c r="BH68" i="11" s="1"/>
  <c r="BQ68" i="11"/>
  <c r="AX67" i="11"/>
  <c r="AY67" i="11"/>
  <c r="BR67" i="11" s="1"/>
  <c r="BA67" i="11"/>
  <c r="BT67" i="11" s="1"/>
  <c r="BB67" i="11"/>
  <c r="BC67" i="11" s="1"/>
  <c r="BE67" i="11" s="1"/>
  <c r="BF67" i="11" s="1"/>
  <c r="BG67" i="11" s="1"/>
  <c r="BH67" i="11" s="1"/>
  <c r="BQ67" i="11"/>
  <c r="AX66" i="11"/>
  <c r="AY66" i="11"/>
  <c r="BR66" i="11" s="1"/>
  <c r="BA66" i="11"/>
  <c r="BT66" i="11" s="1"/>
  <c r="BB66" i="11"/>
  <c r="BC66" i="11" s="1"/>
  <c r="BE66" i="11" s="1"/>
  <c r="BF66" i="11" s="1"/>
  <c r="BG66" i="11" s="1"/>
  <c r="BH66" i="11" s="1"/>
  <c r="BQ66" i="11"/>
  <c r="AX65" i="11"/>
  <c r="AY65" i="11"/>
  <c r="BR65" i="11" s="1"/>
  <c r="BA65" i="11"/>
  <c r="BT65" i="11" s="1"/>
  <c r="BB65" i="11"/>
  <c r="BC65" i="11" s="1"/>
  <c r="BE65" i="11" s="1"/>
  <c r="BF65" i="11" s="1"/>
  <c r="BG65" i="11" s="1"/>
  <c r="BH65" i="11" s="1"/>
  <c r="BQ65" i="11"/>
  <c r="AX64" i="11"/>
  <c r="AY64" i="11"/>
  <c r="BR64" i="11" s="1"/>
  <c r="BA64" i="11"/>
  <c r="BT64" i="11" s="1"/>
  <c r="BB64" i="11"/>
  <c r="BC64" i="11" s="1"/>
  <c r="BE64" i="11" s="1"/>
  <c r="BF64" i="11" s="1"/>
  <c r="BG64" i="11" s="1"/>
  <c r="BH64" i="11" s="1"/>
  <c r="BQ64" i="11"/>
  <c r="BA63" i="11"/>
  <c r="BT63" i="11" s="1"/>
  <c r="AX63" i="11"/>
  <c r="BB63" i="11"/>
  <c r="BC63" i="11" s="1"/>
  <c r="BE63" i="11" s="1"/>
  <c r="BF63" i="11" s="1"/>
  <c r="BG63" i="11" s="1"/>
  <c r="BH63" i="11" s="1"/>
  <c r="AY63" i="11"/>
  <c r="BR63" i="11" s="1"/>
  <c r="BQ63" i="11"/>
  <c r="BQ62" i="11"/>
  <c r="AX62" i="11"/>
  <c r="AY62" i="11"/>
  <c r="BR62" i="11" s="1"/>
  <c r="BA62" i="11"/>
  <c r="BT62" i="11" s="1"/>
  <c r="BB62" i="11"/>
  <c r="BC62" i="11" s="1"/>
  <c r="BE62" i="11" s="1"/>
  <c r="BF62" i="11" s="1"/>
  <c r="BG62" i="11" s="1"/>
  <c r="BH62" i="11" s="1"/>
  <c r="AY60" i="11"/>
  <c r="BR60" i="11" s="1"/>
  <c r="BA60" i="11"/>
  <c r="BT60" i="11" s="1"/>
  <c r="BB60" i="11"/>
  <c r="BC60" i="11" s="1"/>
  <c r="BE60" i="11" s="1"/>
  <c r="BF60" i="11" s="1"/>
  <c r="BG60" i="11" s="1"/>
  <c r="BH60" i="11" s="1"/>
  <c r="BQ60" i="11"/>
  <c r="AX60" i="11"/>
  <c r="AY59" i="11"/>
  <c r="BR59" i="11" s="1"/>
  <c r="BA59" i="11"/>
  <c r="BT59" i="11" s="1"/>
  <c r="AX59" i="11"/>
  <c r="BQ59" i="11"/>
  <c r="BB59" i="11"/>
  <c r="BC59" i="11" s="1"/>
  <c r="BE59" i="11" s="1"/>
  <c r="BF59" i="11" s="1"/>
  <c r="BG59" i="11" s="1"/>
  <c r="BH59" i="11" s="1"/>
  <c r="BQ58" i="11"/>
  <c r="AY58" i="11"/>
  <c r="BR58" i="11" s="1"/>
  <c r="AX58" i="11"/>
  <c r="BB58" i="11"/>
  <c r="BC58" i="11" s="1"/>
  <c r="BE58" i="11" s="1"/>
  <c r="BF58" i="11" s="1"/>
  <c r="BG58" i="11" s="1"/>
  <c r="BH58" i="11" s="1"/>
  <c r="BA58" i="11"/>
  <c r="BT58" i="11" s="1"/>
  <c r="BA57" i="11"/>
  <c r="BT57" i="11" s="1"/>
  <c r="AY57" i="11"/>
  <c r="BR57" i="11" s="1"/>
  <c r="BB57" i="11"/>
  <c r="BC57" i="11" s="1"/>
  <c r="BE57" i="11" s="1"/>
  <c r="BF57" i="11" s="1"/>
  <c r="BG57" i="11" s="1"/>
  <c r="BH57" i="11" s="1"/>
  <c r="AX57" i="11"/>
  <c r="BQ57" i="11"/>
  <c r="AY55" i="11"/>
  <c r="BR55" i="11" s="1"/>
  <c r="BB55" i="11"/>
  <c r="BC55" i="11" s="1"/>
  <c r="BE55" i="11" s="1"/>
  <c r="BF55" i="11" s="1"/>
  <c r="BG55" i="11" s="1"/>
  <c r="BH55" i="11" s="1"/>
  <c r="BQ55" i="11"/>
  <c r="AX55" i="11"/>
  <c r="BA55" i="11"/>
  <c r="BT55" i="11" s="1"/>
  <c r="BB54" i="11"/>
  <c r="BC54" i="11" s="1"/>
  <c r="BE54" i="11" s="1"/>
  <c r="BF54" i="11" s="1"/>
  <c r="BG54" i="11" s="1"/>
  <c r="BH54" i="11" s="1"/>
  <c r="AX54" i="11"/>
  <c r="BA54" i="11"/>
  <c r="BT54" i="11" s="1"/>
  <c r="BQ54" i="11"/>
  <c r="AY54" i="11"/>
  <c r="BR54" i="11" s="1"/>
  <c r="AX53" i="11"/>
  <c r="BB53" i="11"/>
  <c r="BC53" i="11" s="1"/>
  <c r="BE53" i="11" s="1"/>
  <c r="BF53" i="11" s="1"/>
  <c r="BG53" i="11" s="1"/>
  <c r="BH53" i="11" s="1"/>
  <c r="AY53" i="11"/>
  <c r="BR53" i="11" s="1"/>
  <c r="BA53" i="11"/>
  <c r="BT53" i="11" s="1"/>
  <c r="BQ53" i="11"/>
  <c r="BA52" i="11"/>
  <c r="BT52" i="11" s="1"/>
  <c r="BQ52" i="11"/>
  <c r="AX52" i="11"/>
  <c r="AY52" i="11"/>
  <c r="BR52" i="11" s="1"/>
  <c r="BB52" i="11"/>
  <c r="BC52" i="11" s="1"/>
  <c r="BE52" i="11" s="1"/>
  <c r="BF52" i="11" s="1"/>
  <c r="BG52" i="11" s="1"/>
  <c r="BH52" i="11" s="1"/>
  <c r="BB51" i="11"/>
  <c r="BC51" i="11" s="1"/>
  <c r="BE51" i="11" s="1"/>
  <c r="BF51" i="11" s="1"/>
  <c r="BG51" i="11" s="1"/>
  <c r="BH51" i="11" s="1"/>
  <c r="AY51" i="11"/>
  <c r="BR51" i="11" s="1"/>
  <c r="BQ51" i="11"/>
  <c r="AX51" i="11"/>
  <c r="BA51" i="11"/>
  <c r="BT51" i="11" s="1"/>
  <c r="AX50" i="11"/>
  <c r="AY50" i="11"/>
  <c r="BR50" i="11" s="1"/>
  <c r="BA50" i="11"/>
  <c r="BT50" i="11" s="1"/>
  <c r="BB50" i="11"/>
  <c r="BC50" i="11" s="1"/>
  <c r="BE50" i="11" s="1"/>
  <c r="BF50" i="11" s="1"/>
  <c r="BG50" i="11" s="1"/>
  <c r="BH50" i="11" s="1"/>
  <c r="BQ50" i="11"/>
  <c r="AY49" i="11"/>
  <c r="BR49" i="11" s="1"/>
  <c r="BA49" i="11"/>
  <c r="BT49" i="11" s="1"/>
  <c r="BB49" i="11"/>
  <c r="BC49" i="11" s="1"/>
  <c r="BE49" i="11" s="1"/>
  <c r="BF49" i="11" s="1"/>
  <c r="BG49" i="11" s="1"/>
  <c r="BH49" i="11" s="1"/>
  <c r="AX49" i="11"/>
  <c r="BQ49" i="11"/>
  <c r="AY48" i="11"/>
  <c r="BR48" i="11" s="1"/>
  <c r="BA48" i="11"/>
  <c r="BT48" i="11" s="1"/>
  <c r="AX48" i="11"/>
  <c r="BB48" i="11"/>
  <c r="BC48" i="11" s="1"/>
  <c r="BE48" i="11" s="1"/>
  <c r="BF48" i="11" s="1"/>
  <c r="BG48" i="11" s="1"/>
  <c r="BH48" i="11" s="1"/>
  <c r="BQ48" i="11"/>
  <c r="AY47" i="11"/>
  <c r="BR47" i="11" s="1"/>
  <c r="BQ47" i="11"/>
  <c r="BB47" i="11"/>
  <c r="BC47" i="11" s="1"/>
  <c r="BE47" i="11" s="1"/>
  <c r="BF47" i="11" s="1"/>
  <c r="BG47" i="11" s="1"/>
  <c r="BH47" i="11" s="1"/>
  <c r="AX47" i="11"/>
  <c r="BA47" i="11"/>
  <c r="BT47" i="11" s="1"/>
  <c r="AY46" i="11"/>
  <c r="BR46" i="11" s="1"/>
  <c r="BQ46" i="11"/>
  <c r="AX46" i="11"/>
  <c r="BA46" i="11"/>
  <c r="BT46" i="11" s="1"/>
  <c r="BB46" i="11"/>
  <c r="BC46" i="11" s="1"/>
  <c r="BE46" i="11" s="1"/>
  <c r="BF46" i="11" s="1"/>
  <c r="BG46" i="11" s="1"/>
  <c r="BH46" i="11" s="1"/>
  <c r="AX44" i="11"/>
  <c r="BA44" i="11"/>
  <c r="BT44" i="11" s="1"/>
  <c r="AY44" i="11"/>
  <c r="BR44" i="11" s="1"/>
  <c r="BQ44" i="11"/>
  <c r="BB44" i="11"/>
  <c r="BC44" i="11" s="1"/>
  <c r="BE44" i="11" s="1"/>
  <c r="BF44" i="11" s="1"/>
  <c r="BG44" i="11" s="1"/>
  <c r="BH44" i="11" s="1"/>
  <c r="AX43" i="11"/>
  <c r="BB43" i="11"/>
  <c r="BC43" i="11" s="1"/>
  <c r="BE43" i="11" s="1"/>
  <c r="BF43" i="11" s="1"/>
  <c r="BG43" i="11" s="1"/>
  <c r="BH43" i="11" s="1"/>
  <c r="BQ43" i="11"/>
  <c r="AY43" i="11"/>
  <c r="BR43" i="11" s="1"/>
  <c r="BA43" i="11"/>
  <c r="BT43" i="11" s="1"/>
  <c r="AY42" i="11"/>
  <c r="BR42" i="11" s="1"/>
  <c r="BA42" i="11"/>
  <c r="BT42" i="11" s="1"/>
  <c r="BQ42" i="11"/>
  <c r="AX42" i="11"/>
  <c r="BB42" i="11"/>
  <c r="BC42" i="11" s="1"/>
  <c r="BE42" i="11" s="1"/>
  <c r="BF42" i="11" s="1"/>
  <c r="BG42" i="11" s="1"/>
  <c r="BH42" i="11" s="1"/>
  <c r="BQ41" i="11"/>
  <c r="AX41" i="11"/>
  <c r="BB41" i="11"/>
  <c r="BC41" i="11" s="1"/>
  <c r="BE41" i="11" s="1"/>
  <c r="BF41" i="11" s="1"/>
  <c r="BG41" i="11" s="1"/>
  <c r="BH41" i="11" s="1"/>
  <c r="AY41" i="11"/>
  <c r="BR41" i="11" s="1"/>
  <c r="BA41" i="11"/>
  <c r="BT41" i="11" s="1"/>
  <c r="AY40" i="11"/>
  <c r="BR40" i="11" s="1"/>
  <c r="BA40" i="11"/>
  <c r="BT40" i="11" s="1"/>
  <c r="BQ40" i="11"/>
  <c r="AX40" i="11"/>
  <c r="BB40" i="11"/>
  <c r="BC40" i="11" s="1"/>
  <c r="BE40" i="11" s="1"/>
  <c r="BF40" i="11" s="1"/>
  <c r="BG40" i="11" s="1"/>
  <c r="BH40" i="11" s="1"/>
  <c r="AX39" i="11"/>
  <c r="AY39" i="11"/>
  <c r="BR39" i="11" s="1"/>
  <c r="BA39" i="11"/>
  <c r="BT39" i="11" s="1"/>
  <c r="BB39" i="11"/>
  <c r="BC39" i="11" s="1"/>
  <c r="BE39" i="11" s="1"/>
  <c r="BF39" i="11" s="1"/>
  <c r="BG39" i="11" s="1"/>
  <c r="BH39" i="11" s="1"/>
  <c r="BQ39" i="11"/>
  <c r="BA38" i="11"/>
  <c r="BT38" i="11" s="1"/>
  <c r="AX38" i="11"/>
  <c r="BB38" i="11"/>
  <c r="BC38" i="11" s="1"/>
  <c r="BE38" i="11" s="1"/>
  <c r="BF38" i="11" s="1"/>
  <c r="BG38" i="11" s="1"/>
  <c r="BH38" i="11" s="1"/>
  <c r="BQ38" i="11"/>
  <c r="AY38" i="11"/>
  <c r="BR38" i="11" s="1"/>
  <c r="BQ37" i="11"/>
  <c r="BA37" i="11"/>
  <c r="BT37" i="11" s="1"/>
  <c r="AX37" i="11"/>
  <c r="AY37" i="11"/>
  <c r="BR37" i="11" s="1"/>
  <c r="BB37" i="11"/>
  <c r="BC37" i="11" s="1"/>
  <c r="BE37" i="11" s="1"/>
  <c r="BF37" i="11" s="1"/>
  <c r="BG37" i="11" s="1"/>
  <c r="BH37" i="11" s="1"/>
  <c r="AY36" i="11"/>
  <c r="BR36" i="11" s="1"/>
  <c r="BB36" i="11"/>
  <c r="BC36" i="11" s="1"/>
  <c r="BE36" i="11" s="1"/>
  <c r="BF36" i="11" s="1"/>
  <c r="BG36" i="11" s="1"/>
  <c r="BH36" i="11" s="1"/>
  <c r="BQ36" i="11"/>
  <c r="AX36" i="11"/>
  <c r="BA36" i="11"/>
  <c r="BT36" i="11" s="1"/>
  <c r="BA35" i="11"/>
  <c r="BT35" i="11" s="1"/>
  <c r="AX35" i="11"/>
  <c r="AY35" i="11"/>
  <c r="BR35" i="11" s="1"/>
  <c r="BB35" i="11"/>
  <c r="BC35" i="11" s="1"/>
  <c r="BE35" i="11" s="1"/>
  <c r="BF35" i="11" s="1"/>
  <c r="BG35" i="11" s="1"/>
  <c r="BH35" i="11" s="1"/>
  <c r="BQ35" i="11"/>
  <c r="AX33" i="11"/>
  <c r="AY33" i="11"/>
  <c r="BR33" i="11" s="1"/>
  <c r="BA33" i="11"/>
  <c r="BT33" i="11" s="1"/>
  <c r="BB33" i="11"/>
  <c r="BC33" i="11" s="1"/>
  <c r="BE33" i="11" s="1"/>
  <c r="BF33" i="11" s="1"/>
  <c r="BG33" i="11" s="1"/>
  <c r="BH33" i="11" s="1"/>
  <c r="BQ33" i="11"/>
  <c r="AX32" i="11"/>
  <c r="AY32" i="11"/>
  <c r="BR32" i="11" s="1"/>
  <c r="BA32" i="11"/>
  <c r="BT32" i="11" s="1"/>
  <c r="BB32" i="11"/>
  <c r="BC32" i="11" s="1"/>
  <c r="BE32" i="11" s="1"/>
  <c r="BF32" i="11" s="1"/>
  <c r="BG32" i="11" s="1"/>
  <c r="BH32" i="11" s="1"/>
  <c r="BQ32" i="11"/>
  <c r="AX31" i="11"/>
  <c r="AY31" i="11"/>
  <c r="BR31" i="11" s="1"/>
  <c r="BA31" i="11"/>
  <c r="BT31" i="11" s="1"/>
  <c r="BB31" i="11"/>
  <c r="BC31" i="11" s="1"/>
  <c r="BE31" i="11" s="1"/>
  <c r="BF31" i="11" s="1"/>
  <c r="BG31" i="11" s="1"/>
  <c r="BH31" i="11" s="1"/>
  <c r="BQ31" i="11"/>
  <c r="AX30" i="11"/>
  <c r="AY30" i="11"/>
  <c r="BR30" i="11" s="1"/>
  <c r="BA30" i="11"/>
  <c r="BT30" i="11" s="1"/>
  <c r="BB30" i="11"/>
  <c r="BC30" i="11" s="1"/>
  <c r="BE30" i="11" s="1"/>
  <c r="BF30" i="11" s="1"/>
  <c r="BG30" i="11" s="1"/>
  <c r="BH30" i="11" s="1"/>
  <c r="BQ30" i="11"/>
  <c r="AX29" i="11"/>
  <c r="AY29" i="11"/>
  <c r="BR29" i="11" s="1"/>
  <c r="BA29" i="11"/>
  <c r="BT29" i="11" s="1"/>
  <c r="BB29" i="11"/>
  <c r="BC29" i="11" s="1"/>
  <c r="BE29" i="11" s="1"/>
  <c r="BF29" i="11" s="1"/>
  <c r="BG29" i="11" s="1"/>
  <c r="BH29" i="11" s="1"/>
  <c r="BQ29" i="11"/>
  <c r="AX28" i="11"/>
  <c r="AY28" i="11"/>
  <c r="BR28" i="11" s="1"/>
  <c r="BA28" i="11"/>
  <c r="BT28" i="11" s="1"/>
  <c r="BB28" i="11"/>
  <c r="BC28" i="11" s="1"/>
  <c r="BE28" i="11" s="1"/>
  <c r="BF28" i="11" s="1"/>
  <c r="BG28" i="11" s="1"/>
  <c r="BH28" i="11" s="1"/>
  <c r="BQ28" i="11"/>
  <c r="AX27" i="11"/>
  <c r="AY27" i="11"/>
  <c r="BR27" i="11" s="1"/>
  <c r="BA27" i="11"/>
  <c r="BT27" i="11" s="1"/>
  <c r="BB27" i="11"/>
  <c r="BC27" i="11" s="1"/>
  <c r="BE27" i="11" s="1"/>
  <c r="BF27" i="11" s="1"/>
  <c r="BG27" i="11" s="1"/>
  <c r="BH27" i="11" s="1"/>
  <c r="BQ27" i="11"/>
  <c r="AY26" i="11"/>
  <c r="BR26" i="11" s="1"/>
  <c r="BA26" i="11"/>
  <c r="BT26" i="11" s="1"/>
  <c r="AX26" i="11"/>
  <c r="BB26" i="11"/>
  <c r="BC26" i="11" s="1"/>
  <c r="BE26" i="11" s="1"/>
  <c r="BF26" i="11" s="1"/>
  <c r="BG26" i="11" s="1"/>
  <c r="BH26" i="11" s="1"/>
  <c r="BQ26" i="11"/>
  <c r="AY25" i="11"/>
  <c r="BR25" i="11" s="1"/>
  <c r="BB25" i="11"/>
  <c r="BC25" i="11" s="1"/>
  <c r="BE25" i="11" s="1"/>
  <c r="BF25" i="11" s="1"/>
  <c r="BG25" i="11" s="1"/>
  <c r="BH25" i="11" s="1"/>
  <c r="BQ25" i="11"/>
  <c r="AX25" i="11"/>
  <c r="BA25" i="11"/>
  <c r="BT25" i="11" s="1"/>
  <c r="L17" i="11"/>
  <c r="AH6" i="12"/>
  <c r="L5" i="11" l="1"/>
  <c r="I6" i="12"/>
  <c r="J146" i="11"/>
  <c r="L4" i="11"/>
  <c r="G6" i="12"/>
  <c r="BX25" i="11"/>
  <c r="F6" i="11"/>
  <c r="F10" i="11"/>
  <c r="BX24" i="11"/>
  <c r="BX85" i="11" l="1"/>
  <c r="BX27" i="11"/>
  <c r="BX29" i="11" s="1"/>
  <c r="BX71" i="11"/>
  <c r="BX34" i="11"/>
  <c r="BX101" i="11" s="1"/>
  <c r="H9" i="12" s="1"/>
  <c r="S9" i="12"/>
  <c r="L7" i="11"/>
  <c r="F16" i="11"/>
  <c r="F17" i="11"/>
  <c r="BX62" i="11" s="1"/>
  <c r="BX69" i="11" l="1"/>
  <c r="BX66" i="11"/>
  <c r="AD6" i="12" s="1"/>
  <c r="BX63" i="11"/>
  <c r="BX68" i="11"/>
  <c r="BX65" i="11"/>
  <c r="AB6" i="12" s="1"/>
  <c r="BX67" i="11"/>
  <c r="AF6" i="12" s="1"/>
  <c r="BX70" i="11"/>
  <c r="BX64" i="11"/>
  <c r="X6" i="12" s="1"/>
  <c r="BX87" i="11"/>
  <c r="BX86" i="11"/>
  <c r="BX30" i="11"/>
  <c r="BX31" i="11"/>
  <c r="L18" i="11"/>
  <c r="BX72" i="11"/>
  <c r="BX73" i="11"/>
  <c r="U9" i="12" s="1"/>
  <c r="BX74" i="11"/>
  <c r="W9" i="12" s="1"/>
  <c r="BX75" i="11"/>
  <c r="T9" i="12" s="1"/>
  <c r="BX76" i="11"/>
  <c r="V9" i="12" s="1"/>
  <c r="T6" i="12" l="1"/>
  <c r="L14" i="11"/>
  <c r="BX111" i="11"/>
  <c r="BX88" i="11" s="1"/>
  <c r="BX56" i="11" s="1"/>
  <c r="BX58" i="11" s="1"/>
  <c r="BX90" i="11"/>
  <c r="BX95" i="11"/>
  <c r="BX89" i="11"/>
  <c r="BX92" i="11" s="1"/>
  <c r="BX93" i="11" s="1"/>
  <c r="BX32" i="11"/>
  <c r="BX104" i="11"/>
  <c r="BX33" i="11"/>
  <c r="BX100" i="11" s="1"/>
  <c r="G9" i="12" s="1"/>
  <c r="BX37" i="11"/>
  <c r="BX38" i="11" s="1"/>
  <c r="BX48" i="11" s="1"/>
  <c r="BX36" i="11"/>
  <c r="BX102" i="11" s="1"/>
  <c r="BX35" i="11"/>
  <c r="BX99" i="11"/>
  <c r="P9" i="12"/>
  <c r="L15" i="11"/>
  <c r="BN35" i="11" l="1"/>
  <c r="BN41" i="11"/>
  <c r="BN44" i="11"/>
  <c r="BN49" i="11"/>
  <c r="BN86" i="11"/>
  <c r="BN88" i="11"/>
  <c r="BN90" i="11"/>
  <c r="BN92" i="11"/>
  <c r="BN98" i="11"/>
  <c r="BN99" i="11"/>
  <c r="BN102" i="11"/>
  <c r="BN103" i="11"/>
  <c r="BN104" i="11"/>
  <c r="BN107" i="11"/>
  <c r="BN110" i="11"/>
  <c r="BN111" i="11"/>
  <c r="BN113" i="11"/>
  <c r="BN114" i="11"/>
  <c r="BN116" i="11"/>
  <c r="BN118" i="11"/>
  <c r="BN40" i="11"/>
  <c r="BN47" i="11"/>
  <c r="BN55" i="11"/>
  <c r="BN59" i="11"/>
  <c r="BN27" i="11"/>
  <c r="BN38" i="11"/>
  <c r="BN42" i="11"/>
  <c r="BN46" i="11"/>
  <c r="BN85" i="11"/>
  <c r="BN87" i="11"/>
  <c r="BN91" i="11"/>
  <c r="BN96" i="11"/>
  <c r="BN97" i="11"/>
  <c r="BN105" i="11"/>
  <c r="BN109" i="11"/>
  <c r="BN119" i="11"/>
  <c r="BN120" i="11"/>
  <c r="BN121" i="11"/>
  <c r="BN122" i="11"/>
  <c r="BN123" i="11"/>
  <c r="BN124" i="11"/>
  <c r="BN25" i="11"/>
  <c r="BN26" i="11"/>
  <c r="BN108" i="11"/>
  <c r="BN112" i="11"/>
  <c r="BN115" i="11"/>
  <c r="BN28" i="11"/>
  <c r="BN29" i="11"/>
  <c r="BN30" i="11"/>
  <c r="BN31" i="11"/>
  <c r="BN32" i="11"/>
  <c r="BN33" i="11"/>
  <c r="BN36" i="11"/>
  <c r="BN37" i="11"/>
  <c r="BN39" i="11"/>
  <c r="BN43" i="11"/>
  <c r="BN48" i="11"/>
  <c r="BN50" i="11"/>
  <c r="BN51" i="11"/>
  <c r="BN52" i="11"/>
  <c r="BN53" i="11"/>
  <c r="BN54" i="11"/>
  <c r="BN57" i="11"/>
  <c r="BN58" i="11"/>
  <c r="BN101" i="11"/>
  <c r="BN60" i="11"/>
  <c r="BN61" i="11"/>
  <c r="BN62" i="11"/>
  <c r="BN63" i="11"/>
  <c r="BN64" i="11"/>
  <c r="BN65" i="11"/>
  <c r="BN66" i="11"/>
  <c r="BN68" i="11"/>
  <c r="BN69" i="11"/>
  <c r="BN70" i="11"/>
  <c r="BN71" i="11"/>
  <c r="BN72" i="11"/>
  <c r="BN73" i="11"/>
  <c r="BN74" i="11"/>
  <c r="BN75" i="11"/>
  <c r="BN76" i="11"/>
  <c r="BN77" i="11"/>
  <c r="BN79" i="11"/>
  <c r="BN80" i="11"/>
  <c r="BN81" i="11"/>
  <c r="BN82" i="11"/>
  <c r="BN83" i="11"/>
  <c r="BN84" i="11"/>
  <c r="BN93" i="11"/>
  <c r="BN94" i="11"/>
  <c r="L12" i="11"/>
  <c r="O6" i="12"/>
  <c r="BN56" i="11"/>
  <c r="BN117" i="11"/>
  <c r="BN45" i="11"/>
  <c r="BN78" i="11"/>
  <c r="BN95" i="11"/>
  <c r="BN100" i="11"/>
  <c r="BN106" i="11"/>
  <c r="BN34" i="11"/>
  <c r="BN67" i="11"/>
  <c r="BN89" i="11"/>
  <c r="BX49" i="11"/>
  <c r="BX53" i="11"/>
  <c r="BX54" i="11" s="1"/>
  <c r="L9" i="11"/>
  <c r="K9" i="12"/>
  <c r="L8" i="11"/>
  <c r="B9" i="12"/>
  <c r="BX50" i="11" l="1"/>
  <c r="M9" i="12"/>
  <c r="L10" i="11"/>
  <c r="BX51" i="11" l="1"/>
  <c r="N9" i="12"/>
  <c r="L11" i="11" l="1"/>
  <c r="O9" i="12"/>
  <c r="BX97" i="11"/>
  <c r="L20" i="11" s="1"/>
</calcChain>
</file>

<file path=xl/sharedStrings.xml><?xml version="1.0" encoding="utf-8"?>
<sst xmlns="http://schemas.openxmlformats.org/spreadsheetml/2006/main" count="6779" uniqueCount="1586">
  <si>
    <t>ANACAR — Análisis de cargas de tableros eléctricos</t>
  </si>
  <si>
    <t>Versión Excel con macros de la herramienta web (https://oquirosme-sys.github.io/Herramienta-ANACAR/). Base: ANACAR 2026.1 · NEC 2020.</t>
  </si>
  <si>
    <t>1. Llene los datos y criterios en la hoja PROYECTO.</t>
  </si>
  <si>
    <t>2. Cree los tableros con 'Nuevo tablero' o impórtelos/actualícelos desde la tabla de circuitos de Revit (hoja REVIT).</t>
  </si>
  <si>
    <t>3. En cada hoja 'MC &lt;tablero&gt;' (memoria de cálculo) llene los datos en las celdas verdes. 'Alimentado desde' conecta el tablero a su padre y crea su circuito.</t>
  </si>
  <si>
    <t>4. Las hojas '3F/1F &lt;tablero&gt;' muestran el cuadro de cargas con el diseño del Excel original; 'TABLA RESUMEN', 'RESUMEN VERTICAL' y 'RESUMEN DU' son para los planos de Revit.</t>
  </si>
  <si>
    <t>5. 'Actualizar tablas' rehace la lista de tableros, las tablas resumen y los nombres TABLERO_&lt;nombre&gt; para vincular en Revit.</t>
  </si>
  <si>
    <t>6. 'Autobalancear' reubica circuitos del tablero activo y anota los cambios en la hoja CAMBIOS REVIT.</t>
  </si>
  <si>
    <t>7. 'Exportar DXF' genera el diagrama unifilar para AutoCAD; 'Exportar PDF' imprime los cuadros, tablas y memorias.</t>
  </si>
  <si>
    <t>8. Catálogos (marcas, tableros, breakers, supresores, cargas, conductores, reglas): botón 'Modo administrador' (contraseña inicial: sinergia-admin).</t>
  </si>
  <si>
    <t>Habilite las macros al abrir el archivo. Celdas verdes = datos. Los valores en GRIS CURSIVA son automáticos (como en la versión en línea): escriba encima para cambiarlos y bórrelos para volver al automático.</t>
  </si>
  <si>
    <t>Detalle de carga, breaker, tablero y SPD se eligen de la lista por nombre. 'Crear varios', 'Tablero derivado', 'Duplicar tablero/circuito' y 'Mover circuito' (anota el cambio para Revit) están en los botones; en PROYECTO se puede cambiar tipo, sistema, alimentado desde y longitud de cada tablero.</t>
  </si>
  <si>
    <t>ANACAR — ANÁLISIS DE CARGAS DE TABLEROS ELÉCTRICOS</t>
  </si>
  <si>
    <t>Nombre del proyecto</t>
  </si>
  <si>
    <t>ΔV máx. alimentador (%)</t>
  </si>
  <si>
    <t>Proyecto N.º</t>
  </si>
  <si>
    <t>ΔV máx. total (%)</t>
  </si>
  <si>
    <t>Ubicación</t>
  </si>
  <si>
    <t>Desbalance máx. (%)</t>
  </si>
  <si>
    <t>Fecha</t>
  </si>
  <si>
    <t>Long. máx. para Icc (m) (0 = sin límite)</t>
  </si>
  <si>
    <t>Elaboró</t>
  </si>
  <si>
    <t>Marca por defecto</t>
  </si>
  <si>
    <t>Eaton</t>
  </si>
  <si>
    <t>Revisión</t>
  </si>
  <si>
    <t>Reserva de espacios (%)</t>
  </si>
  <si>
    <t>Ocupación (NEC)</t>
  </si>
  <si>
    <t>comercial</t>
  </si>
  <si>
    <t>Icc de la red (kA) (vacío = infinita)</t>
  </si>
  <si>
    <t>Carga de tableros derivados</t>
  </si>
  <si>
    <t>conectada</t>
  </si>
  <si>
    <t>Aumentar calibre si no cumple 310.15</t>
  </si>
  <si>
    <t>SI</t>
  </si>
  <si>
    <t>TABLEROS DEL PROYECTO (se actualiza con el botón; para editar un tablero abra su hoja MC)</t>
  </si>
  <si>
    <t>Tablero</t>
  </si>
  <si>
    <t>Tipo</t>
  </si>
  <si>
    <t>Sistema</t>
  </si>
  <si>
    <t>Alimentado desde</t>
  </si>
  <si>
    <t>Long. (m)</t>
  </si>
  <si>
    <t>kVA totales</t>
  </si>
  <si>
    <t>kVA demandados</t>
  </si>
  <si>
    <t>Protección (A)</t>
  </si>
  <si>
    <t>V bornes</t>
  </si>
  <si>
    <t>ΔV acum. (%)</t>
  </si>
  <si>
    <t>Icc (kA)</t>
  </si>
  <si>
    <t>Tablero (catálogo)</t>
  </si>
  <si>
    <t>Avisos</t>
  </si>
  <si>
    <t>Orden resumen</t>
  </si>
  <si>
    <t>Excluir (X)</t>
  </si>
  <si>
    <t>TABLA RESUMEN - TABLEROS ELÉCTRICOS</t>
  </si>
  <si>
    <t>DATOS DEL TABLERO</t>
  </si>
  <si>
    <t>DATOS DEL SUPRESOR</t>
  </si>
  <si>
    <t>DATOS INTERRUPTOR PRINCIPAL</t>
  </si>
  <si>
    <t>Tablero / Equipo</t>
  </si>
  <si>
    <t>kVA Totales</t>
  </si>
  <si>
    <t>kVA Demandados</t>
  </si>
  <si>
    <t>Factor demanda</t>
  </si>
  <si>
    <t>Factor diversidad</t>
  </si>
  <si>
    <t>Factor potencia</t>
  </si>
  <si>
    <t>Calibres conductores alimentador</t>
  </si>
  <si>
    <t>Tubería</t>
  </si>
  <si>
    <t>Longitud (m)</t>
  </si>
  <si>
    <t>Voltaje bornes (V)</t>
  </si>
  <si>
    <t>Caída de voltaje total (V)</t>
  </si>
  <si>
    <t>Caída de voltaje total (%)</t>
  </si>
  <si>
    <t>Corriente cortocircuito disponible (kA)</t>
  </si>
  <si>
    <t>Capacidad de breaker (A)</t>
  </si>
  <si>
    <t>Modelo de referencia</t>
  </si>
  <si>
    <t>Fabricante</t>
  </si>
  <si>
    <t>Barras</t>
  </si>
  <si>
    <t>Espacios</t>
  </si>
  <si>
    <t>Montaje</t>
  </si>
  <si>
    <t>Capacidad de supresión (kA)</t>
  </si>
  <si>
    <t>Voltaje (V)</t>
  </si>
  <si>
    <t>Fases</t>
  </si>
  <si>
    <t>Marco (A)</t>
  </si>
  <si>
    <t>Amperios (A)</t>
  </si>
  <si>
    <t>Tipo de unidad</t>
  </si>
  <si>
    <t># polos</t>
  </si>
  <si>
    <t>SCCR (kA)</t>
  </si>
  <si>
    <t>Fases (AWG)</t>
  </si>
  <si>
    <t>Neutro (AWG)</t>
  </si>
  <si>
    <t>Tierra (AWG)</t>
  </si>
  <si>
    <t>Material</t>
  </si>
  <si>
    <t>Aislamiento</t>
  </si>
  <si>
    <t>Cantidad</t>
  </si>
  <si>
    <t>(Ø mm)</t>
  </si>
  <si>
    <t>Fase</t>
  </si>
  <si>
    <t>Neutro</t>
  </si>
  <si>
    <t>Tierra</t>
  </si>
  <si>
    <t>L-L</t>
  </si>
  <si>
    <t>L-N / L-T / N-T</t>
  </si>
  <si>
    <t>TABLA RESUMEN - TABLEROS ELÉCTRICOS (VERTICAL)</t>
  </si>
  <si>
    <t>TABLA RESUMEN DU - TABLEROS ELÉCTRICOS</t>
  </si>
  <si>
    <t>PREVISTA (diseño esquemático) — carga por tipo de uso y m²</t>
  </si>
  <si>
    <t>Iluminación: NEC 2020 tabla 220.12; tomas y climatización: densidades estimadas (editar en CAT_USOS como administrador). Vacío = valor del tipo de uso.</t>
  </si>
  <si>
    <t>Área</t>
  </si>
  <si>
    <t>Tipo de uso</t>
  </si>
  <si>
    <t>m²</t>
  </si>
  <si>
    <t>Ilum. VA/m²</t>
  </si>
  <si>
    <t>Tomas VA/m²</t>
  </si>
  <si>
    <t>Clima VA/m²</t>
  </si>
  <si>
    <t>Otros kVA</t>
  </si>
  <si>
    <t>Ilum. efectiva</t>
  </si>
  <si>
    <t>Tomas efectiva</t>
  </si>
  <si>
    <t>Clima efectiva</t>
  </si>
  <si>
    <t>kVA ilum.</t>
  </si>
  <si>
    <t>kVA tomas</t>
  </si>
  <si>
    <t>kVA clima+otros</t>
  </si>
  <si>
    <t>kVA total</t>
  </si>
  <si>
    <t>Circuitos generados</t>
  </si>
  <si>
    <t>TOTAL kVA</t>
  </si>
  <si>
    <t>IMPORTAR / ACTUALIZAR DESDE LA TABLA DE CIRCUITOS DE REVIT</t>
  </si>
  <si>
    <t>Opción 1: botón 'Importar archivo' (.txt/.csv exportado de Revit o el Excel 'Circuitos revit-excel'). Opción 2: pegue la tabla desde B5 (con encabezados) y use 'Importar lo pegado'.</t>
  </si>
  <si>
    <t>Columnas esperadas: Voltage, True Load, Panel, Circuit Number, Number of Poles, Load Name, Length. Los tableros que ya existen se ACTUALIZAN (carga, longitud y nombre) conservando los demás ajustes.</t>
  </si>
  <si>
    <t>Panel (Revit)</t>
  </si>
  <si>
    <t>Carga</t>
  </si>
  <si>
    <t>Circuito en Revit</t>
  </si>
  <si>
    <t>Circuito nuevo</t>
  </si>
  <si>
    <t>Origen</t>
  </si>
  <si>
    <t>Aplicado (X)</t>
  </si>
  <si>
    <t>Detalle</t>
  </si>
  <si>
    <t>Descripción</t>
  </si>
  <si>
    <t>V</t>
  </si>
  <si>
    <t>Hilos</t>
  </si>
  <si>
    <t>F. demanda</t>
  </si>
  <si>
    <t>F. diversidad (0-1)</t>
  </si>
  <si>
    <t>FP</t>
  </si>
  <si>
    <t>Continua</t>
  </si>
  <si>
    <t>Mult.</t>
  </si>
  <si>
    <t>Fundamento</t>
  </si>
  <si>
    <t>Lista</t>
  </si>
  <si>
    <t>Palabras clave (Revit)</t>
  </si>
  <si>
    <t>Catálogo de detalles de carga (equivale a DCARGAS). Agregue filas o edite las celdas verdes. Palabras clave: nombres o prefijos de las cargas en Revit separados por coma (p. ej. uc-, condensadora); al importar, el circuito que las contiene toma ese detalle. Fases = 1 a 208/240 V en 2 polos reparte la carga entre los 2 polos.</t>
  </si>
  <si>
    <t>Iluminación</t>
  </si>
  <si>
    <t>Carga continua (&gt;3 h) — 210.19/210.20. Demanda: Tabla 220.42</t>
  </si>
  <si>
    <t>lighting</t>
  </si>
  <si>
    <t>ILUM. DUCTO ASCENSORES</t>
  </si>
  <si>
    <t>ducto ascensor, ducto de ascensor</t>
  </si>
  <si>
    <t>ILUMINACIÓN ESCALERAS</t>
  </si>
  <si>
    <t>escalera</t>
  </si>
  <si>
    <t>ILUMINACIÓN EXTERIOR</t>
  </si>
  <si>
    <t>iluminacion exterior, iluminación exterior, exterior</t>
  </si>
  <si>
    <t>ILUMINACIÓN RÓTULOS</t>
  </si>
  <si>
    <t>rotulo, rótulo, letrero</t>
  </si>
  <si>
    <t>ILUMINACIÓN</t>
  </si>
  <si>
    <t>iluminacion, iluminación, luminaria, luces</t>
  </si>
  <si>
    <t>iluminacion exterior 208</t>
  </si>
  <si>
    <t>TOMAS</t>
  </si>
  <si>
    <t>NO</t>
  </si>
  <si>
    <t>Uso intermitente. Demanda: Tabla 220.44</t>
  </si>
  <si>
    <t>toma, tomas, tomacorriente, tomacorrientes, receptaculo, cortinero, cortineros, prevista</t>
  </si>
  <si>
    <t>TOMAS UPS</t>
  </si>
  <si>
    <t>Operación 24/7 — continua. Demanda: Tabla 220.44</t>
  </si>
  <si>
    <t>tomas ups, ups</t>
  </si>
  <si>
    <t>CALENTADOR DE CAMISAS</t>
  </si>
  <si>
    <t>calentador de camisas, camisas</t>
  </si>
  <si>
    <t>CARGADOR DE BATERÍAS</t>
  </si>
  <si>
    <t>cargador de baterias, cargador de baterías, baterias</t>
  </si>
  <si>
    <t>CARGADOR DE VEHICULOS</t>
  </si>
  <si>
    <t>Art. 625.41/625.42 (EVSE = continua). Demanda: Tabla 220.44</t>
  </si>
  <si>
    <t>cargador de vehiculo, cargador de vehículo, ev, evse, vehiculo electrico</t>
  </si>
  <si>
    <t>SECAMANOS</t>
  </si>
  <si>
    <t>secamanos, secador de manos</t>
  </si>
  <si>
    <t>TOMAS 208V 1F</t>
  </si>
  <si>
    <t>tomas 208, toma 208</t>
  </si>
  <si>
    <t>PORTONES</t>
  </si>
  <si>
    <t>porton, portón, motor de porton</t>
  </si>
  <si>
    <t>EQUIPOS</t>
  </si>
  <si>
    <t>torre de lavado, torre lavado, lavadora, secadora</t>
  </si>
  <si>
    <t>TABLERO 1F</t>
  </si>
  <si>
    <t>Hereda la clasificación de sus cargas aguas abajo. Demanda: Tabla 220.44</t>
  </si>
  <si>
    <t>TABLERO 3F 40V</t>
  </si>
  <si>
    <t>TABLERO 3F 208V</t>
  </si>
  <si>
    <t>TABLERO PISCINAS 3F 208V</t>
  </si>
  <si>
    <t>Hereda la clasificación de sus cargas aguas abajo. Demanda: Criterio (diversidad subtableros)</t>
  </si>
  <si>
    <t>TABLERO PISCINAS 3F 480V</t>
  </si>
  <si>
    <t>TRANSFORMADOR VP 480V</t>
  </si>
  <si>
    <t>Servicio sostenido → continua; ver Tabla 220.56. Demanda: Tabla 220.56 (6+ equipos)</t>
  </si>
  <si>
    <t>Elevadores</t>
  </si>
  <si>
    <t>Art. 430.22/430.24 (regla propia de motores). Demanda: Criterio + verificar 430.24</t>
  </si>
  <si>
    <t>elevador, ascensor</t>
  </si>
  <si>
    <t>UPS</t>
  </si>
  <si>
    <t>ups 208</t>
  </si>
  <si>
    <t>TRANSFERENCIA MANUAL UPS</t>
  </si>
  <si>
    <t>EQUIPOS DE COCINA 120V</t>
  </si>
  <si>
    <t>Servicio sostenido → continua; ver Tabla 220.56. Demanda: Criterio (diversidad subtableros)</t>
  </si>
  <si>
    <t>equipo de cocina 120, triturador, gaveta caliente, plantilla, cocina</t>
  </si>
  <si>
    <t>EQUIPOS DE COCINA 208V</t>
  </si>
  <si>
    <t>equipo de cocina 208, horno, estufa, plantilla 208</t>
  </si>
  <si>
    <t>Equipos Cocinas 408V</t>
  </si>
  <si>
    <t>equipo de cocina 480</t>
  </si>
  <si>
    <t>CAMPANA DE EXTRACCIÓN</t>
  </si>
  <si>
    <t>campana, campana de extraccion, campana de extracción</t>
  </si>
  <si>
    <t>HORNO MW</t>
  </si>
  <si>
    <t>microondas, horno microondas, horno mw</t>
  </si>
  <si>
    <t>LAVAPLATOS</t>
  </si>
  <si>
    <t>lavaplatos, lavavajillas</t>
  </si>
  <si>
    <t>MÁQUINA DE HACER CAFÉ</t>
  </si>
  <si>
    <t>cafetera, maquina de cafe, máquina de café</t>
  </si>
  <si>
    <t>REFRIGERADOR</t>
  </si>
  <si>
    <t>Art. 440.32 (regla propia HVAC). Demanda: Tabla 220.44</t>
  </si>
  <si>
    <t>refrigerador, refri, nevera, wine storage, ice maker, maquina de hielo</t>
  </si>
  <si>
    <t>CONTROL DE PUERTAS</t>
  </si>
  <si>
    <t>control de puertas, puerta</t>
  </si>
  <si>
    <t>PANEL DE CONTROL DE ACCESOS</t>
  </si>
  <si>
    <t>control de acceso, acceso</t>
  </si>
  <si>
    <t>PANEL INCENDIOS</t>
  </si>
  <si>
    <t>facp, incendio, panel de incendio</t>
  </si>
  <si>
    <t>PANEL SEGURIDAD</t>
  </si>
  <si>
    <t>seguridad, cctv, alarma</t>
  </si>
  <si>
    <t>RACKS TI</t>
  </si>
  <si>
    <t>rack, racks, ti, datos, comunicaciones</t>
  </si>
  <si>
    <t>PANEL PC-A</t>
  </si>
  <si>
    <t>pc-a</t>
  </si>
  <si>
    <t>UNIDAD CU-XX</t>
  </si>
  <si>
    <t>Art. 440.32 (regla propia HVAC). Demanda: Criterio + verificar Art. 440</t>
  </si>
  <si>
    <t>uc-, cu-, condensadora, unidad condensadora, unidad cu</t>
  </si>
  <si>
    <t>UNIDAD AH-XX</t>
  </si>
  <si>
    <t>ah-, ue, ue-, evaporadora, evaporadoras, manejadora, unidad ah</t>
  </si>
  <si>
    <t>uc-, cu-, condensadora 3f, unidad cu 3f</t>
  </si>
  <si>
    <t>INYECTOR INY-XX</t>
  </si>
  <si>
    <t>iny-, inyector</t>
  </si>
  <si>
    <t>EXTRACTOR EXT-XX</t>
  </si>
  <si>
    <t>ext-, extractor, ventilador, ventiladores, abanico</t>
  </si>
  <si>
    <t>MINISPLIT MS-XX</t>
  </si>
  <si>
    <t>ms-, minisplit, mini split</t>
  </si>
  <si>
    <t>CASSETTES+FAN COIL</t>
  </si>
  <si>
    <t>cassette, cassettes, fan coil, fancoil, fc-</t>
  </si>
  <si>
    <t>TANQUE AGUA CALIENTE</t>
  </si>
  <si>
    <t>tanque de agua caliente, tanque, termo</t>
  </si>
  <si>
    <t>CALENTADOR DE PASO</t>
  </si>
  <si>
    <t>Instantáneo, no continua. Art. 110.3(B): breaker según fabricante. Demanda: Art. 220.53 (electrodomésticos ≥4)</t>
  </si>
  <si>
    <t>calentador de paso, calentador</t>
  </si>
  <si>
    <t>B. AGUA CALIENTE 3x0.75HP</t>
  </si>
  <si>
    <t>bomba de agua caliente, recirculacion</t>
  </si>
  <si>
    <t>BOMBA TRASIEGO DIESEL 0.5HP</t>
  </si>
  <si>
    <t>bomba diesel, trasiego</t>
  </si>
  <si>
    <t>BOMBA JOCKEY 1.5HP</t>
  </si>
  <si>
    <t>bomba jockey, jockey</t>
  </si>
  <si>
    <t>BOMBA PLUVIAL 2HP</t>
  </si>
  <si>
    <t>bomba pluvial, pluvial</t>
  </si>
  <si>
    <t>PANEL PTAR</t>
  </si>
  <si>
    <t>ptar, planta de tratamiento</t>
  </si>
  <si>
    <t>BOMBAS DE AGUA 3x15HP</t>
  </si>
  <si>
    <t>bomba de agua, bombas de agua, bomba de potable, hidroneumatico</t>
  </si>
  <si>
    <t>EQUIPOS MECÁNICOS</t>
  </si>
  <si>
    <t>equipo mecanico, equipos mecanicos, equipo mecánico</t>
  </si>
  <si>
    <t>ESTERILIZADORA</t>
  </si>
  <si>
    <t>esterilizadora</t>
  </si>
  <si>
    <t>LAVADORA INSTRUMENTOS</t>
  </si>
  <si>
    <t>lavadora de instrumentos</t>
  </si>
  <si>
    <t>EQUIPOS MÉDICOS</t>
  </si>
  <si>
    <t>equipo medico, equipos médicos</t>
  </si>
  <si>
    <t>BOMBA VACIO 2x3HP</t>
  </si>
  <si>
    <t>bomba de vacio, vacío</t>
  </si>
  <si>
    <t>BOMBA GASES MEDICOS 2x5HP</t>
  </si>
  <si>
    <t>gases medicos, gases médicos</t>
  </si>
  <si>
    <t>COMPRESOR AIRE INDUSTRIAL</t>
  </si>
  <si>
    <t>compresor</t>
  </si>
  <si>
    <t>TABLERO TOMACORRIENTES 3F 208V</t>
  </si>
  <si>
    <t>TABLERO ILUMINACION 3F 208V</t>
  </si>
  <si>
    <t>TABLERO EQUPOS MECANICOS 3F 208V</t>
  </si>
  <si>
    <t>TABLERO COMBINADOS 3F 208V</t>
  </si>
  <si>
    <t>DESHUMIDIFICADOR DH-XX</t>
  </si>
  <si>
    <t>Motor/compresor de uso continuo (430.22). Demanda: equipos mecánicos.</t>
  </si>
  <si>
    <t>dh-, deshumidificador, deshumidificadores</t>
  </si>
  <si>
    <t>AYUDA — Guía de llenado, glosario y catálogo</t>
  </si>
  <si>
    <t>GUÍA DE LLENADO</t>
  </si>
  <si>
    <t>Celda para llenar</t>
  </si>
  <si>
    <t>Automático (gris)</t>
  </si>
  <si>
    <t>Las celdas verdes se llenan. El valor en gris cursiva es el automático: escriba encima para cambiarlo y bórrelo para volver al automático.</t>
  </si>
  <si>
    <t>1. Proyecto</t>
  </si>
  <si>
    <t>Datos del proyecto y criterios (caídas máximas, desbalance, marca, reserva de espacios, ocupación NEC, Icc de la red). Cree los tableros (uno, varios o importándolos de Revit) e indique de cuál se alimenta cada uno.</t>
  </si>
  <si>
    <t>2. Memoria de cálculo</t>
  </si>
  <si>
    <t>Por cada tablero: datos (tipo, sistema, principal o zapatas, subestación), alimentador (material, aislamiento, unidad de disparo, 100 % rated) y circuitos. Las celdas de color verde son para llenar; lo que aparece en gris dentro de ellas es el valor automático, que se usa mientras la celda quede vacía.</t>
  </si>
  <si>
    <t>3. Circuitos</t>
  </si>
  <si>
    <t>Posición (polos separados por coma: 1,3,5), detalle de carga, kVA y longitud. Opcional: factor de protección, factor de uso, factor de diversidad (0 a 1), protección, conductor, unidad (GFCI/AFCI) y breaker. Primero van las posiciones impares y luego las pares, como en el tablero físico.</t>
  </si>
  <si>
    <t>4. Fuentes</t>
  </si>
  <si>
    <t>Transformador aguas arriba (kVA, Z %), UPS, y segunda acometida con ATS/MTS/IP desde un generador o en bypass desde otro tablero.</t>
  </si>
  <si>
    <t>5. Autobalanceo y Revit</t>
  </si>
  <si>
    <t>El botón Autobalancear reubica circuitos para igualar las fases; los cambios de posición quedan en Revit ▸ Cambios para Revit. En la pestaña Revit se importa la tabla de circuitos o se actualizan cargas y distancias.</t>
  </si>
  <si>
    <t>6. Tableros 3F / 1F y Tablas resumen</t>
  </si>
  <si>
    <t>Cuadros de carga y tablas para los planos con el diseño del Excel; se imprimen o se exportan a Excel con los nombres definidos para vincular en Revit.</t>
  </si>
  <si>
    <t>7. Prevista</t>
  </si>
  <si>
    <t>Para diseño esquemático: área y tipo de uso de cada zona y la herramienta genera los circuitos de prevista en el tablero elegido.</t>
  </si>
  <si>
    <t>8. Excel</t>
  </si>
  <si>
    <t>Los botones de INICIO y de cada hoja MC hacen lo mismo que la versión en línea: crear tableros, importar de Revit, autobalancear, prevista, PDF, unifilar DXF y tablas para Revit. Los factores de diversidad van de 0 a 1 y multiplican la carga.</t>
  </si>
  <si>
    <t>GLOSARIO BÁSICO</t>
  </si>
  <si>
    <t>Tablero (panelboard)</t>
  </si>
  <si>
    <t>Gabinete con barras de fase, neutro y tierra donde se conectan los interruptores de los circuitos ramales (NEC 408). Se especifica por voltaje, fases e hilos, amperaje de barras, número de espacios (polos) y capacidad de cortocircuito (SCCR). Ejemplos: Eaton PRL1a/PRL2a/PRL3a, Square D NQ y NF.</t>
  </si>
  <si>
    <t>Centro de carga</t>
  </si>
  <si>
    <t>Tablero residencial o comercial liviano (240 V máx., barras hasta 225 A) con breakers enchufables de 1 y 2 polos. Ejemplos: Eaton CH, Square D QO.</t>
  </si>
  <si>
    <t>Subestación / switchboard</t>
  </si>
  <si>
    <t>Equipo de piso de una o varias secciones que recibe la acometida o el secundario del transformador y distribuye a los tableros con interruptores de caja moldeada o de potencia (600 V, 800–4000 A). Ejemplos: Square D QED-2 e I-Line, Eaton Pow-R-Line 4 y Pow-R-Line Xpert. Se marca en la memoria como "Subestación".</t>
  </si>
  <si>
    <t>Interruptor principal o zapatas</t>
  </si>
  <si>
    <t>Con interruptor principal el tablero tiene su propia protección general. Con zapatas (main lugs) solo tiene terminales y lo protege el interruptor del tablero que lo alimenta. Cambia el modelo de catálogo del tablero.</t>
  </si>
  <si>
    <t>Breaker enchufable o atornillable (ramal)</t>
  </si>
  <si>
    <t>Interruptor termomagnético de 1, 2 o 3 polos para circuitos ramales, de 15 a 125 A. Cada polo ocupa un espacio; los de 2 y 3 polos tienen la palanca unida. La familia depende del tablero: BAB y QBHW (PRL1a), GHB (PRL2a), QOB (NQ), EDB/EGB (NF).</t>
  </si>
  <si>
    <t>Interruptor de caja moldeada (MCCB)</t>
  </si>
  <si>
    <t>Interruptor de mayor capacidad (hasta 2500 A) para alimentadores y principales. El "marco" es el tamaño físico (p. ej. 250 A) y el "amperaje" el ajuste de disparo (p. ej. 175 A). Ejemplos: Eaton Power Defense PDG2–PDG6, Square D H, J, L, M y P.</t>
  </si>
  <si>
    <t>Unidad de disparo: TM, LI, LSI, LSIG · 100 % rated</t>
  </si>
  <si>
    <t>TM: termomagnética. LI, LSI y LSIG: electrónicas con ajustes de largo tiempo (L), corto tiempo (S), instantáneo (I) y falla a tierra (G). Desde 1200 A se requiere reducción de energía de arco (NEC 240.87). "100 % rated" permite cargar el interruptor al 100 % de su valor en carga continua (el alimentador se dimensiona sin el 125 %).</t>
  </si>
  <si>
    <t>GFCI y AFCI</t>
  </si>
  <si>
    <t>GFCI: protección contra falla a tierra para personas (NEC 210.8: baños, cocinas, exteriores, lavanderías, piscinas). AFCI: protección contra falla de arco (NEC 210.12: dormitorios y áreas habitables de vivienda, habitaciones de hotel). La herramienta los propone según la descripción del circuito y la ocupación del proyecto.</t>
  </si>
  <si>
    <t>SCCR, capacidad interruptiva y clasificación en serie</t>
  </si>
  <si>
    <t>Cada interruptor y tablero debe soportar la corriente de cortocircuito disponible en sus bornes (Icc). Si un breaker ramal tiene menos capacidad, se puede usar una combinación en serie listada por el fabricante con el principal (NEC 240.86), rotulando el tablero (110.22(C)).</t>
  </si>
  <si>
    <t>Supresor de picos (SPD)</t>
  </si>
  <si>
    <t>Protege contra sobretensiones transitorias (NEC 242). Tipo 1 o 2 en la acometida (recomendado 250 kA por fase), tipo 2 en tableros (120 kA en tableros de 600–1200 A, 50 kA hasta 400 A). Se elige por sistema (120/208, 277/480…) y kA.</t>
  </si>
  <si>
    <t>Transformador</t>
  </si>
  <si>
    <t>Cambia el voltaje (p. ej. 480 V a 208Y/120 V). Se especifica por kVA, impedancia Z % y relación X/R: con ellos se calcula la caída de voltaje en el transformador y la corriente de cortocircuito del secundario.</t>
  </si>
  <si>
    <t>Transferencia ATS / MTS / interruptor enclavado</t>
  </si>
  <si>
    <t>Permite alimentar una carga desde dos fuentes (red y generador, o UPS y bypass). ATS: automática; MTS: manual; IP: interruptores con enclavamiento. Su SCCR debe ser mayor que la corriente de falla (NEC 700.5(E)).</t>
  </si>
  <si>
    <t>UPS y bypass</t>
  </si>
  <si>
    <t>Sistema de alimentación ininterrumpida. En falla el inversor entrega una corriente limitada (≈ 2 × In), por lo que el cortocircuito aguas abajo es bajo. El bypass alimenta la carga directo desde otro tablero durante mantenimiento.</t>
  </si>
  <si>
    <t>Generador</t>
  </si>
  <si>
    <t>Fuente de respaldo. Su corriente de cortocircuito depende de la reactancia subtransitoria X''d (típica 12 %). Se conecta a la carga por la segunda acometida con un ATS o MTS.</t>
  </si>
  <si>
    <t>Conductores y calibres</t>
  </si>
  <si>
    <t>Cobre (CU) o aluminio (AL); aislamiento THHN, XHHW-2 (90 °C) o RHW (75 °C). El calibre (AWG o kcmil) se elige por la protección y se valida con la temperatura ambiente y el agrupamiento (NEC 310.15/310.16); en cargas grandes se usan conductores en paralelo (2x, 3x…). Tierra según 250.122.</t>
  </si>
  <si>
    <t>Canalizaciones</t>
  </si>
  <si>
    <t>EMT (tubo metálico) o PVC SCH40; el diámetro sale del número y calibre de conductores (Anexo C). La ductobarra reemplaza cables en alimentadores grandes.</t>
  </si>
  <si>
    <t>Barras y espacios</t>
  </si>
  <si>
    <t>Amperaje de las barras de fase, neutro y tierra del tablero (debe ser ≥ la protección principal) y número de espacios (polos) disponibles. La herramienta deja la reserva de espacios indicada en Proyecto.</t>
  </si>
  <si>
    <t>Factores de demanda, uso y diversidad</t>
  </si>
  <si>
    <t>Factor de demanda o de uso: fracción de la carga conectada que se usa a la vez (tomas: 100 % de los primeros 10 kVA y 50 % del resto, NEC 220.44). Factor de diversidad: entre 0 y 1, multiplica la carga para considerar que no todas las cargas coinciden. Reserva: fracción de carga futura (0,1 = 10 %).</t>
  </si>
  <si>
    <t>Caída de voltaje y cortocircuito en cascada</t>
  </si>
  <si>
    <t>Cada tablero parte del voltaje en bornes del tablero que lo alimenta, por lo que la caída es acumulada desde la acometida (máx. 3 % alimentador, 5 % total). La corriente de cortocircuito disminuye en cada alimentador (método punto a punto).</t>
  </si>
  <si>
    <t>CATÁLOGO DE TABLEROS</t>
  </si>
  <si>
    <t>Square D · NQ</t>
  </si>
  <si>
    <t>Panelboard NQ: 240 Vca máx. (120/240 1F, 208Y/120 3F), barras hasta 600 A; ramales QOB (10 kA) y QOB-VH (22 kA).  Ramales: QOB,QOB-VH,GFCI/AFCI  Principales: Q-frame,H,J,L</t>
  </si>
  <si>
    <t>Modelo</t>
  </si>
  <si>
    <t>Barras F/N/T (A)</t>
  </si>
  <si>
    <t>Principal</t>
  </si>
  <si>
    <t>NQ418L1C</t>
  </si>
  <si>
    <t>100 / 100 / 100</t>
  </si>
  <si>
    <t>3F</t>
  </si>
  <si>
    <t>Ambos</t>
  </si>
  <si>
    <t>NQ430L1C</t>
  </si>
  <si>
    <t>NQ430L2C</t>
  </si>
  <si>
    <t>225 / 225 / 100</t>
  </si>
  <si>
    <t>NQ442L2C</t>
  </si>
  <si>
    <t>NQ454L2C</t>
  </si>
  <si>
    <t>NQ472L2C</t>
  </si>
  <si>
    <t>NQ484L2C</t>
  </si>
  <si>
    <t>NQ430L4C</t>
  </si>
  <si>
    <t>400 / 400 / 225</t>
  </si>
  <si>
    <t>NQ442L4C</t>
  </si>
  <si>
    <t>NQ454L4C</t>
  </si>
  <si>
    <t>NQ472L4C</t>
  </si>
  <si>
    <t>NQ484L4C</t>
  </si>
  <si>
    <t>NQ430L6C</t>
  </si>
  <si>
    <t>600 / 600 / 225</t>
  </si>
  <si>
    <t>NQ442L6C</t>
  </si>
  <si>
    <t>NQ454L6C</t>
  </si>
  <si>
    <t>NQ484L6C</t>
  </si>
  <si>
    <t>NQ18L1C</t>
  </si>
  <si>
    <t>1F</t>
  </si>
  <si>
    <t>NQ30L1C</t>
  </si>
  <si>
    <t>NQ30L2C</t>
  </si>
  <si>
    <t>NQ42L2C</t>
  </si>
  <si>
    <t>NQ72L2C</t>
  </si>
  <si>
    <t>NQ84L2C</t>
  </si>
  <si>
    <t>NQ30L4C</t>
  </si>
  <si>
    <t>NQ42L4C</t>
  </si>
  <si>
    <t>NQ54L4C</t>
  </si>
  <si>
    <t>NQ84L4C</t>
  </si>
  <si>
    <t>NQ30L6C</t>
  </si>
  <si>
    <t>NQ42L6C</t>
  </si>
  <si>
    <t>NQ54L6C</t>
  </si>
  <si>
    <t>NQ84L6C</t>
  </si>
  <si>
    <t>Square D · NF</t>
  </si>
  <si>
    <t>Panelboard NF: 480Y/277 Vca máx., barras hasta 600 A; ramales EDB (18 kA), EGB (35 kA), EJB (65 kA).  Ramales: EDB,EGB,EJB  Principales: H,J,L</t>
  </si>
  <si>
    <t>NF418L1C</t>
  </si>
  <si>
    <t>125 / 125 / 100</t>
  </si>
  <si>
    <t>NF430L1C</t>
  </si>
  <si>
    <t>NF430L2C</t>
  </si>
  <si>
    <t>250 / 250 / 100</t>
  </si>
  <si>
    <t>NF442L2C</t>
  </si>
  <si>
    <t>NF454L2C</t>
  </si>
  <si>
    <t>NF430L4C</t>
  </si>
  <si>
    <t>NF442L4C</t>
  </si>
  <si>
    <t>NF430L6C</t>
  </si>
  <si>
    <t>NF442L6C</t>
  </si>
  <si>
    <t>Square D · I-Line</t>
  </si>
  <si>
    <t>Power-Style I-Line: 600 Vca, hasta 1200 A; interruptores de caja moldeada H, J, L, M, P.  Ramales: H,J,L,M,P  Principales: H,J,L,M,P</t>
  </si>
  <si>
    <t>HCM</t>
  </si>
  <si>
    <t>800 / 800 / 225</t>
  </si>
  <si>
    <t>HCP</t>
  </si>
  <si>
    <t>1200 / 1200 / 225</t>
  </si>
  <si>
    <t>I-Line</t>
  </si>
  <si>
    <t>Eaton · CH</t>
  </si>
  <si>
    <t>Centro de carga CH: 240 Vca máx., barras hasta 225 A.  Ramales: BAB,QBHW,GFCI/AFCI  Principales: PDG2</t>
  </si>
  <si>
    <t>CH24L3125C</t>
  </si>
  <si>
    <t>Zapatas</t>
  </si>
  <si>
    <t>CH42L3225G</t>
  </si>
  <si>
    <t>CH30B3150L</t>
  </si>
  <si>
    <t>150 / 150 / 150</t>
  </si>
  <si>
    <t>Interruptor</t>
  </si>
  <si>
    <t>CH30L3150D</t>
  </si>
  <si>
    <t>150 / 150 / 100</t>
  </si>
  <si>
    <t>CH42B3225L</t>
  </si>
  <si>
    <t>CHSUR42B200L2</t>
  </si>
  <si>
    <t>200 / 200 / 100</t>
  </si>
  <si>
    <t>CHP22N125X2P</t>
  </si>
  <si>
    <t>CHP32N225X6P</t>
  </si>
  <si>
    <t>Eaton · PRL1</t>
  </si>
  <si>
    <t>Pow-R-Line 1a: 240 Vca máx.; ramales BAB (10 kA) y QBHW (22 kA).  Ramales: BAB,QBHW,GFCI/AFCI  Principales: PDG2,PDG3</t>
  </si>
  <si>
    <t>PRL1x</t>
  </si>
  <si>
    <t>1F/3F</t>
  </si>
  <si>
    <t>Eaton · PRL2</t>
  </si>
  <si>
    <t>Pow-R-Line 2a: 480Y/277 Vca; ramales GHB.  Ramales: GHB  Principales: PDG2,PDG3</t>
  </si>
  <si>
    <t>PRL2x</t>
  </si>
  <si>
    <t>Eaton · PRL3</t>
  </si>
  <si>
    <t>Pow-R-Line 3a: 600 Vca, hasta 800 A.  Ramales: GHB,PDG2  Principales: PDG2,PDG3,PDG4</t>
  </si>
  <si>
    <t>PRL3x</t>
  </si>
  <si>
    <t>Eaton · PRL4</t>
  </si>
  <si>
    <t>Pow-R-Line 4: 600 Vca, hasta 1200 A; interruptores de caja moldeada.  Ramales: PDG2,PDG3,PDG4,PDG5  Principales: PDG3,PDG4,PDG5,MAGNUM</t>
  </si>
  <si>
    <t>PRL4x</t>
  </si>
  <si>
    <t>Square D · QED-2</t>
  </si>
  <si>
    <t>Switchboard QED-2 (subestación/distribución): 600 Vca, barras 800–4000 A; interruptores I-Line.  Ramales: H,J,L,M,P  Principales: P,M,L</t>
  </si>
  <si>
    <t>QED-2</t>
  </si>
  <si>
    <t>800 / 800 / 200</t>
  </si>
  <si>
    <t>secciones</t>
  </si>
  <si>
    <t>1200 / 1200 / 300</t>
  </si>
  <si>
    <t>1600 / 1600 / 400</t>
  </si>
  <si>
    <t>2000 / 2000 / 500</t>
  </si>
  <si>
    <t>2500 / 2500 / 625</t>
  </si>
  <si>
    <t>3000 / 3000 / 750</t>
  </si>
  <si>
    <t>4000 / 4000 / 1000</t>
  </si>
  <si>
    <t>Eaton · PRLX</t>
  </si>
  <si>
    <t>Switchboard Pow-R-Line Xpert (subestación/distribución): 600 Vca, barras 800–5000 A; interruptores Power Defense y Magnum.  Ramales: PDG2,PDG3,PDG4,PDG5  Principales: PDG4,PDG5,MAGNUM</t>
  </si>
  <si>
    <t>PRLX</t>
  </si>
  <si>
    <t>CATÁLOGO DE BREAKERS</t>
  </si>
  <si>
    <t>Square D · QOB</t>
  </si>
  <si>
    <t xml:space="preserve">  Número de catálogo: QOB{p}{a}</t>
  </si>
  <si>
    <t>Amperios</t>
  </si>
  <si>
    <t>Polos</t>
  </si>
  <si>
    <t>Unidad</t>
  </si>
  <si>
    <t>SCCR (kA) @ V</t>
  </si>
  <si>
    <t>QOB</t>
  </si>
  <si>
    <t>15-70</t>
  </si>
  <si>
    <t>STD</t>
  </si>
  <si>
    <t>10 @ 240</t>
  </si>
  <si>
    <t>15-125</t>
  </si>
  <si>
    <t>15-100</t>
  </si>
  <si>
    <t>Square D · QOB-VH</t>
  </si>
  <si>
    <t xml:space="preserve">  Número de catálogo: QOB{p}{a}VH</t>
  </si>
  <si>
    <t>QOB-VH</t>
  </si>
  <si>
    <t>22 @ 240</t>
  </si>
  <si>
    <t>Square D · EDB</t>
  </si>
  <si>
    <t xml:space="preserve">  Número de catálogo: EDB{p}4{a3}</t>
  </si>
  <si>
    <t>EDB</t>
  </si>
  <si>
    <t>18 @ 480</t>
  </si>
  <si>
    <t>15-150</t>
  </si>
  <si>
    <t>Square D · EGB</t>
  </si>
  <si>
    <t xml:space="preserve">  Número de catálogo: EGB{p}4{a3}</t>
  </si>
  <si>
    <t>EGB</t>
  </si>
  <si>
    <t>35 @ 480</t>
  </si>
  <si>
    <t>Square D · EJB</t>
  </si>
  <si>
    <t xml:space="preserve">  Número de catálogo: EJB{p}4{a3}</t>
  </si>
  <si>
    <t>EJB</t>
  </si>
  <si>
    <t>65 @ 480</t>
  </si>
  <si>
    <t>Square D · Q-frame</t>
  </si>
  <si>
    <t xml:space="preserve">  Número de catálogo: {m3}{p}2{a3}</t>
  </si>
  <si>
    <t>QBL32070-250</t>
  </si>
  <si>
    <t>70-250</t>
  </si>
  <si>
    <t>QDL32070-250</t>
  </si>
  <si>
    <t>25 @ 240</t>
  </si>
  <si>
    <t>QGL32070-250</t>
  </si>
  <si>
    <t>65 @ 240</t>
  </si>
  <si>
    <t>Square D · H</t>
  </si>
  <si>
    <t xml:space="preserve">  Número de catálogo: {m3}36{a3}</t>
  </si>
  <si>
    <t>HDL36015-150</t>
  </si>
  <si>
    <t>HGL36015-150</t>
  </si>
  <si>
    <t>HJL36015-150</t>
  </si>
  <si>
    <t>100 @ 240</t>
  </si>
  <si>
    <t>HDL36060U31X-150U31X</t>
  </si>
  <si>
    <t>LI</t>
  </si>
  <si>
    <t>HGL36060U31X-150U31X</t>
  </si>
  <si>
    <t>HJL36060U31X-150U31X</t>
  </si>
  <si>
    <t>HDL36060U33X-150U33X</t>
  </si>
  <si>
    <t>LSI</t>
  </si>
  <si>
    <t>HGL36060U33X-150U33X</t>
  </si>
  <si>
    <t>HJL36060U33X-150U33X</t>
  </si>
  <si>
    <t>HDL36060U43X-150U43X</t>
  </si>
  <si>
    <t>HGL36060U43X-150U43X</t>
  </si>
  <si>
    <t>HJL36060U43X-150U43X</t>
  </si>
  <si>
    <t>Square D · J</t>
  </si>
  <si>
    <t>JDL36150-250</t>
  </si>
  <si>
    <t>150-250</t>
  </si>
  <si>
    <t>JGL36150-250</t>
  </si>
  <si>
    <t>JJL36150-250</t>
  </si>
  <si>
    <t>JDL36250U31X</t>
  </si>
  <si>
    <t>JGL36250U31X</t>
  </si>
  <si>
    <t>JJL36250U31X</t>
  </si>
  <si>
    <t>JDL36250U33X</t>
  </si>
  <si>
    <t>JGL36250U33X</t>
  </si>
  <si>
    <t>JJL36250U33X</t>
  </si>
  <si>
    <t>JDL36250U43X</t>
  </si>
  <si>
    <t>JGL36250U43X</t>
  </si>
  <si>
    <t>JJL36250U43X</t>
  </si>
  <si>
    <t>Square D · L</t>
  </si>
  <si>
    <t>LAL36125-400</t>
  </si>
  <si>
    <t>125-400</t>
  </si>
  <si>
    <t>42 @ 240</t>
  </si>
  <si>
    <t>LHL36125-400</t>
  </si>
  <si>
    <t>30 @ 480</t>
  </si>
  <si>
    <t>LDL36250U31X-600U31X</t>
  </si>
  <si>
    <t>70-600</t>
  </si>
  <si>
    <t>LGL36250U31X-600U31X</t>
  </si>
  <si>
    <t>LJL36250U31X-600U31X</t>
  </si>
  <si>
    <t>LDL36250U33X-600U33X</t>
  </si>
  <si>
    <t>LGL36250U33X-600U33X</t>
  </si>
  <si>
    <t>LJL36250U33X-600U33X</t>
  </si>
  <si>
    <t>LDL36400U43X-600U43X</t>
  </si>
  <si>
    <t>250-600</t>
  </si>
  <si>
    <t>LGL36400U43X-600U43X</t>
  </si>
  <si>
    <t>LJL36400U43X-600U43X</t>
  </si>
  <si>
    <t>Square D · M</t>
  </si>
  <si>
    <t>MGL36300-800</t>
  </si>
  <si>
    <t>300-800</t>
  </si>
  <si>
    <t>MJL36300-800</t>
  </si>
  <si>
    <t>Square D · P</t>
  </si>
  <si>
    <t>PGL36025U63AE1-120U63AE1</t>
  </si>
  <si>
    <t>250-1200</t>
  </si>
  <si>
    <t>PJL36025U63AE1-120U63AE1</t>
  </si>
  <si>
    <t>PGL36025U64AE1-120U64AE1</t>
  </si>
  <si>
    <t>LSIG</t>
  </si>
  <si>
    <t>PJL36025U64AE1-120U64AE1</t>
  </si>
  <si>
    <t>Square D · GFCI/AFCI</t>
  </si>
  <si>
    <t xml:space="preserve">  Número de catálogo: GFCI=QOB{p}{a}GFI;AFCI=QO{p}{a}CAFI;AFCI/GFCI=QO{p}{a}DF</t>
  </si>
  <si>
    <t>GFCI</t>
  </si>
  <si>
    <t>AFCI</t>
  </si>
  <si>
    <t>HACR</t>
  </si>
  <si>
    <t>AFCI/GFCI</t>
  </si>
  <si>
    <t>Eaton · BAB</t>
  </si>
  <si>
    <t xml:space="preserve">  Número de catálogo: BAB{p}{a3}</t>
  </si>
  <si>
    <t>BAB</t>
  </si>
  <si>
    <t>Eaton · QBHW</t>
  </si>
  <si>
    <t xml:space="preserve">  Número de catálogo: QBHW{p}{a3}</t>
  </si>
  <si>
    <t>QBHW</t>
  </si>
  <si>
    <t>Eaton · GHB</t>
  </si>
  <si>
    <t xml:space="preserve">  Número de catálogo: GHB{p}{a3}</t>
  </si>
  <si>
    <t>GHB</t>
  </si>
  <si>
    <t>14 @ 480</t>
  </si>
  <si>
    <t>Eaton · PDG2</t>
  </si>
  <si>
    <t xml:space="preserve">  Número de catálogo: {pdg}</t>
  </si>
  <si>
    <t>PDG23F0015TFF-0225TFF</t>
  </si>
  <si>
    <t>15-225</t>
  </si>
  <si>
    <t>35 @ 240</t>
  </si>
  <si>
    <t>PDG23G0015TFF-0225TFF</t>
  </si>
  <si>
    <t>25 @ 480</t>
  </si>
  <si>
    <t>PDG23K0015TFF-0225TFF</t>
  </si>
  <si>
    <t>50 @ 480</t>
  </si>
  <si>
    <t>PDG23M0015TFF-0225TFF</t>
  </si>
  <si>
    <t>PDG23F0060PXR10-0225PXR10</t>
  </si>
  <si>
    <t>PDG23G0060PXR10-0225PXR10</t>
  </si>
  <si>
    <t>PDG23F0060PXR20-0225PXR20</t>
  </si>
  <si>
    <t>PDG23G0060PXR20-0225PXR20</t>
  </si>
  <si>
    <t>PDG23K0060PXR10-0225PXR10</t>
  </si>
  <si>
    <t>PDG23M0060PXR10-0225PXR10</t>
  </si>
  <si>
    <t>PDG23K0060PXR20-0225PXR20</t>
  </si>
  <si>
    <t>PDG23M0060PXR20-0225PXR20</t>
  </si>
  <si>
    <t>Eaton · PDG3</t>
  </si>
  <si>
    <t>PDG33F0045TFF-0600TFF</t>
  </si>
  <si>
    <t>45-600</t>
  </si>
  <si>
    <t>PDG33G0045TFF-0600TFF</t>
  </si>
  <si>
    <t>PDG33K0045TFF-0600TFF</t>
  </si>
  <si>
    <t>PDG33M0045TFF-0600TFF</t>
  </si>
  <si>
    <t>PDG33F0125PXR10-0600PXR10</t>
  </si>
  <si>
    <t>125-600</t>
  </si>
  <si>
    <t>PDG33G0125PXR10-0600PXR10</t>
  </si>
  <si>
    <t>PDG33F0125PXR20-0600PXR20</t>
  </si>
  <si>
    <t>PDG33G0125PXR20-0600PXR20</t>
  </si>
  <si>
    <t>PDG33K0125PXR10-0600PXR10</t>
  </si>
  <si>
    <t>PDG33M0125PXR10-0600PXR10</t>
  </si>
  <si>
    <t>PDG33K0125PXR20-0600PXR20</t>
  </si>
  <si>
    <t>PDG33M0125PXR20-0600PXR20</t>
  </si>
  <si>
    <t>Eaton · PDG4</t>
  </si>
  <si>
    <t>PDG43G0300PXR10-0800PXR10</t>
  </si>
  <si>
    <t>PDG43K0300PXR10-0800PXR10</t>
  </si>
  <si>
    <t>85 @ 240</t>
  </si>
  <si>
    <t>PDG43G0300PXR20-0800PXR20</t>
  </si>
  <si>
    <t>PDG43K0300PXR20-0800PXR20</t>
  </si>
  <si>
    <t>PDG43M0300PXR10-0800PXR10</t>
  </si>
  <si>
    <t>PDG43M0300PXR20-0800PXR20</t>
  </si>
  <si>
    <t>Eaton · PDG5</t>
  </si>
  <si>
    <t>PDG53K0800PXR10-1200PXR10</t>
  </si>
  <si>
    <t>800-1200</t>
  </si>
  <si>
    <t>85 @ 480</t>
  </si>
  <si>
    <t>PDG53M0800PXR10-1200PXR10</t>
  </si>
  <si>
    <t>100 @ 480</t>
  </si>
  <si>
    <t>PDG53K0800PXR20-1200PXR20</t>
  </si>
  <si>
    <t>PDG53M0800PXR20-1200PXR20</t>
  </si>
  <si>
    <t>PDG53K0800PXR25-1200PXR25</t>
  </si>
  <si>
    <t>PDG53M0800PXR25-1200PXR25</t>
  </si>
  <si>
    <t>Eaton · MAGNUM</t>
  </si>
  <si>
    <t>MAGNUM MDS-508</t>
  </si>
  <si>
    <t>MAGNUM MDS-512</t>
  </si>
  <si>
    <t>MAGNUM MDS-516</t>
  </si>
  <si>
    <t>MAGNUM MDS-616</t>
  </si>
  <si>
    <t>MAGNUM MDS-620</t>
  </si>
  <si>
    <t>MAGNUM MDS-625</t>
  </si>
  <si>
    <t>Eaton · GFCI/AFCI</t>
  </si>
  <si>
    <t xml:space="preserve">  Número de catálogo: GFCI=QBGF{p}{a3};AFCI=QBAF{p}{a3};AFCI/GFCI=QBAG{p}{a3}</t>
  </si>
  <si>
    <t>MEMORIA DE CÁLCULO — TABLERO</t>
  </si>
  <si>
    <t>Nombre / ID</t>
  </si>
  <si>
    <t>MACHOTE</t>
  </si>
  <si>
    <t>CU</t>
  </si>
  <si>
    <t>Transformador aguas arriba</t>
  </si>
  <si>
    <t>kVA conectados</t>
  </si>
  <si>
    <t>kVA conectados sin reserva [J116]</t>
  </si>
  <si>
    <t>Prefijo</t>
  </si>
  <si>
    <t>TABLERO</t>
  </si>
  <si>
    <t>XHHW-2</t>
  </si>
  <si>
    <t>Transformador kVA</t>
  </si>
  <si>
    <t>kVA fase A</t>
  </si>
  <si>
    <t>EMT</t>
  </si>
  <si>
    <t>Impedancia Z (%)</t>
  </si>
  <si>
    <t>Factor de demanda</t>
  </si>
  <si>
    <t>kVA fase B</t>
  </si>
  <si>
    <t>Sistema (V)</t>
  </si>
  <si>
    <t>120/208</t>
  </si>
  <si>
    <t># en paralelo (vacío = auto)</t>
  </si>
  <si>
    <t>Relación X/R (vacío = 4)</t>
  </si>
  <si>
    <t>Corriente A / B / C (A)</t>
  </si>
  <si>
    <t>kVA fase C</t>
  </si>
  <si>
    <t>Voltaje nominal (V)</t>
  </si>
  <si>
    <t>Aumento de calibre (%)</t>
  </si>
  <si>
    <t>Voltaje primario (V)</t>
  </si>
  <si>
    <t>Protección principal (A)</t>
  </si>
  <si>
    <t>% desbalance</t>
  </si>
  <si>
    <t>Factor de potencia</t>
  </si>
  <si>
    <t>Nombre transformador</t>
  </si>
  <si>
    <t>Conductores</t>
  </si>
  <si>
    <t>kVA conectados [W128]</t>
  </si>
  <si>
    <t>Factor de protección (%)</t>
  </si>
  <si>
    <t>kVA reserva [W129]</t>
  </si>
  <si>
    <t>Protección manual (A)</t>
  </si>
  <si>
    <t>Alimentado por UPS</t>
  </si>
  <si>
    <t>Voltaje de partida / bornes (V)</t>
  </si>
  <si>
    <t>kVA totales [W130]</t>
  </si>
  <si>
    <t>Conectado a (si es acometida)</t>
  </si>
  <si>
    <t>Temp. ambiente (°C)</t>
  </si>
  <si>
    <t>26-30</t>
  </si>
  <si>
    <t>UPS kVA</t>
  </si>
  <si>
    <t>Caída acumulada (%)</t>
  </si>
  <si>
    <t>kVA demandados [J134]</t>
  </si>
  <si>
    <t>Longitud alimentador (m)</t>
  </si>
  <si>
    <t>Temp. bornes (°C)</t>
  </si>
  <si>
    <t>Icc del inversor (× In)</t>
  </si>
  <si>
    <t>Icc en bornes (kA)</t>
  </si>
  <si>
    <t>Factor de demanda [R139]</t>
  </si>
  <si>
    <t>Reserva (fracción)</t>
  </si>
  <si>
    <t>Agrupamiento (vacío = auto)</t>
  </si>
  <si>
    <t>Fuente del Icc</t>
  </si>
  <si>
    <t>F. diversidad [S139] (0 a 1)</t>
  </si>
  <si>
    <t>Icc disponible manual (kA)</t>
  </si>
  <si>
    <t>Unidad de disparo</t>
  </si>
  <si>
    <t>TM</t>
  </si>
  <si>
    <t>Segunda acometida</t>
  </si>
  <si>
    <t>kVA demandados alimentador [L139]</t>
  </si>
  <si>
    <t>Marca (vacío = proyecto)</t>
  </si>
  <si>
    <t>100 % rated</t>
  </si>
  <si>
    <t>Equipo de transferencia</t>
  </si>
  <si>
    <t>ATS</t>
  </si>
  <si>
    <t>Interruptor principal</t>
  </si>
  <si>
    <t>Factor de potencia [T139]</t>
  </si>
  <si>
    <t>Breaker principal manual (tipo)</t>
  </si>
  <si>
    <t>Fuente alterna</t>
  </si>
  <si>
    <t>Supresor (SPD)</t>
  </si>
  <si>
    <t>kVA dem. fase A</t>
  </si>
  <si>
    <t>Espacios (vacío = auto)</t>
  </si>
  <si>
    <t>Tablero catálogo manual (tipo)</t>
  </si>
  <si>
    <t>Tablero de origen (bypass)</t>
  </si>
  <si>
    <t>Desbalance (%)</t>
  </si>
  <si>
    <t>kVA dem. fase B</t>
  </si>
  <si>
    <t>Superficial</t>
  </si>
  <si>
    <t>SPD manual (tipo)</t>
  </si>
  <si>
    <t>Generador kVA</t>
  </si>
  <si>
    <t>Validación del alimentador</t>
  </si>
  <si>
    <t>kVA dem. fase C</t>
  </si>
  <si>
    <t>F. diversidad del tablero (0 a 1)</t>
  </si>
  <si>
    <t>Calibre fijo (no aumentar)</t>
  </si>
  <si>
    <t>X''d del generador (%)</t>
  </si>
  <si>
    <t>Corriente fase A (A)</t>
  </si>
  <si>
    <t>Tipo de equipo</t>
  </si>
  <si>
    <t>Longitud fuente → ATS (m)</t>
  </si>
  <si>
    <t>AVISOS</t>
  </si>
  <si>
    <t>Corriente fase B (A)</t>
  </si>
  <si>
    <t>Gris cursiva = valor automático (escriba encima para cambiarlo; borre para volver al automático).</t>
  </si>
  <si>
    <t>WCR / SCCR del ATS (kA) (vacío = modelo)</t>
  </si>
  <si>
    <t>Corriente fase C (A)</t>
  </si>
  <si>
    <t>CIRCUITOS RAMALES — celdas verdes: datos; vacías = valor automático. Filas: posiciones impares (1–99) y luego pares (2–100).</t>
  </si>
  <si>
    <t>Transferencia: transición y polos</t>
  </si>
  <si>
    <t>Abierta 3P</t>
  </si>
  <si>
    <t>Factor de protección [AD139]</t>
  </si>
  <si>
    <t>ENTRADAS</t>
  </si>
  <si>
    <t>Distancia ATS → tablero (m)</t>
  </si>
  <si>
    <t>CÁLCULO (no editar)</t>
  </si>
  <si>
    <t>Ampacidad requerida [AE139]</t>
  </si>
  <si>
    <t>Fijo</t>
  </si>
  <si>
    <t>Pos.</t>
  </si>
  <si>
    <t>Polo 2</t>
  </si>
  <si>
    <t>Polo 3</t>
  </si>
  <si>
    <t>kVA</t>
  </si>
  <si>
    <t>Prot. %</t>
  </si>
  <si>
    <t>F. uso</t>
  </si>
  <si>
    <t>F. div.</t>
  </si>
  <si>
    <t>Aislam.</t>
  </si>
  <si>
    <t># par.</t>
  </si>
  <si>
    <t>Aum. %</t>
  </si>
  <si>
    <t>Prot. (A)</t>
  </si>
  <si>
    <t>Breaker (tipo)</t>
  </si>
  <si>
    <t>Tablero derivado</t>
  </si>
  <si>
    <t>Bypass de</t>
  </si>
  <si>
    <t>Circuito Revit</t>
  </si>
  <si>
    <t>Tipo carga</t>
  </si>
  <si>
    <t>fA</t>
  </si>
  <si>
    <t>fB</t>
  </si>
  <si>
    <t>fC</t>
  </si>
  <si>
    <t>kVA A</t>
  </si>
  <si>
    <t>kVA B</t>
  </si>
  <si>
    <t>kVA C</t>
  </si>
  <si>
    <t>dem A</t>
  </si>
  <si>
    <t>dem B</t>
  </si>
  <si>
    <t>dem C</t>
  </si>
  <si>
    <t>I A</t>
  </si>
  <si>
    <t>I B</t>
  </si>
  <si>
    <t>I C</t>
  </si>
  <si>
    <t>Amp. req.</t>
  </si>
  <si>
    <t>Aum.</t>
  </si>
  <si>
    <t>Calibre</t>
  </si>
  <si>
    <t>Tubo</t>
  </si>
  <si>
    <t>FAC</t>
  </si>
  <si>
    <t>FAC aj.</t>
  </si>
  <si>
    <t>V real</t>
  </si>
  <si>
    <t>ΔV (V)</t>
  </si>
  <si>
    <t>V-ΔV</t>
  </si>
  <si>
    <t>ΔV total (V)</t>
  </si>
  <si>
    <t>ΔV total (%)</t>
  </si>
  <si>
    <t>Polos bk</t>
  </si>
  <si>
    <t>Serie (kA)</t>
  </si>
  <si>
    <t>Unidad real</t>
  </si>
  <si>
    <t>Marco</t>
  </si>
  <si>
    <t>Aviso</t>
  </si>
  <si>
    <t>Protección (A) [AF139]</t>
  </si>
  <si>
    <t>Paralelos base</t>
  </si>
  <si>
    <t>Aumento (factor)</t>
  </si>
  <si>
    <t>Calibre base</t>
  </si>
  <si>
    <t>Agrupamiento</t>
  </si>
  <si>
    <t>Validación 310.15 (n|cal|ok|cap|amp|ft|fg|term|corr)</t>
  </si>
  <si>
    <t># en paralelo</t>
  </si>
  <si>
    <t>Prefijo fases</t>
  </si>
  <si>
    <t>Tierra 250.122</t>
  </si>
  <si>
    <t>Electrodo 250.66</t>
  </si>
  <si>
    <t>Tubería (mm)</t>
  </si>
  <si>
    <t>FAC tabla</t>
  </si>
  <si>
    <t>FAC ajustado</t>
  </si>
  <si>
    <t>Corriente para caída (A)</t>
  </si>
  <si>
    <t>Carga del transformador</t>
  </si>
  <si>
    <t>Caída en el transformador (%)</t>
  </si>
  <si>
    <t>Tablero que lo alimenta</t>
  </si>
  <si>
    <t>Voltaje del padre</t>
  </si>
  <si>
    <t>Bornes del padre (V)</t>
  </si>
  <si>
    <t>Icc del padre (A)</t>
  </si>
  <si>
    <t>Voltaje de partida (V)</t>
  </si>
  <si>
    <t>Caída en el alimentador (V)</t>
  </si>
  <si>
    <t>Voltaje en bornes (V)</t>
  </si>
  <si>
    <t>Caída acumulada (V)</t>
  </si>
  <si>
    <t>Voltaje L-N (V)</t>
  </si>
  <si>
    <t>Caída L-N (V)</t>
  </si>
  <si>
    <t>Bornes L-N (V)</t>
  </si>
  <si>
    <t>Icc por la alimentación normal (A)</t>
  </si>
  <si>
    <t>Icc en bornes (A)</t>
  </si>
  <si>
    <t>Icc secundario del transformador (A)</t>
  </si>
  <si>
    <t>Icc de la UPS (A)</t>
  </si>
  <si>
    <t>Marca</t>
  </si>
  <si>
    <t>Espacios usados</t>
  </si>
  <si>
    <t>Tablero de catálogo (tipo)</t>
  </si>
  <si>
    <t>Tablero: modelo</t>
  </si>
  <si>
    <t>Tablero: barraF</t>
  </si>
  <si>
    <t>Tablero: barraN</t>
  </si>
  <si>
    <t>Tablero: barraT</t>
  </si>
  <si>
    <t>Tablero: espacios</t>
  </si>
  <si>
    <t>Tablero: familia</t>
  </si>
  <si>
    <t>Tablero: ramales</t>
  </si>
  <si>
    <t>Tablero: principales</t>
  </si>
  <si>
    <t>Interruptor principal (tipo)</t>
  </si>
  <si>
    <t>Principal: modelo</t>
  </si>
  <si>
    <t>Principal: unidad</t>
  </si>
  <si>
    <t>Principal: sccr</t>
  </si>
  <si>
    <t>Principal: marco</t>
  </si>
  <si>
    <t>Principal: polos</t>
  </si>
  <si>
    <t>SPD kA recomendados</t>
  </si>
  <si>
    <t>SPD (tipo)</t>
  </si>
  <si>
    <t>SPD: modelo</t>
  </si>
  <si>
    <t>SPD: kaLL</t>
  </si>
  <si>
    <t>SPD: kaLN</t>
  </si>
  <si>
    <t>SPD: montaje</t>
  </si>
  <si>
    <t>2ª acometida: validación</t>
  </si>
  <si>
    <t>2ª acometida: paralelos</t>
  </si>
  <si>
    <t>2ª acometida: calibre</t>
  </si>
  <si>
    <t>2ª acometida: Icc (A)</t>
  </si>
  <si>
    <t>2ª acometida: caída (V)</t>
  </si>
  <si>
    <t>2ª acometida: FAC ajustado</t>
  </si>
  <si>
    <t>2ª acometida: voltaje de partida</t>
  </si>
  <si>
    <t>2ª acometida: bornes (V)</t>
  </si>
  <si>
    <t>2ª acometida: caída (%)</t>
  </si>
  <si>
    <t>Carga del generador</t>
  </si>
  <si>
    <t>2ª acometida: conductores</t>
  </si>
  <si>
    <t>Fases (texto)</t>
  </si>
  <si>
    <t>Neutro (texto)</t>
  </si>
  <si>
    <t>Tierra (texto)</t>
  </si>
  <si>
    <t>Tubería (texto)</t>
  </si>
  <si>
    <t>Prefijo paralelos</t>
  </si>
  <si>
    <t>Enlace: voltaje del padre</t>
  </si>
  <si>
    <t>Enlace: bornes del padre</t>
  </si>
  <si>
    <t>Enlace: Icc del padre</t>
  </si>
  <si>
    <t>Enlace: nombre del padre</t>
  </si>
  <si>
    <t>Enlace: Icc del origen del bypass</t>
  </si>
  <si>
    <t>Enlace: bornes del origen del bypass</t>
  </si>
  <si>
    <t>2ª acometida: Icc en el ATS (A)</t>
  </si>
  <si>
    <t>Icc en el ATS por la alimentación normal (A)</t>
  </si>
  <si>
    <t>Icc en el ATS (kA)</t>
  </si>
  <si>
    <t>ATS / MTS (tipo de catálogo)</t>
  </si>
  <si>
    <t>ATS: modelo</t>
  </si>
  <si>
    <t>ATS: amperios</t>
  </si>
  <si>
    <t>ATS: WCR efectivo (kA)</t>
  </si>
  <si>
    <t>FACTORES DE DEMANDA Y DIVERSIDAD (deje F. demanda vacío para usar el del catálogo; tomas: 100 % de 10 kVA + 50 % del resto, 220.44)</t>
  </si>
  <si>
    <t>Código</t>
  </si>
  <si>
    <t>Tipo de carga</t>
  </si>
  <si>
    <t>Método</t>
  </si>
  <si>
    <t>Circuitos</t>
  </si>
  <si>
    <t>Reserva</t>
  </si>
  <si>
    <t>F. demanda (manual)</t>
  </si>
  <si>
    <t>TABLEROS DERIVADOS (demanda ya aplicada)</t>
  </si>
  <si>
    <t>TOTALES</t>
  </si>
  <si>
    <t>Alimentado desde:</t>
  </si>
  <si>
    <t>Datos de cálculos eléctricos</t>
  </si>
  <si>
    <t>Especificación del tablero</t>
  </si>
  <si>
    <t>KVA Conectados</t>
  </si>
  <si>
    <t>KVA Demandados</t>
  </si>
  <si>
    <t>kVA Reserva</t>
  </si>
  <si>
    <t>Factor   potencia</t>
  </si>
  <si>
    <t>Amperios totales por fase</t>
  </si>
  <si>
    <t>Icc disponible (kA)</t>
  </si>
  <si>
    <t>Tensión Nominal (Voltios)</t>
  </si>
  <si>
    <t>Amperaje de Barras</t>
  </si>
  <si>
    <t>% DESBALANCEO MAXIMO</t>
  </si>
  <si>
    <t>Fase A</t>
  </si>
  <si>
    <t>Fase B</t>
  </si>
  <si>
    <t>Fase C</t>
  </si>
  <si>
    <t>Datos del alimentador/acometida</t>
  </si>
  <si>
    <t>Datos de Interruptor Principal</t>
  </si>
  <si>
    <t>Datos Supresor (SPD)</t>
  </si>
  <si>
    <t>Tubería (Ø mm)</t>
  </si>
  <si>
    <t>Caída voltaje (V)</t>
  </si>
  <si>
    <t>Caída voltaje total (%)</t>
  </si>
  <si>
    <t>Amperaje (A)</t>
  </si>
  <si>
    <t>Datos de circuitos ramales / alimentadores</t>
  </si>
  <si>
    <t>Posición en el tablero</t>
  </si>
  <si>
    <t>ID de circuito</t>
  </si>
  <si>
    <t>Descripción de carga</t>
  </si>
  <si>
    <t>kVA Conectados</t>
  </si>
  <si>
    <t>Datos de Interruptores Ramales</t>
  </si>
  <si>
    <t>Datos conductores ramales / alimentadores</t>
  </si>
  <si>
    <t>Tubo EMT</t>
  </si>
  <si>
    <t>KVA</t>
  </si>
  <si>
    <t>FASE A</t>
  </si>
  <si>
    <t>FASE B</t>
  </si>
  <si>
    <t>FASE C</t>
  </si>
  <si>
    <t>-</t>
  </si>
  <si>
    <t>STD: Interruptor termomagnético. / GFCI: Interruptor de falla a tierra. / AFCI: Interruptor de falla de arco tipo combinación. / SHT: Interruptor remoto ("Shunt Trip"). / HACR: Heat Air Conditioner Rated./ LI: Interruptor con unidad LI / LSI: Interruptor con unidad LSI / LSIG: Interruptor con unidad LSIG / GFP: Interruptor con unidad GFP / ARMS: Interruptor ARMS reducción energía arco ZSI: Sistema Zone Selective Interlocking</t>
  </si>
  <si>
    <t>kVA Conectados sin reserva</t>
  </si>
  <si>
    <t>Nombre</t>
  </si>
  <si>
    <t>F. diversidad</t>
  </si>
  <si>
    <t>fijo</t>
  </si>
  <si>
    <t>tomas</t>
  </si>
  <si>
    <t>ASCENSOR 5HP</t>
  </si>
  <si>
    <t>CHILLER</t>
  </si>
  <si>
    <t>EQUIPOS 220.53 NEC</t>
  </si>
  <si>
    <t>EQUIPOS COCINA</t>
  </si>
  <si>
    <t>TABLEROS</t>
  </si>
  <si>
    <t>Calibre por ampacidad CU</t>
  </si>
  <si>
    <t>Calibre por ampacidad AL</t>
  </si>
  <si>
    <t>Protección por ampacidad</t>
  </si>
  <si>
    <t>Tubería C.10 (mm)</t>
  </si>
  <si>
    <t>FAC caída de tensión (conduit magnético)</t>
  </si>
  <si>
    <t>Ampacidad 310.16</t>
  </si>
  <si>
    <t>Factor de temperatura 310.15(B)</t>
  </si>
  <si>
    <t>Agrupamiento 310.15(C)(1)</t>
  </si>
  <si>
    <t>Constantes C (cortocircuito)</t>
  </si>
  <si>
    <t>Sistemas</t>
  </si>
  <si>
    <t>Materiales</t>
  </si>
  <si>
    <t>Aislamientos</t>
  </si>
  <si>
    <t>Tuberías</t>
  </si>
  <si>
    <t>Montajes</t>
  </si>
  <si>
    <t>Temperaturas</t>
  </si>
  <si>
    <t>Agrupamientos</t>
  </si>
  <si>
    <t>Marcas</t>
  </si>
  <si>
    <t>Unidades</t>
  </si>
  <si>
    <t>Disparo principal</t>
  </si>
  <si>
    <t>SI/NO</t>
  </si>
  <si>
    <t>Transferencia</t>
  </si>
  <si>
    <t>Ocupación</t>
  </si>
  <si>
    <t>Carga derivados</t>
  </si>
  <si>
    <t>Transición</t>
  </si>
  <si>
    <t>Desde (A)</t>
  </si>
  <si>
    <t>Hasta (A)</t>
  </si>
  <si>
    <t>AL</t>
  </si>
  <si>
    <t>CU-MC</t>
  </si>
  <si>
    <t>AL-MC</t>
  </si>
  <si>
    <t>THHN</t>
  </si>
  <si>
    <t>RHW</t>
  </si>
  <si>
    <t>XHHW</t>
  </si>
  <si>
    <t>Calibre CU</t>
  </si>
  <si>
    <t>Calibre AL</t>
  </si>
  <si>
    <t>1000</t>
  </si>
  <si>
    <t>900</t>
  </si>
  <si>
    <t>800</t>
  </si>
  <si>
    <t>750</t>
  </si>
  <si>
    <t>700</t>
  </si>
  <si>
    <t>600</t>
  </si>
  <si>
    <t>500</t>
  </si>
  <si>
    <t>400</t>
  </si>
  <si>
    <t>350</t>
  </si>
  <si>
    <t>300</t>
  </si>
  <si>
    <t>250</t>
  </si>
  <si>
    <t>4/0</t>
  </si>
  <si>
    <t>3/0</t>
  </si>
  <si>
    <t>2/0</t>
  </si>
  <si>
    <t>1/0</t>
  </si>
  <si>
    <t>2</t>
  </si>
  <si>
    <t>4</t>
  </si>
  <si>
    <t>6</t>
  </si>
  <si>
    <t>8</t>
  </si>
  <si>
    <t>10</t>
  </si>
  <si>
    <t>12</t>
  </si>
  <si>
    <t>14</t>
  </si>
  <si>
    <t>CU|60</t>
  </si>
  <si>
    <t>CU|75</t>
  </si>
  <si>
    <t>CU|90</t>
  </si>
  <si>
    <t>CU-MC|60</t>
  </si>
  <si>
    <t>CU-MC|75</t>
  </si>
  <si>
    <t>CU-MC|90</t>
  </si>
  <si>
    <t>AL|60</t>
  </si>
  <si>
    <t>AL|75</t>
  </si>
  <si>
    <t>AL|90</t>
  </si>
  <si>
    <t>AL-MC|60</t>
  </si>
  <si>
    <t>AL-MC|75</t>
  </si>
  <si>
    <t>AL-MC|90</t>
  </si>
  <si>
    <t>Ambiente</t>
  </si>
  <si>
    <t>60</t>
  </si>
  <si>
    <t>75</t>
  </si>
  <si>
    <t>90</t>
  </si>
  <si>
    <t>Factor</t>
  </si>
  <si>
    <t>THHN|PCV SCH40</t>
  </si>
  <si>
    <t>THHN|EMT</t>
  </si>
  <si>
    <t>RHW|PCV SCH40</t>
  </si>
  <si>
    <t>RHW|EMT</t>
  </si>
  <si>
    <t>XHHW-2|PCV SCH40</t>
  </si>
  <si>
    <t>XHHW-2|EMT</t>
  </si>
  <si>
    <t>DUCTOBARRA|DUCTOBARRA</t>
  </si>
  <si>
    <t>10 o menos</t>
  </si>
  <si>
    <t>1-3</t>
  </si>
  <si>
    <t>4-6</t>
  </si>
  <si>
    <t>120/240</t>
  </si>
  <si>
    <t>PCV SCH40</t>
  </si>
  <si>
    <t>Empotrado</t>
  </si>
  <si>
    <t>11-15</t>
  </si>
  <si>
    <t>Square D</t>
  </si>
  <si>
    <t>Subestación</t>
  </si>
  <si>
    <t>MTS</t>
  </si>
  <si>
    <t>vivienda</t>
  </si>
  <si>
    <t>demandada</t>
  </si>
  <si>
    <t>Abierta 4P</t>
  </si>
  <si>
    <t>7-9</t>
  </si>
  <si>
    <t>120/220</t>
  </si>
  <si>
    <t>16-20</t>
  </si>
  <si>
    <t>IP</t>
  </si>
  <si>
    <t>hotel</t>
  </si>
  <si>
    <t>Retardada 3P</t>
  </si>
  <si>
    <t>10-20</t>
  </si>
  <si>
    <t>230/400</t>
  </si>
  <si>
    <t>THHN / MC</t>
  </si>
  <si>
    <t>21-25</t>
  </si>
  <si>
    <t>hospital</t>
  </si>
  <si>
    <t>Retardada 4P</t>
  </si>
  <si>
    <t>21-30</t>
  </si>
  <si>
    <t>277/480</t>
  </si>
  <si>
    <t>XHHW / MC</t>
  </si>
  <si>
    <t>industrial</t>
  </si>
  <si>
    <t>Cerrada 3P</t>
  </si>
  <si>
    <t>31-40</t>
  </si>
  <si>
    <t>RHW / MC</t>
  </si>
  <si>
    <t>31-35</t>
  </si>
  <si>
    <t>SHT</t>
  </si>
  <si>
    <t>Cerrada 4P</t>
  </si>
  <si>
    <t>41 +</t>
  </si>
  <si>
    <t>48</t>
  </si>
  <si>
    <t>Ducto barra</t>
  </si>
  <si>
    <t>36-40</t>
  </si>
  <si>
    <t>Bypass 3P</t>
  </si>
  <si>
    <t>3</t>
  </si>
  <si>
    <t>41-45</t>
  </si>
  <si>
    <t>Bypass 4P</t>
  </si>
  <si>
    <t>46-50</t>
  </si>
  <si>
    <t>Manual 3P</t>
  </si>
  <si>
    <t>1</t>
  </si>
  <si>
    <t>51-55</t>
  </si>
  <si>
    <t>Manual 4P</t>
  </si>
  <si>
    <t>56-60</t>
  </si>
  <si>
    <t>61-65</t>
  </si>
  <si>
    <t>66-70</t>
  </si>
  <si>
    <t>71-75</t>
  </si>
  <si>
    <t>76-80</t>
  </si>
  <si>
    <t>1200</t>
  </si>
  <si>
    <t>1250</t>
  </si>
  <si>
    <t>SCCR a (V)</t>
  </si>
  <si>
    <t>Nota</t>
  </si>
  <si>
    <t>SCCR a 240V</t>
  </si>
  <si>
    <t>SCCR a 480V</t>
  </si>
  <si>
    <t>SCCR a 240V + Micrologic 3.2</t>
  </si>
  <si>
    <t>SCCR a 480V + Micrologic 3.2</t>
  </si>
  <si>
    <t>SCCR a 240V + Micrologic 3.2S</t>
  </si>
  <si>
    <t>SCCR a 480V + Micrologic 3.2S</t>
  </si>
  <si>
    <t>SCCR a 240V + Micrologic 5.2A</t>
  </si>
  <si>
    <t>SCCR a 480V + Micrologic 5.2A</t>
  </si>
  <si>
    <t>SCCR a 240V + Micrologic 3.3</t>
  </si>
  <si>
    <t>SCCR a 480V + Micrologic 3.3</t>
  </si>
  <si>
    <t>SCCR a 240V + Micrologic 3.3S</t>
  </si>
  <si>
    <t>SCCR a 480V + Micrologic 3.3S</t>
  </si>
  <si>
    <t>SCCR a 240V + Micrologic 5.3A</t>
  </si>
  <si>
    <t>SCCR a 480V + Micrologic 5.3A</t>
  </si>
  <si>
    <t>SCCR a 240V + Micrologic 5.0P</t>
  </si>
  <si>
    <t>SCCR a 480V + Micrologic 5.0P</t>
  </si>
  <si>
    <t>SCCR a 240V + Micrologic 6.0P</t>
  </si>
  <si>
    <t>SCCR a 480V + Micrologic 6.0P</t>
  </si>
  <si>
    <t>SCCR a 240V + PXR10</t>
  </si>
  <si>
    <t>SCCR a 240V + PXR20</t>
  </si>
  <si>
    <t>SCCR a 480V + PXR10</t>
  </si>
  <si>
    <t>SCCR a 480V + PXR20</t>
  </si>
  <si>
    <t>SCCR a 480V + PXR25</t>
  </si>
  <si>
    <t>Barra fase</t>
  </si>
  <si>
    <t>Barra neutro</t>
  </si>
  <si>
    <t>Barra tierra</t>
  </si>
  <si>
    <t>240/480</t>
  </si>
  <si>
    <t>ZAPATAS</t>
  </si>
  <si>
    <t>BREAKER</t>
  </si>
  <si>
    <t>CON SUPRESOR PICOS CHSPT2ULTRA</t>
  </si>
  <si>
    <t>Switchboard: espacios según secciones de distribución</t>
  </si>
  <si>
    <t>kA L-L</t>
  </si>
  <si>
    <t>kA L-N</t>
  </si>
  <si>
    <t>Voltaje</t>
  </si>
  <si>
    <t>Conexión</t>
  </si>
  <si>
    <t>SSP01XDSE10A1</t>
  </si>
  <si>
    <t>Externo</t>
  </si>
  <si>
    <t>3W+G</t>
  </si>
  <si>
    <t>SSP01XDSE15A1</t>
  </si>
  <si>
    <t>SSP01XDSE20A1</t>
  </si>
  <si>
    <t>SSP02XDSE10A1</t>
  </si>
  <si>
    <t>208/120</t>
  </si>
  <si>
    <t>wye (4W+G)</t>
  </si>
  <si>
    <t>SSP03XDSE10A1</t>
  </si>
  <si>
    <t>SSP04XDSE10A1</t>
  </si>
  <si>
    <t>480Y/277V</t>
  </si>
  <si>
    <t>SSP02XDSE15A1</t>
  </si>
  <si>
    <t>SSP03XDSE15A1</t>
  </si>
  <si>
    <t>SSP04XDSE15A1</t>
  </si>
  <si>
    <t>SSP02XDSE20A1</t>
  </si>
  <si>
    <t>SSP03XDSE20A1</t>
  </si>
  <si>
    <t>SSP04XDSE20A1</t>
  </si>
  <si>
    <t>SPD 050 240S 3 C</t>
  </si>
  <si>
    <t>Interno</t>
  </si>
  <si>
    <t>SPD 080 240S 3 C</t>
  </si>
  <si>
    <t>SPD 100 240S 3 C</t>
  </si>
  <si>
    <t>SPD 120 240S 3 C</t>
  </si>
  <si>
    <t>SPD 160 240S 3 C</t>
  </si>
  <si>
    <t>SPD 200 240S 3 C</t>
  </si>
  <si>
    <t>SPD 250 240S 3 C</t>
  </si>
  <si>
    <t>SPD 300 240S 3 C</t>
  </si>
  <si>
    <t>SPD 400 240S 3 C</t>
  </si>
  <si>
    <t>SPD 050 208Y 3 C</t>
  </si>
  <si>
    <t>SPD 080 208Y 3 C</t>
  </si>
  <si>
    <t>SPD 100 208Y 3 C</t>
  </si>
  <si>
    <t>SPD 120 208Y 3 C</t>
  </si>
  <si>
    <t>SPD 160 208Y 3 C</t>
  </si>
  <si>
    <t>SPD 200 208Y 3 C</t>
  </si>
  <si>
    <t>SPD 250 208Y 3 C</t>
  </si>
  <si>
    <t>SPD 300 208Y 3 C</t>
  </si>
  <si>
    <t>SPD 400 208Y 3 C</t>
  </si>
  <si>
    <t>SPD 050 480Y 3 C</t>
  </si>
  <si>
    <t>SPD 080 480Y 3 C</t>
  </si>
  <si>
    <t>SPD 100 480Y 3 C</t>
  </si>
  <si>
    <t>SPD 120 480Y 3 C</t>
  </si>
  <si>
    <t>SPD 160 480Y 3 C</t>
  </si>
  <si>
    <t>SPD 200 480Y 3 C</t>
  </si>
  <si>
    <t>SPD 250 480Y 3 C</t>
  </si>
  <si>
    <t>SPD 300 480Y 3 C</t>
  </si>
  <si>
    <t>SPD 400 480Y 3 C</t>
  </si>
  <si>
    <t>SPD 050 240S 3 K</t>
  </si>
  <si>
    <t>SPD 080 340S 3 K</t>
  </si>
  <si>
    <t>SPD 100 340S 3 K</t>
  </si>
  <si>
    <t>SPD 130 340S 3 K</t>
  </si>
  <si>
    <t>SPD 160 340S 3 K</t>
  </si>
  <si>
    <t>SPD 300 340S 3 K</t>
  </si>
  <si>
    <t>SPD 350 340S 3 K</t>
  </si>
  <si>
    <t>SPD 400 340S 3 K</t>
  </si>
  <si>
    <t>SPD 050 208Y 3 K</t>
  </si>
  <si>
    <t>SPD 080 208Y 3 K</t>
  </si>
  <si>
    <t>SPD 100 208Y 3 K</t>
  </si>
  <si>
    <t>SPD 120 208Y 3 K</t>
  </si>
  <si>
    <t>SPD 160 208Y 3 K</t>
  </si>
  <si>
    <t>SPD 200 208Y 3 K</t>
  </si>
  <si>
    <t>SPD 250 208Y 3 K</t>
  </si>
  <si>
    <t>SPD 300 208Y 3 K</t>
  </si>
  <si>
    <t>SPD 400 208Y 3 K</t>
  </si>
  <si>
    <t>SPD 050 480Y 3 K</t>
  </si>
  <si>
    <t>SPD 080 480Y 3 K</t>
  </si>
  <si>
    <t>SPD 100 480Y 3 K</t>
  </si>
  <si>
    <t>SPD 120 480Y 3 K</t>
  </si>
  <si>
    <t>SPD 160 480Y 3 K</t>
  </si>
  <si>
    <t>SPD 200 480Y 3 K</t>
  </si>
  <si>
    <t>SPD 250 480Y 3 K</t>
  </si>
  <si>
    <t>SPD 300 480Y 3 K</t>
  </si>
  <si>
    <t>SPD 400 480Y 3 K</t>
  </si>
  <si>
    <t>Equipo</t>
  </si>
  <si>
    <t>WCR (kA)</t>
  </si>
  <si>
    <t>Entrada de servicio</t>
  </si>
  <si>
    <t>Genérico</t>
  </si>
  <si>
    <t>abierta</t>
  </si>
  <si>
    <t>ATS-AT-3P-30A</t>
  </si>
  <si>
    <t>Transición abierta (estándar): desconecta una fuente y conecta la otra. WCR típico; verificar con el fabricante.</t>
  </si>
  <si>
    <t>ATS-AT-3P-70A</t>
  </si>
  <si>
    <t>ATS-AT-3P-100A</t>
  </si>
  <si>
    <t>ATS-AT-3P-150A</t>
  </si>
  <si>
    <t>ATS-AT-3P-200A</t>
  </si>
  <si>
    <t>ATS-AT-3P-225A</t>
  </si>
  <si>
    <t>ATS-AT-3P-260A</t>
  </si>
  <si>
    <t>ATS-AT-3P-400A</t>
  </si>
  <si>
    <t>ATS-AT-3P-600A</t>
  </si>
  <si>
    <t>ATS-AT-3P-800A</t>
  </si>
  <si>
    <t>ATS-AT-3P-1000A</t>
  </si>
  <si>
    <t>ATS-AT-3P-1200A</t>
  </si>
  <si>
    <t>ATS-AT-3P-1600A</t>
  </si>
  <si>
    <t>ATS-AT-3P-2000A</t>
  </si>
  <si>
    <t>ATS-AT-3P-2500A</t>
  </si>
  <si>
    <t>ATS-AT-3P-3000A</t>
  </si>
  <si>
    <t>ATS-AT-3P-4000A</t>
  </si>
  <si>
    <t>ATS-AT-4P-30A</t>
  </si>
  <si>
    <t>Transición abierta (estándar): desconecta una fuente y conecta la otra. Neutro conmutado (4 polos): fuente derivada separadamente. WCR típico; verificar con el fabricante.</t>
  </si>
  <si>
    <t>ATS-AT-4P-70A</t>
  </si>
  <si>
    <t>ATS-AT-4P-100A</t>
  </si>
  <si>
    <t>ATS-AT-4P-150A</t>
  </si>
  <si>
    <t>ATS-AT-4P-200A</t>
  </si>
  <si>
    <t>ATS-AT-4P-225A</t>
  </si>
  <si>
    <t>ATS-AT-4P-260A</t>
  </si>
  <si>
    <t>ATS-AT-4P-400A</t>
  </si>
  <si>
    <t>ATS-AT-4P-600A</t>
  </si>
  <si>
    <t>ATS-AT-4P-800A</t>
  </si>
  <si>
    <t>ATS-AT-4P-1000A</t>
  </si>
  <si>
    <t>ATS-AT-4P-1200A</t>
  </si>
  <si>
    <t>ATS-AT-4P-1600A</t>
  </si>
  <si>
    <t>ATS-AT-4P-2000A</t>
  </si>
  <si>
    <t>ATS-AT-4P-2500A</t>
  </si>
  <si>
    <t>ATS-AT-4P-3000A</t>
  </si>
  <si>
    <t>ATS-AT-4P-4000A</t>
  </si>
  <si>
    <t>retardada</t>
  </si>
  <si>
    <t>ATS-RT-3P-30A</t>
  </si>
  <si>
    <t>Transición retardada (posición neutral temporizada): para motores y transformadores (cargas inductivas). WCR típico; verificar con el fabricante.</t>
  </si>
  <si>
    <t>ATS-RT-3P-70A</t>
  </si>
  <si>
    <t>ATS-RT-3P-100A</t>
  </si>
  <si>
    <t>ATS-RT-3P-150A</t>
  </si>
  <si>
    <t>ATS-RT-3P-200A</t>
  </si>
  <si>
    <t>ATS-RT-3P-225A</t>
  </si>
  <si>
    <t>ATS-RT-3P-260A</t>
  </si>
  <si>
    <t>ATS-RT-3P-400A</t>
  </si>
  <si>
    <t>ATS-RT-3P-600A</t>
  </si>
  <si>
    <t>ATS-RT-3P-800A</t>
  </si>
  <si>
    <t>ATS-RT-3P-1000A</t>
  </si>
  <si>
    <t>ATS-RT-3P-1200A</t>
  </si>
  <si>
    <t>ATS-RT-3P-1600A</t>
  </si>
  <si>
    <t>ATS-RT-3P-2000A</t>
  </si>
  <si>
    <t>ATS-RT-3P-2500A</t>
  </si>
  <si>
    <t>ATS-RT-3P-3000A</t>
  </si>
  <si>
    <t>ATS-RT-3P-4000A</t>
  </si>
  <si>
    <t>ATS-RT-4P-30A</t>
  </si>
  <si>
    <t>Transición retardada (posición neutral temporizada): para motores y transformadores (cargas inductivas). Neutro conmutado (4 polos): fuente derivada separadamente. WCR típico; verificar con el fabricante.</t>
  </si>
  <si>
    <t>ATS-RT-4P-70A</t>
  </si>
  <si>
    <t>ATS-RT-4P-100A</t>
  </si>
  <si>
    <t>ATS-RT-4P-150A</t>
  </si>
  <si>
    <t>ATS-RT-4P-200A</t>
  </si>
  <si>
    <t>ATS-RT-4P-225A</t>
  </si>
  <si>
    <t>ATS-RT-4P-260A</t>
  </si>
  <si>
    <t>ATS-RT-4P-400A</t>
  </si>
  <si>
    <t>ATS-RT-4P-600A</t>
  </si>
  <si>
    <t>ATS-RT-4P-800A</t>
  </si>
  <si>
    <t>ATS-RT-4P-1000A</t>
  </si>
  <si>
    <t>ATS-RT-4P-1200A</t>
  </si>
  <si>
    <t>ATS-RT-4P-1600A</t>
  </si>
  <si>
    <t>ATS-RT-4P-2000A</t>
  </si>
  <si>
    <t>ATS-RT-4P-2500A</t>
  </si>
  <si>
    <t>ATS-RT-4P-3000A</t>
  </si>
  <si>
    <t>ATS-RT-4P-4000A</t>
  </si>
  <si>
    <t>cerrada</t>
  </si>
  <si>
    <t>ATS-CT-3P-100A</t>
  </si>
  <si>
    <t>Transición cerrada: las fuentes se paralelan &lt; 100 ms; sin parpadeo al retransferir. Requiere aprobación de la empresa eléctrica. WCR típico; verificar con el fabricante.</t>
  </si>
  <si>
    <t>ATS-CT-3P-150A</t>
  </si>
  <si>
    <t>ATS-CT-3P-200A</t>
  </si>
  <si>
    <t>ATS-CT-3P-225A</t>
  </si>
  <si>
    <t>ATS-CT-3P-260A</t>
  </si>
  <si>
    <t>ATS-CT-3P-400A</t>
  </si>
  <si>
    <t>ATS-CT-3P-600A</t>
  </si>
  <si>
    <t>ATS-CT-3P-800A</t>
  </si>
  <si>
    <t>ATS-CT-3P-1000A</t>
  </si>
  <si>
    <t>ATS-CT-3P-1200A</t>
  </si>
  <si>
    <t>ATS-CT-3P-1600A</t>
  </si>
  <si>
    <t>ATS-CT-3P-2000A</t>
  </si>
  <si>
    <t>ATS-CT-3P-2500A</t>
  </si>
  <si>
    <t>ATS-CT-3P-3000A</t>
  </si>
  <si>
    <t>ATS-CT-3P-4000A</t>
  </si>
  <si>
    <t>ATS-CT-4P-100A</t>
  </si>
  <si>
    <t>Transición cerrada: las fuentes se paralelan &lt; 100 ms; sin parpadeo al retransferir. Requiere aprobación de la empresa eléctrica. Neutro conmutado (4 polos): fuente derivada separadamente. WCR típico; verificar con el fabricante.</t>
  </si>
  <si>
    <t>ATS-CT-4P-150A</t>
  </si>
  <si>
    <t>ATS-CT-4P-200A</t>
  </si>
  <si>
    <t>ATS-CT-4P-225A</t>
  </si>
  <si>
    <t>ATS-CT-4P-260A</t>
  </si>
  <si>
    <t>ATS-CT-4P-400A</t>
  </si>
  <si>
    <t>ATS-CT-4P-600A</t>
  </si>
  <si>
    <t>ATS-CT-4P-800A</t>
  </si>
  <si>
    <t>ATS-CT-4P-1000A</t>
  </si>
  <si>
    <t>ATS-CT-4P-1200A</t>
  </si>
  <si>
    <t>ATS-CT-4P-1600A</t>
  </si>
  <si>
    <t>ATS-CT-4P-2000A</t>
  </si>
  <si>
    <t>ATS-CT-4P-2500A</t>
  </si>
  <si>
    <t>ATS-CT-4P-3000A</t>
  </si>
  <si>
    <t>ATS-CT-4P-4000A</t>
  </si>
  <si>
    <t>bypass</t>
  </si>
  <si>
    <t>ATS-BP-3P-100A</t>
  </si>
  <si>
    <t>Con bypass-aislamiento: permite dar mantenimiento al ATS sin cortar la carga (hospitales, centros de datos). WCR típico; verificar con el fabricante.</t>
  </si>
  <si>
    <t>ATS-BP-3P-150A</t>
  </si>
  <si>
    <t>ATS-BP-3P-200A</t>
  </si>
  <si>
    <t>ATS-BP-3P-225A</t>
  </si>
  <si>
    <t>ATS-BP-3P-260A</t>
  </si>
  <si>
    <t>ATS-BP-3P-400A</t>
  </si>
  <si>
    <t>ATS-BP-3P-600A</t>
  </si>
  <si>
    <t>ATS-BP-3P-800A</t>
  </si>
  <si>
    <t>ATS-BP-3P-1000A</t>
  </si>
  <si>
    <t>ATS-BP-3P-1200A</t>
  </si>
  <si>
    <t>ATS-BP-3P-1600A</t>
  </si>
  <si>
    <t>ATS-BP-3P-2000A</t>
  </si>
  <si>
    <t>ATS-BP-3P-2500A</t>
  </si>
  <si>
    <t>ATS-BP-3P-3000A</t>
  </si>
  <si>
    <t>ATS-BP-3P-4000A</t>
  </si>
  <si>
    <t>ATS-BP-4P-100A</t>
  </si>
  <si>
    <t>Con bypass-aislamiento: permite dar mantenimiento al ATS sin cortar la carga (hospitales, centros de datos). Neutro conmutado (4 polos): fuente derivada separadamente. WCR típico; verificar con el fabricante.</t>
  </si>
  <si>
    <t>ATS-BP-4P-150A</t>
  </si>
  <si>
    <t>ATS-BP-4P-200A</t>
  </si>
  <si>
    <t>ATS-BP-4P-225A</t>
  </si>
  <si>
    <t>ATS-BP-4P-260A</t>
  </si>
  <si>
    <t>ATS-BP-4P-400A</t>
  </si>
  <si>
    <t>ATS-BP-4P-600A</t>
  </si>
  <si>
    <t>ATS-BP-4P-800A</t>
  </si>
  <si>
    <t>ATS-BP-4P-1000A</t>
  </si>
  <si>
    <t>ATS-BP-4P-1200A</t>
  </si>
  <si>
    <t>ATS-BP-4P-1600A</t>
  </si>
  <si>
    <t>ATS-BP-4P-2000A</t>
  </si>
  <si>
    <t>ATS-BP-4P-2500A</t>
  </si>
  <si>
    <t>ATS-BP-4P-3000A</t>
  </si>
  <si>
    <t>ATS-BP-4P-4000A</t>
  </si>
  <si>
    <t>manual</t>
  </si>
  <si>
    <t>MTS-3P-30A</t>
  </si>
  <si>
    <t>Transferencia manual (MTS): el operador cambia de fuente. WCR típico; verificar con el fabricante.</t>
  </si>
  <si>
    <t>MTS-3P-70A</t>
  </si>
  <si>
    <t>MTS-3P-100A</t>
  </si>
  <si>
    <t>MTS-3P-150A</t>
  </si>
  <si>
    <t>MTS-3P-200A</t>
  </si>
  <si>
    <t>MTS-3P-225A</t>
  </si>
  <si>
    <t>MTS-3P-260A</t>
  </si>
  <si>
    <t>MTS-3P-400A</t>
  </si>
  <si>
    <t>MTS-3P-600A</t>
  </si>
  <si>
    <t>MTS-3P-800A</t>
  </si>
  <si>
    <t>MTS-3P-1000A</t>
  </si>
  <si>
    <t>MTS-3P-1200A</t>
  </si>
  <si>
    <t>MTS-3P-1600A</t>
  </si>
  <si>
    <t>MTS-3P-2000A</t>
  </si>
  <si>
    <t>MTS-3P-2500A</t>
  </si>
  <si>
    <t>MTS-3P-3000A</t>
  </si>
  <si>
    <t>MTS-3P-4000A</t>
  </si>
  <si>
    <t>MTS-4P-30A</t>
  </si>
  <si>
    <t>Transferencia manual (MTS): el operador cambia de fuente. Neutro conmutado (4 polos): fuente derivada separadamente. WCR típico; verificar con el fabricante.</t>
  </si>
  <si>
    <t>MTS-4P-70A</t>
  </si>
  <si>
    <t>MTS-4P-100A</t>
  </si>
  <si>
    <t>MTS-4P-150A</t>
  </si>
  <si>
    <t>MTS-4P-200A</t>
  </si>
  <si>
    <t>MTS-4P-225A</t>
  </si>
  <si>
    <t>MTS-4P-260A</t>
  </si>
  <si>
    <t>MTS-4P-400A</t>
  </si>
  <si>
    <t>MTS-4P-600A</t>
  </si>
  <si>
    <t>MTS-4P-800A</t>
  </si>
  <si>
    <t>MTS-4P-1000A</t>
  </si>
  <si>
    <t>MTS-4P-1200A</t>
  </si>
  <si>
    <t>MTS-4P-1600A</t>
  </si>
  <si>
    <t>MTS-4P-2000A</t>
  </si>
  <si>
    <t>MTS-4P-2500A</t>
  </si>
  <si>
    <t>MTS-4P-3000A</t>
  </si>
  <si>
    <t>MTS-4P-4000A</t>
  </si>
  <si>
    <t>Símbolo</t>
  </si>
  <si>
    <t>Capa</t>
  </si>
  <si>
    <t>Escala web</t>
  </si>
  <si>
    <t>Alto</t>
  </si>
  <si>
    <t>Tipo (L,C,F,A,T,AD,PT)</t>
  </si>
  <si>
    <t>a</t>
  </si>
  <si>
    <t>b</t>
  </si>
  <si>
    <t>c</t>
  </si>
  <si>
    <t>d</t>
  </si>
  <si>
    <t>e</t>
  </si>
  <si>
    <t>visible</t>
  </si>
  <si>
    <t>INTERRUPTOR_1P</t>
  </si>
  <si>
    <t>PROTECCION</t>
  </si>
  <si>
    <t>L</t>
  </si>
  <si>
    <t>F</t>
  </si>
  <si>
    <t>A</t>
  </si>
  <si>
    <t>AD</t>
  </si>
  <si>
    <t>POLOS</t>
  </si>
  <si>
    <t>AMPERIOS</t>
  </si>
  <si>
    <t>UNIDAD</t>
  </si>
  <si>
    <t>MODELO</t>
  </si>
  <si>
    <t>SCCR</t>
  </si>
  <si>
    <t>INTERRUPTOR_2P</t>
  </si>
  <si>
    <t>INTERRUPTOR_3P</t>
  </si>
  <si>
    <t>TRAFO_SECO</t>
  </si>
  <si>
    <t>TRAFO</t>
  </si>
  <si>
    <t>Capacidad (kVA)</t>
  </si>
  <si>
    <t>IMPEDANCIA</t>
  </si>
  <si>
    <t>Impedancia (%)</t>
  </si>
  <si>
    <t>VOLTAJES</t>
  </si>
  <si>
    <t>Voltajes</t>
  </si>
  <si>
    <t>C</t>
  </si>
  <si>
    <t>Modelo del ATS</t>
  </si>
  <si>
    <t>WCR</t>
  </si>
  <si>
    <t>TRANSICION</t>
  </si>
  <si>
    <t>PT</t>
  </si>
  <si>
    <t>normal</t>
  </si>
  <si>
    <t>alterna</t>
  </si>
  <si>
    <t>carga</t>
  </si>
  <si>
    <t>Modelo del MTS</t>
  </si>
  <si>
    <t>GENERADOR</t>
  </si>
  <si>
    <t>T</t>
  </si>
  <si>
    <t>G</t>
  </si>
  <si>
    <t>NOMBRE</t>
  </si>
  <si>
    <t>XD</t>
  </si>
  <si>
    <t>Reactancia X''d (%)</t>
  </si>
  <si>
    <t>TIERRA</t>
  </si>
  <si>
    <t>#</t>
  </si>
  <si>
    <t>KACC 480</t>
  </si>
  <si>
    <t>KACC 240</t>
  </si>
  <si>
    <t>KACC 208</t>
  </si>
  <si>
    <t>Z %</t>
  </si>
  <si>
    <t>PEDESTAL 1F 100KVA</t>
  </si>
  <si>
    <t>MONOFASICO</t>
  </si>
  <si>
    <t>PEDESTAL 1F 167KVA</t>
  </si>
  <si>
    <t>PEDESTAL 1F 250KVA</t>
  </si>
  <si>
    <t>PEDESTAL 1F 333KVA</t>
  </si>
  <si>
    <t>PEDESTAL 1F 500KVA</t>
  </si>
  <si>
    <t>PEDESTAL 1F 50KVA</t>
  </si>
  <si>
    <t>PEDESTAL 1F 75KVA</t>
  </si>
  <si>
    <t>PEDESTAL 3F 1000KVA</t>
  </si>
  <si>
    <t>TRIFASICO</t>
  </si>
  <si>
    <t>PEDESTAL 3F 112.5KVA</t>
  </si>
  <si>
    <t>PEDESTAL 3F 1500KVA</t>
  </si>
  <si>
    <t>PEDESTAL 3F 150KVA</t>
  </si>
  <si>
    <t>PEDESTAL 3F 2000KVA</t>
  </si>
  <si>
    <t>PEDESTAL 3F 225KVA</t>
  </si>
  <si>
    <t>PEDESTAL 3F 2500KVA</t>
  </si>
  <si>
    <t>PEDESTAL 3F 300KVA</t>
  </si>
  <si>
    <t>PEDESTAL 3F 500KVA</t>
  </si>
  <si>
    <t>PEDESTAL 3F 750KVA</t>
  </si>
  <si>
    <t>PEDESTAL 3F 75KVA</t>
  </si>
  <si>
    <t>PEDESTAL 3F 45KVA</t>
  </si>
  <si>
    <t>POSTE 1F 100KVA</t>
  </si>
  <si>
    <t>POSTE 1F 50KVA</t>
  </si>
  <si>
    <t>POSTE 1F 75KVA</t>
  </si>
  <si>
    <t>SECO 1F K1 100KVA</t>
  </si>
  <si>
    <t>SECO 1F K1 25KVA</t>
  </si>
  <si>
    <t>SECO 1F K1 37.5KVA</t>
  </si>
  <si>
    <t>SECO 1F K1 50KVA</t>
  </si>
  <si>
    <t>SECO 1F K1 75KVA</t>
  </si>
  <si>
    <t>SECO 3F K1 112.5KVA</t>
  </si>
  <si>
    <t>SECO 3F K1 150KVA</t>
  </si>
  <si>
    <t>SECO 3F K1 15KVA</t>
  </si>
  <si>
    <t>SECO 3F K1 225KVA</t>
  </si>
  <si>
    <t>SECO 3F K1 300KVA</t>
  </si>
  <si>
    <t>SECO 3F K1 30KVA</t>
  </si>
  <si>
    <t>SECO 3F K1 45KVA</t>
  </si>
  <si>
    <t>SECO 3F K1 500KVA</t>
  </si>
  <si>
    <t>SECO 3F K1 75KVA</t>
  </si>
  <si>
    <t>SECO 3F K13 112.5KVA</t>
  </si>
  <si>
    <t>SECO 3F K13 150KVA</t>
  </si>
  <si>
    <t>SECO 3F K13 15KVA</t>
  </si>
  <si>
    <t>SECO 3F K13 225KVA</t>
  </si>
  <si>
    <t>SECO 3F K13 300KVA</t>
  </si>
  <si>
    <t>SECO 3F K13 30KVA</t>
  </si>
  <si>
    <t>SECO 3F K13 45KVA</t>
  </si>
  <si>
    <t>SECO 3F K13 500KVA</t>
  </si>
  <si>
    <t>SECO 3F K13 75KVA</t>
  </si>
  <si>
    <t>Familia</t>
  </si>
  <si>
    <t>Patrones del modelo (Like)</t>
  </si>
  <si>
    <t>V máx.</t>
  </si>
  <si>
    <t>Breakers ramales</t>
  </si>
  <si>
    <t>Breakers principales</t>
  </si>
  <si>
    <t>Preferencia</t>
  </si>
  <si>
    <t>Clase</t>
  </si>
  <si>
    <t>NQ</t>
  </si>
  <si>
    <t>NQ*</t>
  </si>
  <si>
    <t>QOB,QOB-VH,GFCI/AFCI</t>
  </si>
  <si>
    <t>Q-frame,H,J,L</t>
  </si>
  <si>
    <t>tablero</t>
  </si>
  <si>
    <t>Panelboard NQ: 240 Vca máx. (120/240 1F, 208Y/120 3F), barras hasta 600 A; ramales QOB (10 kA) y QOB-VH (22 kA).</t>
  </si>
  <si>
    <t>NF</t>
  </si>
  <si>
    <t>NF*</t>
  </si>
  <si>
    <t>EDB,EGB,EJB</t>
  </si>
  <si>
    <t>H,J,L</t>
  </si>
  <si>
    <t>Panelboard NF: 480Y/277 Vca máx., barras hasta 600 A; ramales EDB (18 kA), EGB (35 kA), EJB (65 kA).</t>
  </si>
  <si>
    <t>HCM*,HCP*,I-Line*</t>
  </si>
  <si>
    <t>H,J,L,M,P</t>
  </si>
  <si>
    <t>ambos</t>
  </si>
  <si>
    <t>Power-Style I-Line: 600 Vca, hasta 1200 A; interruptores de caja moldeada H, J, L, M, P.</t>
  </si>
  <si>
    <t>CH</t>
  </si>
  <si>
    <t>CH*</t>
  </si>
  <si>
    <t>BAB,QBHW,GFCI/AFCI</t>
  </si>
  <si>
    <t>PDG2</t>
  </si>
  <si>
    <t>Centro de carga CH: 240 Vca máx., barras hasta 225 A.</t>
  </si>
  <si>
    <t>PRL1</t>
  </si>
  <si>
    <t>PRL1*</t>
  </si>
  <si>
    <t>PDG2,PDG3</t>
  </si>
  <si>
    <t>Pow-R-Line 1a: 240 Vca máx.; ramales BAB (10 kA) y QBHW (22 kA).</t>
  </si>
  <si>
    <t>PRL2</t>
  </si>
  <si>
    <t>PRL2*</t>
  </si>
  <si>
    <t>Pow-R-Line 2a: 480Y/277 Vca; ramales GHB.</t>
  </si>
  <si>
    <t>PRL3</t>
  </si>
  <si>
    <t>PRL3*</t>
  </si>
  <si>
    <t>GHB,PDG2</t>
  </si>
  <si>
    <t>PDG2,PDG3,PDG4</t>
  </si>
  <si>
    <t>Pow-R-Line 3a: 600 Vca, hasta 800 A.</t>
  </si>
  <si>
    <t>PRL4</t>
  </si>
  <si>
    <t>PRL4*</t>
  </si>
  <si>
    <t>PDG2,PDG3,PDG4,PDG5</t>
  </si>
  <si>
    <t>PDG3,PDG4,PDG5,MAGNUM</t>
  </si>
  <si>
    <t>Pow-R-Line 4: 600 Vca, hasta 1200 A; interruptores de caja moldeada.</t>
  </si>
  <si>
    <t>QED*</t>
  </si>
  <si>
    <t>P,M,L</t>
  </si>
  <si>
    <t>subestacion</t>
  </si>
  <si>
    <t>Switchboard QED-2 (subestación/distribución): 600 Vca, barras 800–4000 A; interruptores I-Line.</t>
  </si>
  <si>
    <t>PRLX*,Pow-R-Line Xpert*</t>
  </si>
  <si>
    <t>PDG4,PDG5,MAGNUM</t>
  </si>
  <si>
    <t>Switchboard Pow-R-Line Xpert (subestación/distribución): 600 Vca, barras 800–5000 A; interruptores Power Defense y Magnum.</t>
  </si>
  <si>
    <t>Plantilla</t>
  </si>
  <si>
    <t>QOB-VH*</t>
  </si>
  <si>
    <t>QOB{p}{a}VH</t>
  </si>
  <si>
    <t>QOB{p}{a}</t>
  </si>
  <si>
    <t>EDB*</t>
  </si>
  <si>
    <t>EDB{p}4{a3}</t>
  </si>
  <si>
    <t>EGB*</t>
  </si>
  <si>
    <t>EGB{p}4{a3}</t>
  </si>
  <si>
    <t>EJB*</t>
  </si>
  <si>
    <t>EJB{p}4{a3}</t>
  </si>
  <si>
    <t>Q-frame</t>
  </si>
  <si>
    <t>Q[BDG]L*</t>
  </si>
  <si>
    <t>{m3}{p}2{a3}</t>
  </si>
  <si>
    <t>H</t>
  </si>
  <si>
    <t>H[DGJ]L*</t>
  </si>
  <si>
    <t>{m3}36{a3}</t>
  </si>
  <si>
    <t>J</t>
  </si>
  <si>
    <t>J[DGJ]L*</t>
  </si>
  <si>
    <t>L[ADGHJ]L*</t>
  </si>
  <si>
    <t>M</t>
  </si>
  <si>
    <t>M[GJ]L*</t>
  </si>
  <si>
    <t>P</t>
  </si>
  <si>
    <t>P[GJ]L*</t>
  </si>
  <si>
    <t>GFCI/AFCI</t>
  </si>
  <si>
    <t>(vacio)</t>
  </si>
  <si>
    <t>GFCI=QOB{p}{a}GFI;AFCI=QO{p}{a}CAFI;AFCI/GFCI=QO{p}{a}DF</t>
  </si>
  <si>
    <t>BAB*</t>
  </si>
  <si>
    <t>BAB{p}{a3}</t>
  </si>
  <si>
    <t>QBHW*</t>
  </si>
  <si>
    <t>QBHW{p}{a3}</t>
  </si>
  <si>
    <t>GHB*</t>
  </si>
  <si>
    <t>GHB{p}{a3}</t>
  </si>
  <si>
    <t>PDG2*</t>
  </si>
  <si>
    <t>{pdg}</t>
  </si>
  <si>
    <t>PDG3</t>
  </si>
  <si>
    <t>PDG3*</t>
  </si>
  <si>
    <t>PDG4</t>
  </si>
  <si>
    <t>PDG4*</t>
  </si>
  <si>
    <t>PDG5</t>
  </si>
  <si>
    <t>PDG5*</t>
  </si>
  <si>
    <t>MAGNUM</t>
  </si>
  <si>
    <t>MAGNUM*</t>
  </si>
  <si>
    <t>GFCI=QBGF{p}{a3};AFCI=QBAF{p}{a3};AFCI/GFCI=QBAG{p}{a3}</t>
  </si>
  <si>
    <t>kA serie</t>
  </si>
  <si>
    <t>Principal máx. (A)</t>
  </si>
  <si>
    <t>Línea (principal)</t>
  </si>
  <si>
    <t>Carga (ramales)</t>
  </si>
  <si>
    <t>EHD</t>
  </si>
  <si>
    <t>BA, BAB, BABRP, BABRSP, HQP, QBGF, QBAF, QBAG</t>
  </si>
  <si>
    <t>QBHW, QPHW</t>
  </si>
  <si>
    <t>BA, BAB, HQP, QBGF, QPGF, QBAF, QBAG</t>
  </si>
  <si>
    <t>GB, GHB</t>
  </si>
  <si>
    <t>BA, BAB, BABRP, BABRSP, HQP, QBGF, QPGF, QBAF, QBAG, QBHW, QPHW</t>
  </si>
  <si>
    <t>FB-P</t>
  </si>
  <si>
    <t>BA, BAB, BABRP, BABRSP, HQP, QBGF, QPGF, QBAF, QBAG, QBHW, QPHW, EHD, FD</t>
  </si>
  <si>
    <t>FCL</t>
  </si>
  <si>
    <t>BA, BAB, BABRP, BABRSP, HQP, QBGF, QPGF, QBAF, QBAG, QBHW, QPHW, GB, GHB, GHQ, EHD, FD, HFD</t>
  </si>
  <si>
    <t>EGH</t>
  </si>
  <si>
    <t>GHQ, GHB</t>
  </si>
  <si>
    <t>FDB</t>
  </si>
  <si>
    <t>BA, BAB</t>
  </si>
  <si>
    <t>Extracto recortado en la diapositiva: solo se ve el inicio de la lista de ramales (BA, BAB...). Lista incompleta.</t>
  </si>
  <si>
    <t>EDB, PDD2xF</t>
  </si>
  <si>
    <t>BAB, BABRP, BABRSP, HQP, QBGF, QPGF, QBHGF, QPHGF, QBHW, QPHW, QBAF, QBAG, QBGFT, QPGFT, QBHGFT, QPHGFT, QB-AFGF</t>
  </si>
  <si>
    <t>Lista recortada al pie de la diapositiva (puede continuar). Notas (1) en PDD2xF y (2) en BAB/HQP no explicadas en el documento.</t>
  </si>
  <si>
    <t>EDS, PDD2xG</t>
  </si>
  <si>
    <t>BAB, BABRP, BABRSP, HQP, QBGF, QPGF, QBHGF, QPHGF, QBHW, QPHW, QBAF, QBAG, QBGFT, QPGFT, QBHGFT, QPHGFT, QBCAF</t>
  </si>
  <si>
    <t>Lista recortada al pie de la diapositiva (puede continuar). Nota (2) en HQP no explicada.</t>
  </si>
  <si>
    <t>ED, FD, PDD2xG, PDG2xG</t>
  </si>
  <si>
    <t>BAB, BABRP, BABRSP, HQP, QBGF, QPGF, QBAF, QBAG, QBHW, QBHGF, QBGFT, QPGFT, QBHGFT, QBCAF, QPHW, QPHGF</t>
  </si>
  <si>
    <t>HQP: '(2-pole only)'. En la version de p.53 (Bid Manager) la columna ED, FD termina en QBCAF; la de p.44 (ed. Abril 2020, agrega PDD2xG/PDG2xG) añade QPHW, QPHGF y sigue recortada.</t>
  </si>
  <si>
    <t>208Y/120</t>
  </si>
  <si>
    <t>FD</t>
  </si>
  <si>
    <t>Tablero 208Y/120V 3F 4H, barra 225 A Cu, principal FD3225 (FD 3P 225 A), ramales BAB1020 (BAB 1P 20 A, 10 kAIC): S.C. Rating '65k A.I.C. Series Rated' vs '10k A.I.C. Fully Rated'.</t>
  </si>
  <si>
    <t>480Y/277</t>
  </si>
  <si>
    <t>GHB, GHQRSP</t>
  </si>
  <si>
    <t>EGS</t>
  </si>
  <si>
    <t>FD, FDE</t>
  </si>
  <si>
    <t>HFD, HFDE</t>
  </si>
  <si>
    <t>FDC</t>
  </si>
  <si>
    <t>JD, JDB</t>
  </si>
  <si>
    <t>GHB solo 15-50 A</t>
  </si>
  <si>
    <t>HJD</t>
  </si>
  <si>
    <t>JDC</t>
  </si>
  <si>
    <t>KD, KDB, CKD</t>
  </si>
  <si>
    <t>KD, HKD, KDC, CKD, CHKD</t>
  </si>
  <si>
    <t>HKD, CHKD</t>
  </si>
  <si>
    <t>KDC</t>
  </si>
  <si>
    <t>LCL</t>
  </si>
  <si>
    <t>480</t>
  </si>
  <si>
    <t>EHD, FDB, FD, HFD</t>
  </si>
  <si>
    <t>EHD, FDB, FD, FDE, HFD, HFDE</t>
  </si>
  <si>
    <t>LA-P</t>
  </si>
  <si>
    <t>EHD, FDB, FD, HFD, JD, JDB, HJD</t>
  </si>
  <si>
    <t>EHD, FDB</t>
  </si>
  <si>
    <t>EHD, FDB, FD, FDE, EGS</t>
  </si>
  <si>
    <t>EGS con nota (1) no explicada en el documento</t>
  </si>
  <si>
    <t>EHD, EGS, EGH, FDB, FD, FDE, HFD, HFDE</t>
  </si>
  <si>
    <t>EHD, FDB, FD, FDE, JD, JDB, EGS</t>
  </si>
  <si>
    <t>EHD, EGS, EGH, FDB, FD, FDE, HFD, HFDE, JD, JDB, HJD</t>
  </si>
  <si>
    <t>FDE, HFDE</t>
  </si>
  <si>
    <t>Iluminación VA/m²</t>
  </si>
  <si>
    <t>Climatización VA/m²</t>
  </si>
  <si>
    <t>Oficina</t>
  </si>
  <si>
    <t>Iluminación: NEC 2020 tabla 220.12 (1.3 VA/ft²); tomas 220.14(K); tomas y clima: valores estimados editables</t>
  </si>
  <si>
    <t>Comercio / retail</t>
  </si>
  <si>
    <t>Iluminación: NEC 2020 tabla 220.12 (1.9 VA/ft²); tomas y clima: valores estimados editables</t>
  </si>
  <si>
    <t>Bodega</t>
  </si>
  <si>
    <t>Iluminación: NEC 2020 tabla 220.12 (1.2 VA/ft²); tomas y clima: valores estimados editables</t>
  </si>
  <si>
    <t>Hotel / motel</t>
  </si>
  <si>
    <t>Iluminación: NEC 2020 tabla 220.12 (1.7 VA/ft²); tomas y clima: valores estimados editables</t>
  </si>
  <si>
    <t>Hospital</t>
  </si>
  <si>
    <t>Iluminación: NEC 2020 tabla 220.12 (1.6 VA/ft²); tomas y clima: valores estimados editables</t>
  </si>
  <si>
    <t>Clínica</t>
  </si>
  <si>
    <t>Escuela / universidad</t>
  </si>
  <si>
    <t>Iluminación: NEC 2020 tabla 220.12 (1.5 VA/ft²); tomas y clima: valores estimados editables</t>
  </si>
  <si>
    <t>Restaurante</t>
  </si>
  <si>
    <t>Estacionamiento</t>
  </si>
  <si>
    <t>Iluminación: NEC 2020 tabla 220.12 (0.3 VA/ft²); tomas y clima: valores estimados editables</t>
  </si>
  <si>
    <t>Gimnasio</t>
  </si>
  <si>
    <t>Manufactura / industria</t>
  </si>
  <si>
    <t>Iluminación: NEC 2020 tabla 220.12 (2.2 VA/ft²); tomas y clima: valores estimados editables</t>
  </si>
  <si>
    <t>Iglesia / culto</t>
  </si>
  <si>
    <t>Taller</t>
  </si>
  <si>
    <t>Vivienda (incluye tomas generales)</t>
  </si>
  <si>
    <t>Iluminación: NEC 2020 tabla 220.12 (3.0 VA/ft²); tomas y clima: valores estimados editables</t>
  </si>
  <si>
    <t>Biblioteca</t>
  </si>
  <si>
    <t>Museo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</si>
</sst>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24" x14ac:knownFonts="1">
    <font>
      <sz val="11"/>
      <color theme="1"/>
      <name val="Calibri"/>
      <family val="2"/>
      <scheme val="minor"/>
    </font>
    <font>
      <b/>
      <sz val="10"/>
      <name val="Century Gothic"/>
    </font>
    <font>
      <b/>
      <sz val="11"/>
      <name val="Century Gothic"/>
    </font>
    <font>
      <i/>
      <sz val="9"/>
      <name val="Century Gothic"/>
    </font>
    <font>
      <b/>
      <sz val="16"/>
      <color rgb="FF006600"/>
      <name val="Century Gothic"/>
    </font>
    <font>
      <sz val="9"/>
      <name val="Century Gothic"/>
    </font>
    <font>
      <sz val="10"/>
      <name val="Century Gothic"/>
    </font>
    <font>
      <b/>
      <sz val="9"/>
      <name val="Century Gothic"/>
    </font>
    <font>
      <b/>
      <sz val="11"/>
      <color rgb="FF006600"/>
      <name val="Century Gothic"/>
    </font>
    <font>
      <b/>
      <sz val="11"/>
      <color rgb="FF7F7F7F"/>
      <name val="Century Gothic"/>
    </font>
    <font>
      <b/>
      <sz val="48"/>
      <color rgb="FF006600"/>
      <name val="Century Gothic"/>
    </font>
    <font>
      <b/>
      <sz val="18"/>
      <name val="Century Gothic"/>
    </font>
    <font>
      <b/>
      <sz val="12"/>
      <name val="Century Gothic"/>
    </font>
    <font>
      <b/>
      <sz val="18"/>
      <color rgb="FF006600"/>
      <name val="Century Gothic"/>
    </font>
    <font>
      <b/>
      <sz val="11"/>
      <name val="Century Gothic"/>
    </font>
    <font>
      <b/>
      <sz val="40"/>
      <color rgb="FF006600"/>
      <name val="Century Gothic"/>
    </font>
    <font>
      <b/>
      <sz val="24"/>
      <color rgb="FF006600"/>
      <name val="Century Gothic"/>
    </font>
    <font>
      <b/>
      <sz val="22"/>
      <color rgb="FF006600"/>
      <name val="Century Gothic"/>
    </font>
    <font>
      <sz val="11"/>
      <name val="Century Gothic"/>
    </font>
    <font>
      <i/>
      <sz val="8"/>
      <color rgb="FF808080"/>
      <name val="Century Gothic"/>
    </font>
    <font>
      <b/>
      <sz val="20"/>
      <color rgb="FF006600"/>
      <name val="Century Gothic"/>
    </font>
    <font>
      <b/>
      <sz val="13"/>
      <color rgb="FF006600"/>
      <name val="Century Gothic"/>
    </font>
    <font>
      <i/>
      <sz val="10"/>
      <color rgb="FF808080"/>
      <name val="Century Gothic"/>
    </font>
    <font>
      <b/>
      <sz val="12"/>
      <color rgb="FF0B5CAB"/>
      <name val="Century Gothic"/>
    </font>
  </fonts>
  <fills count="6">
    <fill>
      <patternFill patternType="none"/>
    </fill>
    <fill>
      <patternFill patternType="gray125"/>
    </fill>
    <fill>
      <patternFill patternType="solid">
        <fgColor rgb="FFD9D9D9"/>
      </patternFill>
    </fill>
    <fill>
      <patternFill patternType="solid">
        <fgColor rgb="FFC6EFCE"/>
      </patternFill>
    </fill>
    <fill>
      <patternFill patternType="solid">
        <fgColor rgb="FFEDEDED"/>
      </patternFill>
    </fill>
    <fill>
      <patternFill patternType="solid">
        <fgColor rgb="FFDDEBF7"/>
      </patternFill>
    </fill>
  </fills>
  <borders count="21">
    <border>
      <left/>
      <right/>
      <top/>
      <bottom/>
      <diagonal/>
    </border>
    <border>
      <left style="thin">
        <color rgb="FF2E8B3A"/>
      </left>
      <right style="thin">
        <color rgb="FF2E8B3A"/>
      </right>
      <top style="thin">
        <color rgb="FF2E8B3A"/>
      </top>
      <bottom style="thin">
        <color rgb="FF2E8B3A"/>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right style="thin">
        <color rgb="FF000000"/>
      </right>
      <top style="thin">
        <color rgb="FF000000"/>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medium">
        <color rgb="FF000000"/>
      </top>
      <bottom/>
      <diagonal/>
    </border>
    <border>
      <left style="medium">
        <color rgb="FF000000"/>
      </left>
      <right/>
      <top/>
      <bottom/>
      <diagonal/>
    </border>
    <border>
      <left/>
      <right style="medium">
        <color rgb="FF000000"/>
      </right>
      <top style="medium">
        <color rgb="FF000000"/>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s>
  <cellStyleXfs count="1">
    <xf numFmtId="0" fontId="0" fillId="0" borderId="0"/>
  </cellStyleXfs>
  <cellXfs count="82">
    <xf numFmtId="0" fontId="0" fillId="0" borderId="0" xfId="0"/>
    <xf numFmtId="0" fontId="17" fillId="0" borderId="0" xfId="0" applyFont="1"/>
    <xf numFmtId="0" fontId="6" fillId="0" borderId="0" xfId="0" applyFont="1"/>
    <xf numFmtId="0" fontId="18" fillId="0" borderId="0" xfId="0" applyFont="1"/>
    <xf numFmtId="0" fontId="13" fillId="0" borderId="0" xfId="0" applyFont="1"/>
    <xf numFmtId="0" fontId="6" fillId="3" borderId="1" xfId="0" applyFont="1" applyFill="1" applyBorder="1"/>
    <xf numFmtId="0" fontId="14" fillId="0" borderId="0" xfId="0" applyFont="1"/>
    <xf numFmtId="0" fontId="7" fillId="2" borderId="2" xfId="0" applyFont="1" applyFill="1" applyBorder="1" applyAlignment="1">
      <alignment horizontal="center" vertical="center" wrapText="1"/>
    </xf>
    <xf numFmtId="0" fontId="12" fillId="2" borderId="2" xfId="0" applyFont="1" applyFill="1" applyBorder="1" applyAlignment="1">
      <alignment horizontal="center" vertical="center" wrapText="1"/>
    </xf>
    <xf numFmtId="0" fontId="16" fillId="0" borderId="0" xfId="0" applyFont="1"/>
    <xf numFmtId="0" fontId="4" fillId="0" borderId="0" xfId="0" applyFont="1"/>
    <xf numFmtId="0" fontId="5" fillId="0" borderId="0" xfId="0" applyFont="1"/>
    <xf numFmtId="0" fontId="0" fillId="3" borderId="1" xfId="0" applyFill="1" applyBorder="1"/>
    <xf numFmtId="2" fontId="0" fillId="0" borderId="0" xfId="0" applyNumberFormat="1"/>
    <xf numFmtId="0" fontId="2" fillId="0" borderId="0" xfId="0" applyFont="1"/>
    <xf numFmtId="2" fontId="2" fillId="0" borderId="0" xfId="0" applyNumberFormat="1" applyFont="1"/>
    <xf numFmtId="0" fontId="2" fillId="2" borderId="2" xfId="0" applyFont="1" applyFill="1" applyBorder="1"/>
    <xf numFmtId="0" fontId="1" fillId="2" borderId="0" xfId="0" applyFont="1" applyFill="1"/>
    <xf numFmtId="0" fontId="2" fillId="2" borderId="0" xfId="0" applyFont="1" applyFill="1"/>
    <xf numFmtId="0" fontId="3" fillId="0" borderId="0" xfId="0" applyFont="1" applyAlignment="1">
      <alignment vertical="top" wrapText="1"/>
    </xf>
    <xf numFmtId="0" fontId="20" fillId="0" borderId="0" xfId="0" applyFont="1"/>
    <xf numFmtId="0" fontId="21" fillId="0" borderId="0" xfId="0" applyFont="1"/>
    <xf numFmtId="0" fontId="22" fillId="3" borderId="1" xfId="0" applyFont="1" applyFill="1" applyBorder="1"/>
    <xf numFmtId="0" fontId="1" fillId="0" borderId="0" xfId="0" applyFont="1" applyAlignment="1">
      <alignment vertical="top"/>
    </xf>
    <xf numFmtId="0" fontId="23" fillId="0" borderId="0" xfId="0" applyFont="1"/>
    <xf numFmtId="0" fontId="23" fillId="0" borderId="0" xfId="0" applyFont="1" applyAlignment="1">
      <alignment vertical="top"/>
    </xf>
    <xf numFmtId="0" fontId="7" fillId="2" borderId="2" xfId="0" applyFont="1" applyFill="1" applyBorder="1"/>
    <xf numFmtId="0" fontId="5" fillId="0" borderId="2" xfId="0" applyFont="1" applyBorder="1"/>
    <xf numFmtId="0" fontId="5" fillId="0" borderId="0" xfId="0" applyFont="1" applyAlignment="1">
      <alignment horizontal="left" vertical="center"/>
    </xf>
    <xf numFmtId="0" fontId="6" fillId="3" borderId="1" xfId="0" applyFont="1" applyFill="1" applyBorder="1" applyAlignment="1">
      <alignment horizontal="center"/>
    </xf>
    <xf numFmtId="0" fontId="7" fillId="5" borderId="2" xfId="0" applyFont="1" applyFill="1" applyBorder="1"/>
    <xf numFmtId="0" fontId="6" fillId="4" borderId="2" xfId="0" applyFont="1" applyFill="1" applyBorder="1" applyAlignment="1">
      <alignment horizontal="center"/>
    </xf>
    <xf numFmtId="0" fontId="19" fillId="0" borderId="0" xfId="0" applyFont="1"/>
    <xf numFmtId="0" fontId="1" fillId="0" borderId="0" xfId="0" applyFont="1"/>
    <xf numFmtId="0" fontId="8" fillId="0" borderId="0" xfId="0" applyFont="1"/>
    <xf numFmtId="0" fontId="9" fillId="0" borderId="0" xfId="0" applyFont="1"/>
    <xf numFmtId="0" fontId="7" fillId="4" borderId="2" xfId="0" applyFont="1" applyFill="1" applyBorder="1" applyAlignment="1">
      <alignment horizontal="center" vertical="center" wrapText="1"/>
    </xf>
    <xf numFmtId="0" fontId="5" fillId="3" borderId="1" xfId="0" applyFont="1" applyFill="1" applyBorder="1"/>
    <xf numFmtId="2" fontId="5" fillId="3" borderId="1" xfId="0" applyNumberFormat="1" applyFont="1" applyFill="1" applyBorder="1"/>
    <xf numFmtId="2" fontId="5" fillId="0" borderId="0" xfId="0" applyNumberFormat="1" applyFont="1"/>
    <xf numFmtId="165" fontId="5" fillId="0" borderId="0" xfId="0" applyNumberFormat="1" applyFont="1"/>
    <xf numFmtId="0" fontId="0" fillId="3" borderId="0" xfId="0" applyFill="1"/>
    <xf numFmtId="0" fontId="12" fillId="0" borderId="2" xfId="0" applyFont="1" applyBorder="1" applyAlignment="1">
      <alignment horizontal="center" vertical="center" wrapText="1"/>
    </xf>
    <xf numFmtId="2" fontId="12" fillId="0" borderId="2" xfId="0" applyNumberFormat="1" applyFont="1" applyBorder="1" applyAlignment="1">
      <alignment horizontal="center" vertical="center"/>
    </xf>
    <xf numFmtId="9" fontId="12" fillId="0" borderId="2" xfId="0" applyNumberFormat="1" applyFont="1" applyBorder="1" applyAlignment="1">
      <alignment horizontal="center" vertical="center"/>
    </xf>
    <xf numFmtId="165" fontId="12" fillId="0" borderId="2" xfId="0" applyNumberFormat="1" applyFont="1" applyBorder="1" applyAlignment="1">
      <alignment horizontal="center" vertical="center"/>
    </xf>
    <xf numFmtId="0" fontId="12" fillId="0" borderId="2" xfId="0" applyFont="1" applyBorder="1" applyAlignment="1">
      <alignment horizontal="center" vertical="center"/>
    </xf>
    <xf numFmtId="0" fontId="12" fillId="0" borderId="2" xfId="0" applyFont="1" applyBorder="1" applyAlignment="1">
      <alignment horizontal="right" vertical="center"/>
    </xf>
    <xf numFmtId="0" fontId="1" fillId="4" borderId="0" xfId="0" applyFont="1" applyFill="1"/>
    <xf numFmtId="0" fontId="12" fillId="2" borderId="2" xfId="0" applyFont="1" applyFill="1" applyBorder="1" applyAlignment="1">
      <alignment horizontal="center" vertical="center" wrapText="1"/>
    </xf>
    <xf numFmtId="0" fontId="0" fillId="0" borderId="20" xfId="0" applyBorder="1"/>
    <xf numFmtId="0" fontId="0" fillId="0" borderId="6" xfId="0" applyBorder="1"/>
    <xf numFmtId="0" fontId="15" fillId="0" borderId="7" xfId="0" applyFont="1" applyBorder="1" applyAlignment="1">
      <alignment horizontal="center" vertical="center" wrapText="1"/>
    </xf>
    <xf numFmtId="0" fontId="0" fillId="0" borderId="8" xfId="0" applyBorder="1"/>
    <xf numFmtId="0" fontId="0" fillId="0" borderId="10" xfId="0" applyBorder="1"/>
    <xf numFmtId="0" fontId="0" fillId="0" borderId="9" xfId="0" applyBorder="1"/>
    <xf numFmtId="0" fontId="0" fillId="0" borderId="0" xfId="0"/>
    <xf numFmtId="0" fontId="0" fillId="0" borderId="11" xfId="0" applyBorder="1"/>
    <xf numFmtId="0" fontId="0" fillId="0" borderId="12" xfId="0" applyBorder="1"/>
    <xf numFmtId="0" fontId="0" fillId="0" borderId="13" xfId="0" applyBorder="1"/>
    <xf numFmtId="0" fontId="0" fillId="0" borderId="14" xfId="0" applyBorder="1"/>
    <xf numFmtId="0" fontId="0" fillId="0" borderId="5" xfId="0" applyBorder="1"/>
    <xf numFmtId="0" fontId="6" fillId="0" borderId="0" xfId="0" applyFont="1" applyAlignment="1">
      <alignment vertical="top" wrapText="1"/>
    </xf>
    <xf numFmtId="0" fontId="5" fillId="0" borderId="0" xfId="0" applyFont="1" applyAlignment="1">
      <alignment vertical="top" wrapText="1"/>
    </xf>
    <xf numFmtId="2" fontId="1" fillId="0" borderId="2" xfId="0" applyNumberFormat="1" applyFont="1" applyBorder="1"/>
    <xf numFmtId="164" fontId="1" fillId="0" borderId="2" xfId="0" applyNumberFormat="1" applyFont="1" applyBorder="1"/>
    <xf numFmtId="0" fontId="1" fillId="0" borderId="2" xfId="0" applyFont="1" applyBorder="1"/>
    <xf numFmtId="0" fontId="11" fillId="2" borderId="2" xfId="0" applyFont="1" applyFill="1" applyBorder="1" applyAlignment="1">
      <alignment horizontal="center" vertical="center"/>
    </xf>
    <xf numFmtId="2" fontId="12" fillId="0" borderId="2" xfId="0" applyNumberFormat="1" applyFont="1" applyBorder="1" applyAlignment="1">
      <alignment horizontal="center" vertical="center"/>
    </xf>
    <xf numFmtId="0" fontId="12" fillId="0" borderId="2" xfId="0" applyFont="1" applyBorder="1" applyAlignment="1">
      <alignment horizontal="center" vertical="center"/>
    </xf>
    <xf numFmtId="0" fontId="12" fillId="0" borderId="2" xfId="0" applyFont="1" applyBorder="1" applyAlignment="1">
      <alignment horizontal="center" vertical="center" wrapText="1"/>
    </xf>
    <xf numFmtId="0" fontId="0" fillId="0" borderId="3" xfId="0" applyBorder="1"/>
    <xf numFmtId="0" fontId="0" fillId="0" borderId="4" xfId="0" applyBorder="1"/>
    <xf numFmtId="0" fontId="0" fillId="0" borderId="17" xfId="0" applyBorder="1"/>
    <xf numFmtId="0" fontId="0" fillId="0" borderId="18" xfId="0" applyBorder="1"/>
    <xf numFmtId="0" fontId="0" fillId="0" borderId="19" xfId="0" applyBorder="1"/>
    <xf numFmtId="0" fontId="11" fillId="0" borderId="7" xfId="0" applyFont="1" applyBorder="1" applyAlignment="1">
      <alignment horizontal="center" vertical="center" wrapText="1"/>
    </xf>
    <xf numFmtId="0" fontId="0" fillId="0" borderId="15" xfId="0" applyBorder="1"/>
    <xf numFmtId="0" fontId="0" fillId="0" borderId="16" xfId="0" applyBorder="1"/>
    <xf numFmtId="2" fontId="12" fillId="2" borderId="2" xfId="0" applyNumberFormat="1" applyFont="1" applyFill="1" applyBorder="1" applyAlignment="1">
      <alignment horizontal="center" vertical="center" wrapText="1"/>
    </xf>
    <xf numFmtId="0" fontId="10" fillId="0" borderId="7" xfId="0" applyFont="1" applyBorder="1" applyAlignment="1">
      <alignment horizontal="center" vertical="center"/>
    </xf>
    <xf numFmtId="0" fontId="5" fillId="0" borderId="0" xfId="0" applyFont="1" applyAlignment="1">
      <alignment horizontal="left" vertical="top" wrapText="1"/>
    </xf>
  </cellXfs>
  <cellStyles count="1">
    <cellStyle name="Normal" xfId="0" builtinId="0"/>
  </cellStyles>
  <dxfs count="9">
    <dxf>
      <fill>
        <patternFill patternType="solid">
          <fgColor rgb="FFD9D9D9"/>
        </patternFill>
      </fill>
    </dxf>
    <dxf>
      <fill>
        <patternFill patternType="solid">
          <fgColor rgb="FFD9D9D9"/>
        </patternFill>
      </fill>
    </dxf>
    <dxf>
      <fill>
        <patternFill patternType="solid">
          <fgColor rgb="FFD9D9D9"/>
        </patternFill>
      </fill>
    </dxf>
    <dxf>
      <fill>
        <patternFill patternType="solid">
          <fgColor rgb="FFD9D9D9"/>
        </patternFill>
      </fill>
    </dxf>
    <dxf>
      <font>
        <i/>
        <color rgb="FF808080"/>
      </font>
    </dxf>
    <dxf>
      <font>
        <i/>
        <color rgb="FF808080"/>
      </font>
    </dxf>
    <dxf>
      <font>
        <i/>
        <color rgb="FF808080"/>
      </font>
    </dxf>
    <dxf>
      <font>
        <i/>
        <color rgb="FF808080"/>
      </font>
    </dxf>
    <dxf>
      <font>
        <i/>
        <color rgb="FF80808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 Type="http://schemas.openxmlformats.org/officeDocument/2006/relationships/image" Target="../media/image3.png"/><Relationship Id="rId16" Type="http://schemas.openxmlformats.org/officeDocument/2006/relationships/image" Target="../media/image17.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16</xdr:row>
      <xdr:rowOff>0</xdr:rowOff>
    </xdr:from>
    <xdr:to>
      <xdr:col>1</xdr:col>
      <xdr:colOff>2603500</xdr:colOff>
      <xdr:row>18</xdr:row>
      <xdr:rowOff>69850</xdr:rowOff>
    </xdr:to>
    <xdr:sp macro="NuevoTablero" textlink="">
      <xdr:nvSpPr>
        <xdr:cNvPr id="2" name="Rectangle: Rounded Corners 1">
          <a:extLst>
            <a:ext uri="{FF2B5EF4-FFF2-40B4-BE49-F238E27FC236}">
              <a16:creationId xmlns:a16="http://schemas.microsoft.com/office/drawing/2014/main" id="{A2143169-0C16-492D-CA4D-285D8F5414AF}"/>
            </a:ext>
          </a:extLst>
        </xdr:cNvPr>
        <xdr:cNvSpPr/>
      </xdr:nvSpPr>
      <xdr:spPr>
        <a:xfrm>
          <a:off x="6477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Nuevo tablero</a:t>
          </a:r>
        </a:p>
      </xdr:txBody>
    </xdr:sp>
    <xdr:clientData fPrintsWithSheet="0"/>
  </xdr:twoCellAnchor>
  <xdr:twoCellAnchor editAs="absolute">
    <xdr:from>
      <xdr:col>1</xdr:col>
      <xdr:colOff>2730500</xdr:colOff>
      <xdr:row>16</xdr:row>
      <xdr:rowOff>0</xdr:rowOff>
    </xdr:from>
    <xdr:to>
      <xdr:col>1</xdr:col>
      <xdr:colOff>5334000</xdr:colOff>
      <xdr:row>18</xdr:row>
      <xdr:rowOff>69850</xdr:rowOff>
    </xdr:to>
    <xdr:sp macro="CrearVarios" textlink="">
      <xdr:nvSpPr>
        <xdr:cNvPr id="3" name="Rectangle: Rounded Corners 2">
          <a:extLst>
            <a:ext uri="{FF2B5EF4-FFF2-40B4-BE49-F238E27FC236}">
              <a16:creationId xmlns:a16="http://schemas.microsoft.com/office/drawing/2014/main" id="{E9D52A14-FD50-752A-5593-2C57A30C1768}"/>
            </a:ext>
          </a:extLst>
        </xdr:cNvPr>
        <xdr:cNvSpPr/>
      </xdr:nvSpPr>
      <xdr:spPr>
        <a:xfrm>
          <a:off x="33782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Crear varios tableros</a:t>
          </a:r>
        </a:p>
      </xdr:txBody>
    </xdr:sp>
    <xdr:clientData fPrintsWithSheet="0"/>
  </xdr:twoCellAnchor>
  <xdr:twoCellAnchor editAs="absolute">
    <xdr:from>
      <xdr:col>1</xdr:col>
      <xdr:colOff>5461000</xdr:colOff>
      <xdr:row>16</xdr:row>
      <xdr:rowOff>0</xdr:rowOff>
    </xdr:from>
    <xdr:to>
      <xdr:col>1</xdr:col>
      <xdr:colOff>8064500</xdr:colOff>
      <xdr:row>18</xdr:row>
      <xdr:rowOff>69850</xdr:rowOff>
    </xdr:to>
    <xdr:sp macro="NuevoDerivado" textlink="">
      <xdr:nvSpPr>
        <xdr:cNvPr id="4" name="Rectangle: Rounded Corners 3">
          <a:extLst>
            <a:ext uri="{FF2B5EF4-FFF2-40B4-BE49-F238E27FC236}">
              <a16:creationId xmlns:a16="http://schemas.microsoft.com/office/drawing/2014/main" id="{4C282897-251C-3E0A-028D-DB0B543BE1C0}"/>
            </a:ext>
          </a:extLst>
        </xdr:cNvPr>
        <xdr:cNvSpPr/>
      </xdr:nvSpPr>
      <xdr:spPr>
        <a:xfrm>
          <a:off x="61087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Tablero derivado del activo</a:t>
          </a:r>
        </a:p>
      </xdr:txBody>
    </xdr:sp>
    <xdr:clientData fPrintsWithSheet="0"/>
  </xdr:twoCellAnchor>
  <xdr:twoCellAnchor editAs="absolute">
    <xdr:from>
      <xdr:col>1</xdr:col>
      <xdr:colOff>8191500</xdr:colOff>
      <xdr:row>16</xdr:row>
      <xdr:rowOff>0</xdr:rowOff>
    </xdr:from>
    <xdr:to>
      <xdr:col>3</xdr:col>
      <xdr:colOff>146050</xdr:colOff>
      <xdr:row>18</xdr:row>
      <xdr:rowOff>69850</xdr:rowOff>
    </xdr:to>
    <xdr:sp macro="DuplicarTablero" textlink="">
      <xdr:nvSpPr>
        <xdr:cNvPr id="5" name="Rectangle: Rounded Corners 4">
          <a:extLst>
            <a:ext uri="{FF2B5EF4-FFF2-40B4-BE49-F238E27FC236}">
              <a16:creationId xmlns:a16="http://schemas.microsoft.com/office/drawing/2014/main" id="{563CB2AC-B6DD-FFFF-5CE1-872B59DF37FB}"/>
            </a:ext>
          </a:extLst>
        </xdr:cNvPr>
        <xdr:cNvSpPr/>
      </xdr:nvSpPr>
      <xdr:spPr>
        <a:xfrm>
          <a:off x="88392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tablero activo</a:t>
          </a:r>
        </a:p>
      </xdr:txBody>
    </xdr:sp>
    <xdr:clientData fPrintsWithSheet="0"/>
  </xdr:twoCellAnchor>
  <xdr:twoCellAnchor editAs="absolute">
    <xdr:from>
      <xdr:col>1</xdr:col>
      <xdr:colOff>0</xdr:colOff>
      <xdr:row>18</xdr:row>
      <xdr:rowOff>171450</xdr:rowOff>
    </xdr:from>
    <xdr:to>
      <xdr:col>1</xdr:col>
      <xdr:colOff>2603500</xdr:colOff>
      <xdr:row>21</xdr:row>
      <xdr:rowOff>60325</xdr:rowOff>
    </xdr:to>
    <xdr:sp macro="DuplicarCircuito" textlink="">
      <xdr:nvSpPr>
        <xdr:cNvPr id="6" name="Rectangle: Rounded Corners 5">
          <a:extLst>
            <a:ext uri="{FF2B5EF4-FFF2-40B4-BE49-F238E27FC236}">
              <a16:creationId xmlns:a16="http://schemas.microsoft.com/office/drawing/2014/main" id="{0EE8AB0E-662E-765A-2024-C9CC1012F469}"/>
            </a:ext>
          </a:extLst>
        </xdr:cNvPr>
        <xdr:cNvSpPr/>
      </xdr:nvSpPr>
      <xdr:spPr>
        <a:xfrm>
          <a:off x="647700" y="36385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circuito (fila activa)</a:t>
          </a:r>
        </a:p>
      </xdr:txBody>
    </xdr:sp>
    <xdr:clientData fPrintsWithSheet="0"/>
  </xdr:twoCellAnchor>
  <xdr:twoCellAnchor editAs="absolute">
    <xdr:from>
      <xdr:col>1</xdr:col>
      <xdr:colOff>2730500</xdr:colOff>
      <xdr:row>18</xdr:row>
      <xdr:rowOff>171450</xdr:rowOff>
    </xdr:from>
    <xdr:to>
      <xdr:col>1</xdr:col>
      <xdr:colOff>5334000</xdr:colOff>
      <xdr:row>21</xdr:row>
      <xdr:rowOff>60325</xdr:rowOff>
    </xdr:to>
    <xdr:sp macro="MoverCircuito" textlink="">
      <xdr:nvSpPr>
        <xdr:cNvPr id="7" name="Rectangle: Rounded Corners 6">
          <a:extLst>
            <a:ext uri="{FF2B5EF4-FFF2-40B4-BE49-F238E27FC236}">
              <a16:creationId xmlns:a16="http://schemas.microsoft.com/office/drawing/2014/main" id="{DA6E1628-4CDE-E28B-9820-615907A467D0}"/>
            </a:ext>
          </a:extLst>
        </xdr:cNvPr>
        <xdr:cNvSpPr/>
      </xdr:nvSpPr>
      <xdr:spPr>
        <a:xfrm>
          <a:off x="3378200" y="36385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Mover circuito (fila activa)</a:t>
          </a:r>
        </a:p>
      </xdr:txBody>
    </xdr:sp>
    <xdr:clientData fPrintsWithSheet="0"/>
  </xdr:twoCellAnchor>
  <xdr:twoCellAnchor editAs="absolute">
    <xdr:from>
      <xdr:col>1</xdr:col>
      <xdr:colOff>5461000</xdr:colOff>
      <xdr:row>18</xdr:row>
      <xdr:rowOff>171450</xdr:rowOff>
    </xdr:from>
    <xdr:to>
      <xdr:col>1</xdr:col>
      <xdr:colOff>8064500</xdr:colOff>
      <xdr:row>21</xdr:row>
      <xdr:rowOff>60325</xdr:rowOff>
    </xdr:to>
    <xdr:sp macro="ActualizarProyecto" textlink="">
      <xdr:nvSpPr>
        <xdr:cNvPr id="8" name="Rectangle: Rounded Corners 7">
          <a:extLst>
            <a:ext uri="{FF2B5EF4-FFF2-40B4-BE49-F238E27FC236}">
              <a16:creationId xmlns:a16="http://schemas.microsoft.com/office/drawing/2014/main" id="{D280146C-CE3A-51D3-7412-9C784729D918}"/>
            </a:ext>
          </a:extLst>
        </xdr:cNvPr>
        <xdr:cNvSpPr/>
      </xdr:nvSpPr>
      <xdr:spPr>
        <a:xfrm>
          <a:off x="6108700" y="36385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proyecto y tablas</a:t>
          </a:r>
        </a:p>
      </xdr:txBody>
    </xdr:sp>
    <xdr:clientData fPrintsWithSheet="0"/>
  </xdr:twoCellAnchor>
  <xdr:twoCellAnchor editAs="absolute">
    <xdr:from>
      <xdr:col>1</xdr:col>
      <xdr:colOff>8191500</xdr:colOff>
      <xdr:row>18</xdr:row>
      <xdr:rowOff>171450</xdr:rowOff>
    </xdr:from>
    <xdr:to>
      <xdr:col>3</xdr:col>
      <xdr:colOff>146050</xdr:colOff>
      <xdr:row>21</xdr:row>
      <xdr:rowOff>60325</xdr:rowOff>
    </xdr:to>
    <xdr:sp macro="ImportarArchivoRevit" textlink="">
      <xdr:nvSpPr>
        <xdr:cNvPr id="9" name="Rectangle: Rounded Corners 8">
          <a:extLst>
            <a:ext uri="{FF2B5EF4-FFF2-40B4-BE49-F238E27FC236}">
              <a16:creationId xmlns:a16="http://schemas.microsoft.com/office/drawing/2014/main" id="{E1A7F44F-A04A-5344-C2DE-F31024D476E6}"/>
            </a:ext>
          </a:extLst>
        </xdr:cNvPr>
        <xdr:cNvSpPr/>
      </xdr:nvSpPr>
      <xdr:spPr>
        <a:xfrm>
          <a:off x="8839200" y="36385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 actualizar desde Revit (archivo)</a:t>
          </a:r>
        </a:p>
      </xdr:txBody>
    </xdr:sp>
    <xdr:clientData fPrintsWithSheet="0"/>
  </xdr:twoCellAnchor>
  <xdr:twoCellAnchor editAs="absolute">
    <xdr:from>
      <xdr:col>1</xdr:col>
      <xdr:colOff>0</xdr:colOff>
      <xdr:row>21</xdr:row>
      <xdr:rowOff>161925</xdr:rowOff>
    </xdr:from>
    <xdr:to>
      <xdr:col>1</xdr:col>
      <xdr:colOff>2603500</xdr:colOff>
      <xdr:row>24</xdr:row>
      <xdr:rowOff>50800</xdr:rowOff>
    </xdr:to>
    <xdr:sp macro="ImportarPegado" textlink="">
      <xdr:nvSpPr>
        <xdr:cNvPr id="10" name="Rectangle: Rounded Corners 9">
          <a:extLst>
            <a:ext uri="{FF2B5EF4-FFF2-40B4-BE49-F238E27FC236}">
              <a16:creationId xmlns:a16="http://schemas.microsoft.com/office/drawing/2014/main" id="{C8C55091-308F-5A60-93BE-62D7307BFA72}"/>
            </a:ext>
          </a:extLst>
        </xdr:cNvPr>
        <xdr:cNvSpPr/>
      </xdr:nvSpPr>
      <xdr:spPr>
        <a:xfrm>
          <a:off x="6477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lo pegado en REVIT</a:t>
          </a:r>
        </a:p>
      </xdr:txBody>
    </xdr:sp>
    <xdr:clientData fPrintsWithSheet="0"/>
  </xdr:twoCellAnchor>
  <xdr:twoCellAnchor editAs="absolute">
    <xdr:from>
      <xdr:col>1</xdr:col>
      <xdr:colOff>2730500</xdr:colOff>
      <xdr:row>21</xdr:row>
      <xdr:rowOff>161925</xdr:rowOff>
    </xdr:from>
    <xdr:to>
      <xdr:col>1</xdr:col>
      <xdr:colOff>5334000</xdr:colOff>
      <xdr:row>24</xdr:row>
      <xdr:rowOff>50800</xdr:rowOff>
    </xdr:to>
    <xdr:sp macro="Autobalancear" textlink="">
      <xdr:nvSpPr>
        <xdr:cNvPr id="11" name="Rectangle: Rounded Corners 10">
          <a:extLst>
            <a:ext uri="{FF2B5EF4-FFF2-40B4-BE49-F238E27FC236}">
              <a16:creationId xmlns:a16="http://schemas.microsoft.com/office/drawing/2014/main" id="{F96B3CCF-14E2-FB66-C57C-91BB7BF5A3B5}"/>
            </a:ext>
          </a:extLst>
        </xdr:cNvPr>
        <xdr:cNvSpPr/>
      </xdr:nvSpPr>
      <xdr:spPr>
        <a:xfrm>
          <a:off x="33782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Autobalancear tablero activo</a:t>
          </a:r>
        </a:p>
      </xdr:txBody>
    </xdr:sp>
    <xdr:clientData fPrintsWithSheet="0"/>
  </xdr:twoCellAnchor>
  <xdr:twoCellAnchor editAs="absolute">
    <xdr:from>
      <xdr:col>1</xdr:col>
      <xdr:colOff>5461000</xdr:colOff>
      <xdr:row>21</xdr:row>
      <xdr:rowOff>161925</xdr:rowOff>
    </xdr:from>
    <xdr:to>
      <xdr:col>1</xdr:col>
      <xdr:colOff>8064500</xdr:colOff>
      <xdr:row>24</xdr:row>
      <xdr:rowOff>50800</xdr:rowOff>
    </xdr:to>
    <xdr:sp macro="AutobalancearTodos" textlink="">
      <xdr:nvSpPr>
        <xdr:cNvPr id="12" name="Rectangle: Rounded Corners 11">
          <a:extLst>
            <a:ext uri="{FF2B5EF4-FFF2-40B4-BE49-F238E27FC236}">
              <a16:creationId xmlns:a16="http://schemas.microsoft.com/office/drawing/2014/main" id="{60D3D6D5-5C0A-816D-95BB-18C518E7B3D3}"/>
            </a:ext>
          </a:extLst>
        </xdr:cNvPr>
        <xdr:cNvSpPr/>
      </xdr:nvSpPr>
      <xdr:spPr>
        <a:xfrm>
          <a:off x="61087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Autobalancear todos</a:t>
          </a:r>
        </a:p>
      </xdr:txBody>
    </xdr:sp>
    <xdr:clientData fPrintsWithSheet="0"/>
  </xdr:twoCellAnchor>
  <xdr:twoCellAnchor editAs="absolute">
    <xdr:from>
      <xdr:col>1</xdr:col>
      <xdr:colOff>8191500</xdr:colOff>
      <xdr:row>21</xdr:row>
      <xdr:rowOff>161925</xdr:rowOff>
    </xdr:from>
    <xdr:to>
      <xdr:col>3</xdr:col>
      <xdr:colOff>146050</xdr:colOff>
      <xdr:row>24</xdr:row>
      <xdr:rowOff>50800</xdr:rowOff>
    </xdr:to>
    <xdr:sp macro="GenerarPrevista" textlink="">
      <xdr:nvSpPr>
        <xdr:cNvPr id="13" name="Rectangle: Rounded Corners 12">
          <a:extLst>
            <a:ext uri="{FF2B5EF4-FFF2-40B4-BE49-F238E27FC236}">
              <a16:creationId xmlns:a16="http://schemas.microsoft.com/office/drawing/2014/main" id="{1FDC7F1F-22DE-D862-6BAA-F9425FA0D92C}"/>
            </a:ext>
          </a:extLst>
        </xdr:cNvPr>
        <xdr:cNvSpPr/>
      </xdr:nvSpPr>
      <xdr:spPr>
        <a:xfrm>
          <a:off x="88392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Generar circuitos de prevista</a:t>
          </a:r>
        </a:p>
      </xdr:txBody>
    </xdr:sp>
    <xdr:clientData fPrintsWithSheet="0"/>
  </xdr:twoCellAnchor>
  <xdr:twoCellAnchor editAs="absolute">
    <xdr:from>
      <xdr:col>1</xdr:col>
      <xdr:colOff>0</xdr:colOff>
      <xdr:row>24</xdr:row>
      <xdr:rowOff>152400</xdr:rowOff>
    </xdr:from>
    <xdr:to>
      <xdr:col>1</xdr:col>
      <xdr:colOff>2603500</xdr:colOff>
      <xdr:row>27</xdr:row>
      <xdr:rowOff>41275</xdr:rowOff>
    </xdr:to>
    <xdr:sp macro="ExportarPDF" textlink="">
      <xdr:nvSpPr>
        <xdr:cNvPr id="14" name="Rectangle: Rounded Corners 13">
          <a:extLst>
            <a:ext uri="{FF2B5EF4-FFF2-40B4-BE49-F238E27FC236}">
              <a16:creationId xmlns:a16="http://schemas.microsoft.com/office/drawing/2014/main" id="{92DD6ABB-3095-10D6-BFA3-F22B38EEA726}"/>
            </a:ext>
          </a:extLst>
        </xdr:cNvPr>
        <xdr:cNvSpPr/>
      </xdr:nvSpPr>
      <xdr:spPr>
        <a:xfrm>
          <a:off x="6477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PDF (cuadros, resumen y memorias)</a:t>
          </a:r>
        </a:p>
      </xdr:txBody>
    </xdr:sp>
    <xdr:clientData fPrintsWithSheet="0"/>
  </xdr:twoCellAnchor>
  <xdr:twoCellAnchor editAs="absolute">
    <xdr:from>
      <xdr:col>1</xdr:col>
      <xdr:colOff>2730500</xdr:colOff>
      <xdr:row>24</xdr:row>
      <xdr:rowOff>152400</xdr:rowOff>
    </xdr:from>
    <xdr:to>
      <xdr:col>1</xdr:col>
      <xdr:colOff>5334000</xdr:colOff>
      <xdr:row>27</xdr:row>
      <xdr:rowOff>41275</xdr:rowOff>
    </xdr:to>
    <xdr:sp macro="ExportarDXF" textlink="">
      <xdr:nvSpPr>
        <xdr:cNvPr id="15" name="Rectangle: Rounded Corners 14">
          <a:extLst>
            <a:ext uri="{FF2B5EF4-FFF2-40B4-BE49-F238E27FC236}">
              <a16:creationId xmlns:a16="http://schemas.microsoft.com/office/drawing/2014/main" id="{07E42D50-EDB9-A7F6-6CBA-671E777F2462}"/>
            </a:ext>
          </a:extLst>
        </xdr:cNvPr>
        <xdr:cNvSpPr/>
      </xdr:nvSpPr>
      <xdr:spPr>
        <a:xfrm>
          <a:off x="33782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unifilar DXF</a:t>
          </a:r>
        </a:p>
      </xdr:txBody>
    </xdr:sp>
    <xdr:clientData fPrintsWithSheet="0"/>
  </xdr:twoCellAnchor>
  <xdr:twoCellAnchor editAs="absolute">
    <xdr:from>
      <xdr:col>1</xdr:col>
      <xdr:colOff>5461000</xdr:colOff>
      <xdr:row>24</xdr:row>
      <xdr:rowOff>152400</xdr:rowOff>
    </xdr:from>
    <xdr:to>
      <xdr:col>1</xdr:col>
      <xdr:colOff>8064500</xdr:colOff>
      <xdr:row>27</xdr:row>
      <xdr:rowOff>41275</xdr:rowOff>
    </xdr:to>
    <xdr:sp macro="ExportarTablasRevit" textlink="">
      <xdr:nvSpPr>
        <xdr:cNvPr id="16" name="Rectangle: Rounded Corners 15">
          <a:extLst>
            <a:ext uri="{FF2B5EF4-FFF2-40B4-BE49-F238E27FC236}">
              <a16:creationId xmlns:a16="http://schemas.microsoft.com/office/drawing/2014/main" id="{EA3D1D6C-3D35-868F-8FB9-BF7DBACF1E25}"/>
            </a:ext>
          </a:extLst>
        </xdr:cNvPr>
        <xdr:cNvSpPr/>
      </xdr:nvSpPr>
      <xdr:spPr>
        <a:xfrm>
          <a:off x="61087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tablas para Revit (.xlsx)</a:t>
          </a:r>
        </a:p>
      </xdr:txBody>
    </xdr:sp>
    <xdr:clientData fPrintsWithSheet="0"/>
  </xdr:twoCellAnchor>
  <xdr:twoCellAnchor editAs="absolute">
    <xdr:from>
      <xdr:col>1</xdr:col>
      <xdr:colOff>8191500</xdr:colOff>
      <xdr:row>24</xdr:row>
      <xdr:rowOff>152400</xdr:rowOff>
    </xdr:from>
    <xdr:to>
      <xdr:col>3</xdr:col>
      <xdr:colOff>146050</xdr:colOff>
      <xdr:row>27</xdr:row>
      <xdr:rowOff>41275</xdr:rowOff>
    </xdr:to>
    <xdr:sp macro="SoloTablaResumen" textlink="">
      <xdr:nvSpPr>
        <xdr:cNvPr id="17" name="Rectangle: Rounded Corners 16">
          <a:extLst>
            <a:ext uri="{FF2B5EF4-FFF2-40B4-BE49-F238E27FC236}">
              <a16:creationId xmlns:a16="http://schemas.microsoft.com/office/drawing/2014/main" id="{E4C37F13-A4EB-4C95-69E7-6F29B41A84B1}"/>
            </a:ext>
          </a:extLst>
        </xdr:cNvPr>
        <xdr:cNvSpPr/>
      </xdr:nvSpPr>
      <xdr:spPr>
        <a:xfrm>
          <a:off x="88392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Solo tabla resumen (sí/no)</a:t>
          </a:r>
        </a:p>
      </xdr:txBody>
    </xdr:sp>
    <xdr:clientData fPrintsWithSheet="0"/>
  </xdr:twoCellAnchor>
  <xdr:twoCellAnchor editAs="absolute">
    <xdr:from>
      <xdr:col>1</xdr:col>
      <xdr:colOff>0</xdr:colOff>
      <xdr:row>27</xdr:row>
      <xdr:rowOff>142875</xdr:rowOff>
    </xdr:from>
    <xdr:to>
      <xdr:col>1</xdr:col>
      <xdr:colOff>2603500</xdr:colOff>
      <xdr:row>30</xdr:row>
      <xdr:rowOff>31750</xdr:rowOff>
    </xdr:to>
    <xdr:sp macro="EliminarTablero" textlink="">
      <xdr:nvSpPr>
        <xdr:cNvPr id="18" name="Rectangle: Rounded Corners 17">
          <a:extLst>
            <a:ext uri="{FF2B5EF4-FFF2-40B4-BE49-F238E27FC236}">
              <a16:creationId xmlns:a16="http://schemas.microsoft.com/office/drawing/2014/main" id="{4FB9D5EA-18FF-3D2C-64FF-25787DC037A3}"/>
            </a:ext>
          </a:extLst>
        </xdr:cNvPr>
        <xdr:cNvSpPr/>
      </xdr:nvSpPr>
      <xdr:spPr>
        <a:xfrm>
          <a:off x="647700" y="5238750"/>
          <a:ext cx="2603500" cy="431800"/>
        </a:xfrm>
        <a:prstGeom prst="roundRect">
          <a:avLst/>
        </a:prstGeom>
        <a:solidFill>
          <a:srgbClr val="B02B2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Eliminar tablero activo</a:t>
          </a:r>
        </a:p>
      </xdr:txBody>
    </xdr:sp>
    <xdr:clientData fPrintsWithSheet="0"/>
  </xdr:twoCellAnchor>
  <xdr:twoCellAnchor editAs="absolute">
    <xdr:from>
      <xdr:col>1</xdr:col>
      <xdr:colOff>2730500</xdr:colOff>
      <xdr:row>27</xdr:row>
      <xdr:rowOff>142875</xdr:rowOff>
    </xdr:from>
    <xdr:to>
      <xdr:col>1</xdr:col>
      <xdr:colOff>5334000</xdr:colOff>
      <xdr:row>30</xdr:row>
      <xdr:rowOff>31750</xdr:rowOff>
    </xdr:to>
    <xdr:sp macro="ModoAdministrador" textlink="">
      <xdr:nvSpPr>
        <xdr:cNvPr id="19" name="Rectangle: Rounded Corners 18">
          <a:extLst>
            <a:ext uri="{FF2B5EF4-FFF2-40B4-BE49-F238E27FC236}">
              <a16:creationId xmlns:a16="http://schemas.microsoft.com/office/drawing/2014/main" id="{5965BD59-7DFB-67A1-3630-095702C2918A}"/>
            </a:ext>
          </a:extLst>
        </xdr:cNvPr>
        <xdr:cNvSpPr/>
      </xdr:nvSpPr>
      <xdr:spPr>
        <a:xfrm>
          <a:off x="3378200" y="52387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Modo administrador</a:t>
          </a:r>
        </a:p>
      </xdr:txBody>
    </xdr:sp>
    <xdr:clientData fPrintsWithSheet="0"/>
  </xdr:twoCellAnchor>
  <xdr:twoCellAnchor editAs="absolute">
    <xdr:from>
      <xdr:col>1</xdr:col>
      <xdr:colOff>5461000</xdr:colOff>
      <xdr:row>27</xdr:row>
      <xdr:rowOff>142875</xdr:rowOff>
    </xdr:from>
    <xdr:to>
      <xdr:col>1</xdr:col>
      <xdr:colOff>8064500</xdr:colOff>
      <xdr:row>30</xdr:row>
      <xdr:rowOff>31750</xdr:rowOff>
    </xdr:to>
    <xdr:sp macro="SalirAdministrador" textlink="">
      <xdr:nvSpPr>
        <xdr:cNvPr id="20" name="Rectangle: Rounded Corners 19">
          <a:extLst>
            <a:ext uri="{FF2B5EF4-FFF2-40B4-BE49-F238E27FC236}">
              <a16:creationId xmlns:a16="http://schemas.microsoft.com/office/drawing/2014/main" id="{15865B7A-871D-FD03-91C5-B97B45AC595A}"/>
            </a:ext>
          </a:extLst>
        </xdr:cNvPr>
        <xdr:cNvSpPr/>
      </xdr:nvSpPr>
      <xdr:spPr>
        <a:xfrm>
          <a:off x="6108700" y="52387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Salir de administrador</a:t>
          </a:r>
        </a:p>
      </xdr:txBody>
    </xdr:sp>
    <xdr:clientData fPrintsWithSheet="0"/>
  </xdr:twoCellAnchor>
  <xdr:twoCellAnchor editAs="absolute">
    <xdr:from>
      <xdr:col>1</xdr:col>
      <xdr:colOff>8191500</xdr:colOff>
      <xdr:row>27</xdr:row>
      <xdr:rowOff>142875</xdr:rowOff>
    </xdr:from>
    <xdr:to>
      <xdr:col>3</xdr:col>
      <xdr:colOff>146050</xdr:colOff>
      <xdr:row>30</xdr:row>
      <xdr:rowOff>31750</xdr:rowOff>
    </xdr:to>
    <xdr:sp macro="CambiarClave" textlink="">
      <xdr:nvSpPr>
        <xdr:cNvPr id="21" name="Rectangle: Rounded Corners 20">
          <a:extLst>
            <a:ext uri="{FF2B5EF4-FFF2-40B4-BE49-F238E27FC236}">
              <a16:creationId xmlns:a16="http://schemas.microsoft.com/office/drawing/2014/main" id="{0D3544B7-1E7D-6670-936C-6520A95D917A}"/>
            </a:ext>
          </a:extLst>
        </xdr:cNvPr>
        <xdr:cNvSpPr/>
      </xdr:nvSpPr>
      <xdr:spPr>
        <a:xfrm>
          <a:off x="8839200" y="52387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Cambiar contraseña</a:t>
          </a:r>
        </a:p>
      </xdr:txBody>
    </xdr:sp>
    <xdr:clientData fPrintsWithSheet="0"/>
  </xdr:twoCellAnchor>
  <xdr:twoCellAnchor editAs="absolute">
    <xdr:from>
      <xdr:col>1</xdr:col>
      <xdr:colOff>0</xdr:colOff>
      <xdr:row>30</xdr:row>
      <xdr:rowOff>133350</xdr:rowOff>
    </xdr:from>
    <xdr:to>
      <xdr:col>1</xdr:col>
      <xdr:colOff>2603500</xdr:colOff>
      <xdr:row>33</xdr:row>
      <xdr:rowOff>22225</xdr:rowOff>
    </xdr:to>
    <xdr:sp macro="RecalcularTodo" textlink="">
      <xdr:nvSpPr>
        <xdr:cNvPr id="22" name="Rectangle: Rounded Corners 21">
          <a:extLst>
            <a:ext uri="{FF2B5EF4-FFF2-40B4-BE49-F238E27FC236}">
              <a16:creationId xmlns:a16="http://schemas.microsoft.com/office/drawing/2014/main" id="{BA1511EF-1001-FADF-60E4-463DB5BE96B3}"/>
            </a:ext>
          </a:extLst>
        </xdr:cNvPr>
        <xdr:cNvSpPr/>
      </xdr:nvSpPr>
      <xdr:spPr>
        <a:xfrm>
          <a:off x="647700" y="57721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Recalcular todo</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7</xdr:col>
      <xdr:colOff>0</xdr:colOff>
      <xdr:row>2</xdr:row>
      <xdr:rowOff>0</xdr:rowOff>
    </xdr:from>
    <xdr:to>
      <xdr:col>9</xdr:col>
      <xdr:colOff>460375</xdr:colOff>
      <xdr:row>4</xdr:row>
      <xdr:rowOff>19050</xdr:rowOff>
    </xdr:to>
    <xdr:sp macro="NuevoTablero" textlink="">
      <xdr:nvSpPr>
        <xdr:cNvPr id="2" name="Rectangle: Rounded Corners 1">
          <a:extLst>
            <a:ext uri="{FF2B5EF4-FFF2-40B4-BE49-F238E27FC236}">
              <a16:creationId xmlns:a16="http://schemas.microsoft.com/office/drawing/2014/main" id="{5E14D86A-BB6C-2253-BB95-67241694D3F3}"/>
            </a:ext>
          </a:extLst>
        </xdr:cNvPr>
        <xdr:cNvSpPr/>
      </xdr:nvSpPr>
      <xdr:spPr>
        <a:xfrm>
          <a:off x="5791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Nuevo tablero</a:t>
          </a:r>
        </a:p>
      </xdr:txBody>
    </xdr:sp>
    <xdr:clientData fPrintsWithSheet="0"/>
  </xdr:twoCellAnchor>
  <xdr:twoCellAnchor editAs="absolute">
    <xdr:from>
      <xdr:col>9</xdr:col>
      <xdr:colOff>587375</xdr:colOff>
      <xdr:row>2</xdr:row>
      <xdr:rowOff>0</xdr:rowOff>
    </xdr:from>
    <xdr:to>
      <xdr:col>12</xdr:col>
      <xdr:colOff>547687</xdr:colOff>
      <xdr:row>4</xdr:row>
      <xdr:rowOff>19050</xdr:rowOff>
    </xdr:to>
    <xdr:sp macro="CrearVarios" textlink="">
      <xdr:nvSpPr>
        <xdr:cNvPr id="3" name="Rectangle: Rounded Corners 2">
          <a:extLst>
            <a:ext uri="{FF2B5EF4-FFF2-40B4-BE49-F238E27FC236}">
              <a16:creationId xmlns:a16="http://schemas.microsoft.com/office/drawing/2014/main" id="{403A6BEF-21A0-1B6F-EB6F-17A699C2AF51}"/>
            </a:ext>
          </a:extLst>
        </xdr:cNvPr>
        <xdr:cNvSpPr/>
      </xdr:nvSpPr>
      <xdr:spPr>
        <a:xfrm>
          <a:off x="7950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Crear varios</a:t>
          </a:r>
        </a:p>
      </xdr:txBody>
    </xdr:sp>
    <xdr:clientData fPrintsWithSheet="0"/>
  </xdr:twoCellAnchor>
  <xdr:twoCellAnchor editAs="absolute">
    <xdr:from>
      <xdr:col>12</xdr:col>
      <xdr:colOff>674687</xdr:colOff>
      <xdr:row>2</xdr:row>
      <xdr:rowOff>0</xdr:rowOff>
    </xdr:from>
    <xdr:to>
      <xdr:col>13</xdr:col>
      <xdr:colOff>1135062</xdr:colOff>
      <xdr:row>4</xdr:row>
      <xdr:rowOff>19050</xdr:rowOff>
    </xdr:to>
    <xdr:sp macro="ActualizarProyecto" textlink="">
      <xdr:nvSpPr>
        <xdr:cNvPr id="4" name="Rectangle: Rounded Corners 3">
          <a:extLst>
            <a:ext uri="{FF2B5EF4-FFF2-40B4-BE49-F238E27FC236}">
              <a16:creationId xmlns:a16="http://schemas.microsoft.com/office/drawing/2014/main" id="{4DBCB1E2-ABBF-52C4-CD4B-E4D6AC7C0178}"/>
            </a:ext>
          </a:extLst>
        </xdr:cNvPr>
        <xdr:cNvSpPr/>
      </xdr:nvSpPr>
      <xdr:spPr>
        <a:xfrm>
          <a:off x="10109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proyecto y tablas</a:t>
          </a:r>
        </a:p>
      </xdr:txBody>
    </xdr:sp>
    <xdr:clientData fPrintsWithSheet="0"/>
  </xdr:twoCellAnchor>
  <xdr:twoCellAnchor editAs="absolute">
    <xdr:from>
      <xdr:col>13</xdr:col>
      <xdr:colOff>1262062</xdr:colOff>
      <xdr:row>2</xdr:row>
      <xdr:rowOff>0</xdr:rowOff>
    </xdr:from>
    <xdr:to>
      <xdr:col>13</xdr:col>
      <xdr:colOff>3294062</xdr:colOff>
      <xdr:row>4</xdr:row>
      <xdr:rowOff>19050</xdr:rowOff>
    </xdr:to>
    <xdr:sp macro="ImportarArchivoRevit" textlink="">
      <xdr:nvSpPr>
        <xdr:cNvPr id="5" name="Rectangle: Rounded Corners 4">
          <a:extLst>
            <a:ext uri="{FF2B5EF4-FFF2-40B4-BE49-F238E27FC236}">
              <a16:creationId xmlns:a16="http://schemas.microsoft.com/office/drawing/2014/main" id="{046CE1B3-04BA-2C06-573E-BA96A4D31A5D}"/>
            </a:ext>
          </a:extLst>
        </xdr:cNvPr>
        <xdr:cNvSpPr/>
      </xdr:nvSpPr>
      <xdr:spPr>
        <a:xfrm>
          <a:off x="12268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desde Revit</a:t>
          </a:r>
        </a:p>
      </xdr:txBody>
    </xdr:sp>
    <xdr:clientData fPrintsWithSheet="0"/>
  </xdr:twoCellAnchor>
</xdr:wsDr>
</file>

<file path=xl/drawings/drawing3.xml><?xml version="1.0" encoding="utf-8"?>
<xdr:wsDr xmlns:xdr="http://schemas.openxmlformats.org/drawingml/2006/spreadsheetDrawing" xmlns:a="http://schemas.openxmlformats.org/drawingml/2006/main">
  <xdr:oneCellAnchor>
    <xdr:from>
      <xdr:col>17</xdr:col>
      <xdr:colOff>0</xdr:colOff>
      <xdr:row>1</xdr:row>
      <xdr:rowOff>0</xdr:rowOff>
    </xdr:from>
    <xdr:ext cx="4000500" cy="1428750"/>
    <xdr:pic>
      <xdr:nvPicPr>
        <xdr:cNvPr id="2" name="Image 1" descr="Picture">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twoCellAnchor editAs="absolute">
    <xdr:from>
      <xdr:col>32</xdr:col>
      <xdr:colOff>1439863</xdr:colOff>
      <xdr:row>0</xdr:row>
      <xdr:rowOff>180975</xdr:rowOff>
    </xdr:from>
    <xdr:to>
      <xdr:col>34</xdr:col>
      <xdr:colOff>1614488</xdr:colOff>
      <xdr:row>3</xdr:row>
      <xdr:rowOff>141287</xdr:rowOff>
    </xdr:to>
    <xdr:sp macro="ActualizarProyecto" textlink="">
      <xdr:nvSpPr>
        <xdr:cNvPr id="3" name="Rectangle: Rounded Corners 2">
          <a:extLst>
            <a:ext uri="{FF2B5EF4-FFF2-40B4-BE49-F238E27FC236}">
              <a16:creationId xmlns:a16="http://schemas.microsoft.com/office/drawing/2014/main" id="{6AD29C85-E6FC-781D-4A0D-7EBEEAF77033}"/>
            </a:ext>
          </a:extLst>
        </xdr:cNvPr>
        <xdr:cNvSpPr/>
      </xdr:nvSpPr>
      <xdr:spPr>
        <a:xfrm>
          <a:off x="38666738" y="180975"/>
          <a:ext cx="3175000" cy="508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tablas</a:t>
          </a:r>
        </a:p>
      </xdr:txBody>
    </xdr:sp>
    <xdr:clientData fPrintsWithSheet="0"/>
  </xdr:twoCellAnchor>
  <xdr:twoCellAnchor editAs="absolute">
    <xdr:from>
      <xdr:col>34</xdr:col>
      <xdr:colOff>1741488</xdr:colOff>
      <xdr:row>0</xdr:row>
      <xdr:rowOff>180975</xdr:rowOff>
    </xdr:from>
    <xdr:to>
      <xdr:col>37</xdr:col>
      <xdr:colOff>11113</xdr:colOff>
      <xdr:row>3</xdr:row>
      <xdr:rowOff>141287</xdr:rowOff>
    </xdr:to>
    <xdr:sp macro="SoloTablaResumen" textlink="">
      <xdr:nvSpPr>
        <xdr:cNvPr id="4" name="Rectangle: Rounded Corners 3">
          <a:extLst>
            <a:ext uri="{FF2B5EF4-FFF2-40B4-BE49-F238E27FC236}">
              <a16:creationId xmlns:a16="http://schemas.microsoft.com/office/drawing/2014/main" id="{6AD8BB10-581B-A1B2-A209-D6D238EA65E5}"/>
            </a:ext>
          </a:extLst>
        </xdr:cNvPr>
        <xdr:cNvSpPr/>
      </xdr:nvSpPr>
      <xdr:spPr>
        <a:xfrm>
          <a:off x="41968738" y="180975"/>
          <a:ext cx="3175000" cy="508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Solo tabla resumen (sí/no)</a:t>
          </a:r>
        </a:p>
      </xdr:txBody>
    </xdr:sp>
    <xdr:clientData fPrintsWithSheet="0"/>
  </xdr:twoCellAnchor>
  <xdr:twoCellAnchor editAs="absolute">
    <xdr:from>
      <xdr:col>37</xdr:col>
      <xdr:colOff>138113</xdr:colOff>
      <xdr:row>0</xdr:row>
      <xdr:rowOff>180975</xdr:rowOff>
    </xdr:from>
    <xdr:to>
      <xdr:col>39</xdr:col>
      <xdr:colOff>1455738</xdr:colOff>
      <xdr:row>3</xdr:row>
      <xdr:rowOff>141287</xdr:rowOff>
    </xdr:to>
    <xdr:sp macro="ExportarTablasRevit" textlink="">
      <xdr:nvSpPr>
        <xdr:cNvPr id="5" name="Rectangle: Rounded Corners 4">
          <a:extLst>
            <a:ext uri="{FF2B5EF4-FFF2-40B4-BE49-F238E27FC236}">
              <a16:creationId xmlns:a16="http://schemas.microsoft.com/office/drawing/2014/main" id="{F23549E4-2AC6-CD2C-FA17-D72166FD066A}"/>
            </a:ext>
          </a:extLst>
        </xdr:cNvPr>
        <xdr:cNvSpPr/>
      </xdr:nvSpPr>
      <xdr:spPr>
        <a:xfrm>
          <a:off x="45270738" y="180975"/>
          <a:ext cx="3175000" cy="508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tablas para Revit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8</xdr:col>
      <xdr:colOff>88900</xdr:colOff>
      <xdr:row>1</xdr:row>
      <xdr:rowOff>9525</xdr:rowOff>
    </xdr:to>
    <xdr:sp macro="ActualizarProyecto" textlink="">
      <xdr:nvSpPr>
        <xdr:cNvPr id="2" name="Rectangle: Rounded Corners 1">
          <a:extLst>
            <a:ext uri="{FF2B5EF4-FFF2-40B4-BE49-F238E27FC236}">
              <a16:creationId xmlns:a16="http://schemas.microsoft.com/office/drawing/2014/main" id="{20210F4C-15E2-0555-82A3-703A8B388C3F}"/>
            </a:ext>
          </a:extLst>
        </xdr:cNvPr>
        <xdr:cNvSpPr/>
      </xdr:nvSpPr>
      <xdr:spPr>
        <a:xfrm>
          <a:off x="5591175"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tablas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8</xdr:col>
      <xdr:colOff>88900</xdr:colOff>
      <xdr:row>1</xdr:row>
      <xdr:rowOff>9525</xdr:rowOff>
    </xdr:to>
    <xdr:sp macro="ActualizarProyecto" textlink="">
      <xdr:nvSpPr>
        <xdr:cNvPr id="2" name="Rectangle: Rounded Corners 1">
          <a:extLst>
            <a:ext uri="{FF2B5EF4-FFF2-40B4-BE49-F238E27FC236}">
              <a16:creationId xmlns:a16="http://schemas.microsoft.com/office/drawing/2014/main" id="{8815428E-B77F-F5ED-02E6-615C2FBFABB5}"/>
            </a:ext>
          </a:extLst>
        </xdr:cNvPr>
        <xdr:cNvSpPr/>
      </xdr:nvSpPr>
      <xdr:spPr>
        <a:xfrm>
          <a:off x="5591175"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tablas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11</xdr:col>
      <xdr:colOff>0</xdr:colOff>
      <xdr:row>0</xdr:row>
      <xdr:rowOff>0</xdr:rowOff>
    </xdr:from>
    <xdr:to>
      <xdr:col>13</xdr:col>
      <xdr:colOff>603250</xdr:colOff>
      <xdr:row>1</xdr:row>
      <xdr:rowOff>133350</xdr:rowOff>
    </xdr:to>
    <xdr:sp macro="GenerarPrevista" textlink="">
      <xdr:nvSpPr>
        <xdr:cNvPr id="2" name="Rectangle: Rounded Corners 1">
          <a:extLst>
            <a:ext uri="{FF2B5EF4-FFF2-40B4-BE49-F238E27FC236}">
              <a16:creationId xmlns:a16="http://schemas.microsoft.com/office/drawing/2014/main" id="{CDDC6869-E438-BF06-3368-42CEECB32000}"/>
            </a:ext>
          </a:extLst>
        </xdr:cNvPr>
        <xdr:cNvSpPr/>
      </xdr:nvSpPr>
      <xdr:spPr>
        <a:xfrm>
          <a:off x="10148888"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Generar circuitos de prevista</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11</xdr:col>
      <xdr:colOff>0</xdr:colOff>
      <xdr:row>0</xdr:row>
      <xdr:rowOff>0</xdr:rowOff>
    </xdr:from>
    <xdr:to>
      <xdr:col>14</xdr:col>
      <xdr:colOff>88900</xdr:colOff>
      <xdr:row>1</xdr:row>
      <xdr:rowOff>133350</xdr:rowOff>
    </xdr:to>
    <xdr:sp macro="ImportarArchivoRevit" textlink="">
      <xdr:nvSpPr>
        <xdr:cNvPr id="2" name="Rectangle: Rounded Corners 1">
          <a:extLst>
            <a:ext uri="{FF2B5EF4-FFF2-40B4-BE49-F238E27FC236}">
              <a16:creationId xmlns:a16="http://schemas.microsoft.com/office/drawing/2014/main" id="{6021345C-14C2-8CB5-4AB2-66AF2B36AB7C}"/>
            </a:ext>
          </a:extLst>
        </xdr:cNvPr>
        <xdr:cNvSpPr/>
      </xdr:nvSpPr>
      <xdr:spPr>
        <a:xfrm>
          <a:off x="7124700"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archivo</a:t>
          </a:r>
        </a:p>
      </xdr:txBody>
    </xdr:sp>
    <xdr:clientData fPrintsWithSheet="0"/>
  </xdr:twoCellAnchor>
  <xdr:twoCellAnchor editAs="absolute">
    <xdr:from>
      <xdr:col>14</xdr:col>
      <xdr:colOff>215900</xdr:colOff>
      <xdr:row>0</xdr:row>
      <xdr:rowOff>0</xdr:rowOff>
    </xdr:from>
    <xdr:to>
      <xdr:col>17</xdr:col>
      <xdr:colOff>304800</xdr:colOff>
      <xdr:row>1</xdr:row>
      <xdr:rowOff>133350</xdr:rowOff>
    </xdr:to>
    <xdr:sp macro="ImportarPegado" textlink="">
      <xdr:nvSpPr>
        <xdr:cNvPr id="3" name="Rectangle: Rounded Corners 2">
          <a:extLst>
            <a:ext uri="{FF2B5EF4-FFF2-40B4-BE49-F238E27FC236}">
              <a16:creationId xmlns:a16="http://schemas.microsoft.com/office/drawing/2014/main" id="{E15D0387-A105-3A76-40E9-DFC15C1B10FC}"/>
            </a:ext>
          </a:extLst>
        </xdr:cNvPr>
        <xdr:cNvSpPr/>
      </xdr:nvSpPr>
      <xdr:spPr>
        <a:xfrm>
          <a:off x="9283700"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lo pegado (desde B5)</a:t>
          </a:r>
        </a:p>
      </xdr:txBody>
    </xdr:sp>
    <xdr:clientData fPrintsWithSheet="0"/>
  </xdr:twoCellAnchor>
</xdr:wsDr>
</file>

<file path=xl/drawings/drawing8.xml><?xml version="1.0" encoding="utf-8"?>
<xdr:wsDr xmlns:xdr="http://schemas.openxmlformats.org/drawingml/2006/spreadsheetDrawing" xmlns:a="http://schemas.openxmlformats.org/drawingml/2006/main">
  <xdr:oneCellAnchor>
    <xdr:from>
      <xdr:col>8</xdr:col>
      <xdr:colOff>0</xdr:colOff>
      <xdr:row>15</xdr:row>
      <xdr:rowOff>0</xdr:rowOff>
    </xdr:from>
    <xdr:ext cx="2381250" cy="1781175"/>
    <xdr:pic>
      <xdr:nvPicPr>
        <xdr:cNvPr id="2" name="Image 1" descr="Picture">
          <a:extLst>
            <a:ext uri="{FF2B5EF4-FFF2-40B4-BE49-F238E27FC236}">
              <a16:creationId xmlns:a16="http://schemas.microsoft.com/office/drawing/2014/main" id="{00000000-0008-0000-0900-000002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28</xdr:row>
      <xdr:rowOff>0</xdr:rowOff>
    </xdr:from>
    <xdr:ext cx="2381250" cy="1781175"/>
    <xdr:pic>
      <xdr:nvPicPr>
        <xdr:cNvPr id="3" name="Image 2" descr="Picture">
          <a:extLst>
            <a:ext uri="{FF2B5EF4-FFF2-40B4-BE49-F238E27FC236}">
              <a16:creationId xmlns:a16="http://schemas.microsoft.com/office/drawing/2014/main" id="{00000000-0008-0000-0900-000003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8</xdr:col>
      <xdr:colOff>0</xdr:colOff>
      <xdr:row>41</xdr:row>
      <xdr:rowOff>0</xdr:rowOff>
    </xdr:from>
    <xdr:ext cx="2381250" cy="1781175"/>
    <xdr:pic>
      <xdr:nvPicPr>
        <xdr:cNvPr id="4" name="Image 3" descr="Picture">
          <a:extLst>
            <a:ext uri="{FF2B5EF4-FFF2-40B4-BE49-F238E27FC236}">
              <a16:creationId xmlns:a16="http://schemas.microsoft.com/office/drawing/2014/main" id="{00000000-0008-0000-0900-000004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oneCellAnchor>
    <xdr:from>
      <xdr:col>8</xdr:col>
      <xdr:colOff>0</xdr:colOff>
      <xdr:row>54</xdr:row>
      <xdr:rowOff>0</xdr:rowOff>
    </xdr:from>
    <xdr:ext cx="2381250" cy="1781175"/>
    <xdr:pic>
      <xdr:nvPicPr>
        <xdr:cNvPr id="5" name="Image 4" descr="Picture">
          <a:extLst>
            <a:ext uri="{FF2B5EF4-FFF2-40B4-BE49-F238E27FC236}">
              <a16:creationId xmlns:a16="http://schemas.microsoft.com/office/drawing/2014/main" id="{00000000-0008-0000-0900-000005000000}"/>
            </a:ext>
          </a:extLst>
        </xdr:cNvPr>
        <xdr:cNvPicPr/>
      </xdr:nvPicPr>
      <xdr:blipFill>
        <a:blip xmlns:r="http://schemas.openxmlformats.org/officeDocument/2006/relationships" r:embed="rId4" cstate="print"/>
        <a:stretch>
          <a:fillRect/>
        </a:stretch>
      </xdr:blipFill>
      <xdr:spPr>
        <a:prstGeom prst="rect">
          <a:avLst/>
        </a:prstGeom>
      </xdr:spPr>
    </xdr:pic>
    <xdr:clientData/>
  </xdr:oneCellAnchor>
  <xdr:oneCellAnchor>
    <xdr:from>
      <xdr:col>8</xdr:col>
      <xdr:colOff>0</xdr:colOff>
      <xdr:row>67</xdr:row>
      <xdr:rowOff>0</xdr:rowOff>
    </xdr:from>
    <xdr:ext cx="2381250" cy="1781175"/>
    <xdr:pic>
      <xdr:nvPicPr>
        <xdr:cNvPr id="6" name="Image 5" descr="Picture">
          <a:extLst>
            <a:ext uri="{FF2B5EF4-FFF2-40B4-BE49-F238E27FC236}">
              <a16:creationId xmlns:a16="http://schemas.microsoft.com/office/drawing/2014/main" id="{00000000-0008-0000-0900-000006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80</xdr:row>
      <xdr:rowOff>0</xdr:rowOff>
    </xdr:from>
    <xdr:ext cx="2381250" cy="1781175"/>
    <xdr:pic>
      <xdr:nvPicPr>
        <xdr:cNvPr id="7" name="Image 6" descr="Picture">
          <a:extLst>
            <a:ext uri="{FF2B5EF4-FFF2-40B4-BE49-F238E27FC236}">
              <a16:creationId xmlns:a16="http://schemas.microsoft.com/office/drawing/2014/main" id="{00000000-0008-0000-0900-000007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93</xdr:row>
      <xdr:rowOff>0</xdr:rowOff>
    </xdr:from>
    <xdr:ext cx="2381250" cy="1781175"/>
    <xdr:pic>
      <xdr:nvPicPr>
        <xdr:cNvPr id="8" name="Image 7" descr="Picture">
          <a:extLst>
            <a:ext uri="{FF2B5EF4-FFF2-40B4-BE49-F238E27FC236}">
              <a16:creationId xmlns:a16="http://schemas.microsoft.com/office/drawing/2014/main" id="{00000000-0008-0000-0900-000008000000}"/>
            </a:ext>
          </a:extLst>
        </xdr:cNvPr>
        <xdr:cNvPicPr/>
      </xdr:nvPicPr>
      <xdr:blipFill>
        <a:blip xmlns:r="http://schemas.openxmlformats.org/officeDocument/2006/relationships" r:embed="rId7" cstate="print"/>
        <a:stretch>
          <a:fillRect/>
        </a:stretch>
      </xdr:blipFill>
      <xdr:spPr>
        <a:prstGeom prst="rect">
          <a:avLst/>
        </a:prstGeom>
      </xdr:spPr>
    </xdr:pic>
    <xdr:clientData/>
  </xdr:oneCellAnchor>
  <xdr:oneCellAnchor>
    <xdr:from>
      <xdr:col>8</xdr:col>
      <xdr:colOff>0</xdr:colOff>
      <xdr:row>106</xdr:row>
      <xdr:rowOff>0</xdr:rowOff>
    </xdr:from>
    <xdr:ext cx="2381250" cy="1781175"/>
    <xdr:pic>
      <xdr:nvPicPr>
        <xdr:cNvPr id="9" name="Image 8" descr="Picture">
          <a:extLst>
            <a:ext uri="{FF2B5EF4-FFF2-40B4-BE49-F238E27FC236}">
              <a16:creationId xmlns:a16="http://schemas.microsoft.com/office/drawing/2014/main" id="{00000000-0008-0000-0900-000009000000}"/>
            </a:ext>
          </a:extLst>
        </xdr:cNvPr>
        <xdr:cNvPicPr/>
      </xdr:nvPicPr>
      <xdr:blipFill>
        <a:blip xmlns:r="http://schemas.openxmlformats.org/officeDocument/2006/relationships" r:embed="rId8" cstate="print"/>
        <a:stretch>
          <a:fillRect/>
        </a:stretch>
      </xdr:blipFill>
      <xdr:spPr>
        <a:prstGeom prst="rect">
          <a:avLst/>
        </a:prstGeom>
      </xdr:spPr>
    </xdr:pic>
    <xdr:clientData/>
  </xdr:oneCellAnchor>
  <xdr:oneCellAnchor>
    <xdr:from>
      <xdr:col>8</xdr:col>
      <xdr:colOff>0</xdr:colOff>
      <xdr:row>119</xdr:row>
      <xdr:rowOff>0</xdr:rowOff>
    </xdr:from>
    <xdr:ext cx="2381250" cy="1781175"/>
    <xdr:pic>
      <xdr:nvPicPr>
        <xdr:cNvPr id="10" name="Image 9" descr="Picture">
          <a:extLst>
            <a:ext uri="{FF2B5EF4-FFF2-40B4-BE49-F238E27FC236}">
              <a16:creationId xmlns:a16="http://schemas.microsoft.com/office/drawing/2014/main" id="{00000000-0008-0000-0900-00000A000000}"/>
            </a:ext>
          </a:extLst>
        </xdr:cNvPr>
        <xdr:cNvPicPr/>
      </xdr:nvPicPr>
      <xdr:blipFill>
        <a:blip xmlns:r="http://schemas.openxmlformats.org/officeDocument/2006/relationships" r:embed="rId9" cstate="print"/>
        <a:stretch>
          <a:fillRect/>
        </a:stretch>
      </xdr:blipFill>
      <xdr:spPr>
        <a:prstGeom prst="rect">
          <a:avLst/>
        </a:prstGeom>
      </xdr:spPr>
    </xdr:pic>
    <xdr:clientData/>
  </xdr:oneCellAnchor>
  <xdr:oneCellAnchor>
    <xdr:from>
      <xdr:col>8</xdr:col>
      <xdr:colOff>0</xdr:colOff>
      <xdr:row>132</xdr:row>
      <xdr:rowOff>0</xdr:rowOff>
    </xdr:from>
    <xdr:ext cx="2381250" cy="1781175"/>
    <xdr:pic>
      <xdr:nvPicPr>
        <xdr:cNvPr id="11" name="Image 10" descr="Picture">
          <a:extLst>
            <a:ext uri="{FF2B5EF4-FFF2-40B4-BE49-F238E27FC236}">
              <a16:creationId xmlns:a16="http://schemas.microsoft.com/office/drawing/2014/main" id="{00000000-0008-0000-0900-00000B000000}"/>
            </a:ext>
          </a:extLst>
        </xdr:cNvPr>
        <xdr:cNvPicPr/>
      </xdr:nvPicPr>
      <xdr:blipFill>
        <a:blip xmlns:r="http://schemas.openxmlformats.org/officeDocument/2006/relationships" r:embed="rId10" cstate="print"/>
        <a:stretch>
          <a:fillRect/>
        </a:stretch>
      </xdr:blipFill>
      <xdr:spPr>
        <a:prstGeom prst="rect">
          <a:avLst/>
        </a:prstGeom>
      </xdr:spPr>
    </xdr:pic>
    <xdr:clientData/>
  </xdr:oneCellAnchor>
  <xdr:oneCellAnchor>
    <xdr:from>
      <xdr:col>8</xdr:col>
      <xdr:colOff>0</xdr:colOff>
      <xdr:row>145</xdr:row>
      <xdr:rowOff>0</xdr:rowOff>
    </xdr:from>
    <xdr:ext cx="2381250" cy="1781175"/>
    <xdr:pic>
      <xdr:nvPicPr>
        <xdr:cNvPr id="12" name="Image 11" descr="Picture">
          <a:extLst>
            <a:ext uri="{FF2B5EF4-FFF2-40B4-BE49-F238E27FC236}">
              <a16:creationId xmlns:a16="http://schemas.microsoft.com/office/drawing/2014/main" id="{00000000-0008-0000-0900-00000C000000}"/>
            </a:ext>
          </a:extLst>
        </xdr:cNvPr>
        <xdr:cNvPicPr/>
      </xdr:nvPicPr>
      <xdr:blipFill>
        <a:blip xmlns:r="http://schemas.openxmlformats.org/officeDocument/2006/relationships" r:embed="rId11" cstate="print"/>
        <a:stretch>
          <a:fillRect/>
        </a:stretch>
      </xdr:blipFill>
      <xdr:spPr>
        <a:prstGeom prst="rect">
          <a:avLst/>
        </a:prstGeom>
      </xdr:spPr>
    </xdr:pic>
    <xdr:clientData/>
  </xdr:oneCellAnchor>
  <xdr:oneCellAnchor>
    <xdr:from>
      <xdr:col>8</xdr:col>
      <xdr:colOff>0</xdr:colOff>
      <xdr:row>158</xdr:row>
      <xdr:rowOff>0</xdr:rowOff>
    </xdr:from>
    <xdr:ext cx="2381250" cy="1781175"/>
    <xdr:pic>
      <xdr:nvPicPr>
        <xdr:cNvPr id="13" name="Image 12" descr="Picture">
          <a:extLst>
            <a:ext uri="{FF2B5EF4-FFF2-40B4-BE49-F238E27FC236}">
              <a16:creationId xmlns:a16="http://schemas.microsoft.com/office/drawing/2014/main" id="{00000000-0008-0000-0900-00000D000000}"/>
            </a:ext>
          </a:extLst>
        </xdr:cNvPr>
        <xdr:cNvPicPr/>
      </xdr:nvPicPr>
      <xdr:blipFill>
        <a:blip xmlns:r="http://schemas.openxmlformats.org/officeDocument/2006/relationships" r:embed="rId12" cstate="print"/>
        <a:stretch>
          <a:fillRect/>
        </a:stretch>
      </xdr:blipFill>
      <xdr:spPr>
        <a:prstGeom prst="rect">
          <a:avLst/>
        </a:prstGeom>
      </xdr:spPr>
    </xdr:pic>
    <xdr:clientData/>
  </xdr:oneCellAnchor>
  <xdr:oneCellAnchor>
    <xdr:from>
      <xdr:col>8</xdr:col>
      <xdr:colOff>0</xdr:colOff>
      <xdr:row>171</xdr:row>
      <xdr:rowOff>0</xdr:rowOff>
    </xdr:from>
    <xdr:ext cx="2381250" cy="1781175"/>
    <xdr:pic>
      <xdr:nvPicPr>
        <xdr:cNvPr id="14" name="Image 13" descr="Picture">
          <a:extLst>
            <a:ext uri="{FF2B5EF4-FFF2-40B4-BE49-F238E27FC236}">
              <a16:creationId xmlns:a16="http://schemas.microsoft.com/office/drawing/2014/main" id="{00000000-0008-0000-0900-00000E000000}"/>
            </a:ext>
          </a:extLst>
        </xdr:cNvPr>
        <xdr:cNvPicPr/>
      </xdr:nvPicPr>
      <xdr:blipFill>
        <a:blip xmlns:r="http://schemas.openxmlformats.org/officeDocument/2006/relationships" r:embed="rId13" cstate="print"/>
        <a:stretch>
          <a:fillRect/>
        </a:stretch>
      </xdr:blipFill>
      <xdr:spPr>
        <a:prstGeom prst="rect">
          <a:avLst/>
        </a:prstGeom>
      </xdr:spPr>
    </xdr:pic>
    <xdr:clientData/>
  </xdr:oneCellAnchor>
  <xdr:oneCellAnchor>
    <xdr:from>
      <xdr:col>8</xdr:col>
      <xdr:colOff>0</xdr:colOff>
      <xdr:row>184</xdr:row>
      <xdr:rowOff>0</xdr:rowOff>
    </xdr:from>
    <xdr:ext cx="2381250" cy="1781175"/>
    <xdr:pic>
      <xdr:nvPicPr>
        <xdr:cNvPr id="15" name="Image 14" descr="Picture">
          <a:extLst>
            <a:ext uri="{FF2B5EF4-FFF2-40B4-BE49-F238E27FC236}">
              <a16:creationId xmlns:a16="http://schemas.microsoft.com/office/drawing/2014/main" id="{00000000-0008-0000-0900-00000F000000}"/>
            </a:ext>
          </a:extLst>
        </xdr:cNvPr>
        <xdr:cNvPicPr/>
      </xdr:nvPicPr>
      <xdr:blipFill>
        <a:blip xmlns:r="http://schemas.openxmlformats.org/officeDocument/2006/relationships" r:embed="rId14" cstate="print"/>
        <a:stretch>
          <a:fillRect/>
        </a:stretch>
      </xdr:blipFill>
      <xdr:spPr>
        <a:prstGeom prst="rect">
          <a:avLst/>
        </a:prstGeom>
      </xdr:spPr>
    </xdr:pic>
    <xdr:clientData/>
  </xdr:oneCellAnchor>
  <xdr:oneCellAnchor>
    <xdr:from>
      <xdr:col>8</xdr:col>
      <xdr:colOff>0</xdr:colOff>
      <xdr:row>197</xdr:row>
      <xdr:rowOff>0</xdr:rowOff>
    </xdr:from>
    <xdr:ext cx="2381250" cy="1781175"/>
    <xdr:pic>
      <xdr:nvPicPr>
        <xdr:cNvPr id="16" name="Image 15" descr="Picture">
          <a:extLst>
            <a:ext uri="{FF2B5EF4-FFF2-40B4-BE49-F238E27FC236}">
              <a16:creationId xmlns:a16="http://schemas.microsoft.com/office/drawing/2014/main" id="{00000000-0008-0000-0900-000010000000}"/>
            </a:ext>
          </a:extLst>
        </xdr:cNvPr>
        <xdr:cNvPicPr/>
      </xdr:nvPicPr>
      <xdr:blipFill>
        <a:blip xmlns:r="http://schemas.openxmlformats.org/officeDocument/2006/relationships" r:embed="rId15" cstate="print"/>
        <a:stretch>
          <a:fillRect/>
        </a:stretch>
      </xdr:blipFill>
      <xdr:spPr>
        <a:prstGeom prst="rect">
          <a:avLst/>
        </a:prstGeom>
      </xdr:spPr>
    </xdr:pic>
    <xdr:clientData/>
  </xdr:oneCellAnchor>
  <xdr:oneCellAnchor>
    <xdr:from>
      <xdr:col>8</xdr:col>
      <xdr:colOff>0</xdr:colOff>
      <xdr:row>210</xdr:row>
      <xdr:rowOff>0</xdr:rowOff>
    </xdr:from>
    <xdr:ext cx="2381250" cy="1781175"/>
    <xdr:pic>
      <xdr:nvPicPr>
        <xdr:cNvPr id="17" name="Image 16" descr="Picture">
          <a:extLst>
            <a:ext uri="{FF2B5EF4-FFF2-40B4-BE49-F238E27FC236}">
              <a16:creationId xmlns:a16="http://schemas.microsoft.com/office/drawing/2014/main" id="{00000000-0008-0000-0900-000011000000}"/>
            </a:ext>
          </a:extLst>
        </xdr:cNvPr>
        <xdr:cNvPicPr/>
      </xdr:nvPicPr>
      <xdr:blipFill>
        <a:blip xmlns:r="http://schemas.openxmlformats.org/officeDocument/2006/relationships" r:embed="rId16" cstate="print"/>
        <a:stretch>
          <a:fillRect/>
        </a:stretch>
      </xdr:blipFill>
      <xdr:spPr>
        <a:prstGeom prst="rect">
          <a:avLst/>
        </a:prstGeom>
      </xdr:spPr>
    </xdr:pic>
    <xdr:clientData/>
  </xdr:oneCellAnchor>
  <xdr:oneCellAnchor>
    <xdr:from>
      <xdr:col>8</xdr:col>
      <xdr:colOff>0</xdr:colOff>
      <xdr:row>223</xdr:row>
      <xdr:rowOff>0</xdr:rowOff>
    </xdr:from>
    <xdr:ext cx="2381250" cy="1781175"/>
    <xdr:pic>
      <xdr:nvPicPr>
        <xdr:cNvPr id="18" name="Image 17" descr="Picture">
          <a:extLst>
            <a:ext uri="{FF2B5EF4-FFF2-40B4-BE49-F238E27FC236}">
              <a16:creationId xmlns:a16="http://schemas.microsoft.com/office/drawing/2014/main" id="{00000000-0008-0000-0900-000012000000}"/>
            </a:ext>
          </a:extLst>
        </xdr:cNvPr>
        <xdr:cNvPicPr/>
      </xdr:nvPicPr>
      <xdr:blipFill>
        <a:blip xmlns:r="http://schemas.openxmlformats.org/officeDocument/2006/relationships" r:embed="rId17" cstate="print"/>
        <a:stretch>
          <a:fillRect/>
        </a:stretch>
      </xdr:blipFill>
      <xdr:spPr>
        <a:prstGeom prst="rect">
          <a:avLst/>
        </a:prstGeom>
      </xdr:spPr>
    </xdr:pic>
    <xdr:clientData/>
  </xdr:oneCellAnchor>
  <xdr:oneCellAnchor>
    <xdr:from>
      <xdr:col>8</xdr:col>
      <xdr:colOff>0</xdr:colOff>
      <xdr:row>236</xdr:row>
      <xdr:rowOff>0</xdr:rowOff>
    </xdr:from>
    <xdr:ext cx="2381250" cy="1781175"/>
    <xdr:pic>
      <xdr:nvPicPr>
        <xdr:cNvPr id="19" name="Image 18" descr="Picture">
          <a:extLst>
            <a:ext uri="{FF2B5EF4-FFF2-40B4-BE49-F238E27FC236}">
              <a16:creationId xmlns:a16="http://schemas.microsoft.com/office/drawing/2014/main" id="{00000000-0008-0000-0900-000013000000}"/>
            </a:ext>
          </a:extLst>
        </xdr:cNvPr>
        <xdr:cNvPicPr/>
      </xdr:nvPicPr>
      <xdr:blipFill>
        <a:blip xmlns:r="http://schemas.openxmlformats.org/officeDocument/2006/relationships" r:embed="rId18" cstate="print"/>
        <a:stretch>
          <a:fillRect/>
        </a:stretch>
      </xdr:blipFill>
      <xdr:spPr>
        <a:prstGeom prst="rect">
          <a:avLst/>
        </a:prstGeom>
      </xdr:spPr>
    </xdr:pic>
    <xdr:clientData/>
  </xdr:oneCellAnchor>
  <xdr:oneCellAnchor>
    <xdr:from>
      <xdr:col>8</xdr:col>
      <xdr:colOff>0</xdr:colOff>
      <xdr:row>249</xdr:row>
      <xdr:rowOff>0</xdr:rowOff>
    </xdr:from>
    <xdr:ext cx="2381250" cy="1781175"/>
    <xdr:pic>
      <xdr:nvPicPr>
        <xdr:cNvPr id="20" name="Image 19" descr="Picture">
          <a:extLst>
            <a:ext uri="{FF2B5EF4-FFF2-40B4-BE49-F238E27FC236}">
              <a16:creationId xmlns:a16="http://schemas.microsoft.com/office/drawing/2014/main" id="{00000000-0008-0000-0900-000014000000}"/>
            </a:ext>
          </a:extLst>
        </xdr:cNvPr>
        <xdr:cNvPicPr/>
      </xdr:nvPicPr>
      <xdr:blipFill>
        <a:blip xmlns:r="http://schemas.openxmlformats.org/officeDocument/2006/relationships" r:embed="rId9" cstate="print"/>
        <a:stretch>
          <a:fillRect/>
        </a:stretch>
      </xdr:blipFill>
      <xdr:spPr>
        <a:prstGeom prst="rect">
          <a:avLst/>
        </a:prstGeom>
      </xdr:spPr>
    </xdr:pic>
    <xdr:clientData/>
  </xdr:oneCellAnchor>
  <xdr:oneCellAnchor>
    <xdr:from>
      <xdr:col>8</xdr:col>
      <xdr:colOff>0</xdr:colOff>
      <xdr:row>264</xdr:row>
      <xdr:rowOff>0</xdr:rowOff>
    </xdr:from>
    <xdr:ext cx="1905000" cy="1428750"/>
    <xdr:pic>
      <xdr:nvPicPr>
        <xdr:cNvPr id="21" name="Image 20" descr="Picture">
          <a:extLst>
            <a:ext uri="{FF2B5EF4-FFF2-40B4-BE49-F238E27FC236}">
              <a16:creationId xmlns:a16="http://schemas.microsoft.com/office/drawing/2014/main" id="{00000000-0008-0000-0900-000015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8</xdr:col>
      <xdr:colOff>0</xdr:colOff>
      <xdr:row>297</xdr:row>
      <xdr:rowOff>0</xdr:rowOff>
    </xdr:from>
    <xdr:ext cx="1905000" cy="1428750"/>
    <xdr:pic>
      <xdr:nvPicPr>
        <xdr:cNvPr id="22" name="Image 21" descr="Picture">
          <a:extLst>
            <a:ext uri="{FF2B5EF4-FFF2-40B4-BE49-F238E27FC236}">
              <a16:creationId xmlns:a16="http://schemas.microsoft.com/office/drawing/2014/main" id="{00000000-0008-0000-0900-000016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309</xdr:row>
      <xdr:rowOff>0</xdr:rowOff>
    </xdr:from>
    <xdr:ext cx="1905000" cy="1428750"/>
    <xdr:pic>
      <xdr:nvPicPr>
        <xdr:cNvPr id="23" name="Image 22" descr="Picture">
          <a:extLst>
            <a:ext uri="{FF2B5EF4-FFF2-40B4-BE49-F238E27FC236}">
              <a16:creationId xmlns:a16="http://schemas.microsoft.com/office/drawing/2014/main" id="{00000000-0008-0000-0900-000017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364</xdr:row>
      <xdr:rowOff>0</xdr:rowOff>
    </xdr:from>
    <xdr:ext cx="1905000" cy="1428750"/>
    <xdr:pic>
      <xdr:nvPicPr>
        <xdr:cNvPr id="24" name="Image 23" descr="Picture">
          <a:extLst>
            <a:ext uri="{FF2B5EF4-FFF2-40B4-BE49-F238E27FC236}">
              <a16:creationId xmlns:a16="http://schemas.microsoft.com/office/drawing/2014/main" id="{00000000-0008-0000-0900-000018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8</xdr:col>
      <xdr:colOff>0</xdr:colOff>
      <xdr:row>376</xdr:row>
      <xdr:rowOff>0</xdr:rowOff>
    </xdr:from>
    <xdr:ext cx="1905000" cy="1428750"/>
    <xdr:pic>
      <xdr:nvPicPr>
        <xdr:cNvPr id="25" name="Image 24" descr="Picture">
          <a:extLst>
            <a:ext uri="{FF2B5EF4-FFF2-40B4-BE49-F238E27FC236}">
              <a16:creationId xmlns:a16="http://schemas.microsoft.com/office/drawing/2014/main" id="{00000000-0008-0000-0900-000019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388</xdr:row>
      <xdr:rowOff>0</xdr:rowOff>
    </xdr:from>
    <xdr:ext cx="1905000" cy="1428750"/>
    <xdr:pic>
      <xdr:nvPicPr>
        <xdr:cNvPr id="26" name="Image 25" descr="Picture">
          <a:extLst>
            <a:ext uri="{FF2B5EF4-FFF2-40B4-BE49-F238E27FC236}">
              <a16:creationId xmlns:a16="http://schemas.microsoft.com/office/drawing/2014/main" id="{00000000-0008-0000-0900-00001A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400</xdr:row>
      <xdr:rowOff>0</xdr:rowOff>
    </xdr:from>
    <xdr:ext cx="1905000" cy="1428750"/>
    <xdr:pic>
      <xdr:nvPicPr>
        <xdr:cNvPr id="27" name="Image 26" descr="Picture">
          <a:extLst>
            <a:ext uri="{FF2B5EF4-FFF2-40B4-BE49-F238E27FC236}">
              <a16:creationId xmlns:a16="http://schemas.microsoft.com/office/drawing/2014/main" id="{00000000-0008-0000-0900-00001B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412</xdr:row>
      <xdr:rowOff>0</xdr:rowOff>
    </xdr:from>
    <xdr:ext cx="1905000" cy="1428750"/>
    <xdr:pic>
      <xdr:nvPicPr>
        <xdr:cNvPr id="28" name="Image 27" descr="Picture">
          <a:extLst>
            <a:ext uri="{FF2B5EF4-FFF2-40B4-BE49-F238E27FC236}">
              <a16:creationId xmlns:a16="http://schemas.microsoft.com/office/drawing/2014/main" id="{00000000-0008-0000-0900-00001C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424</xdr:row>
      <xdr:rowOff>0</xdr:rowOff>
    </xdr:from>
    <xdr:ext cx="1905000" cy="1428750"/>
    <xdr:pic>
      <xdr:nvPicPr>
        <xdr:cNvPr id="29" name="Image 28" descr="Picture">
          <a:extLst>
            <a:ext uri="{FF2B5EF4-FFF2-40B4-BE49-F238E27FC236}">
              <a16:creationId xmlns:a16="http://schemas.microsoft.com/office/drawing/2014/main" id="{00000000-0008-0000-0900-00001D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oneCellAnchor>
    <xdr:from>
      <xdr:col>8</xdr:col>
      <xdr:colOff>0</xdr:colOff>
      <xdr:row>436</xdr:row>
      <xdr:rowOff>0</xdr:rowOff>
    </xdr:from>
    <xdr:ext cx="1905000" cy="1428750"/>
    <xdr:pic>
      <xdr:nvPicPr>
        <xdr:cNvPr id="30" name="Image 29" descr="Picture">
          <a:extLst>
            <a:ext uri="{FF2B5EF4-FFF2-40B4-BE49-F238E27FC236}">
              <a16:creationId xmlns:a16="http://schemas.microsoft.com/office/drawing/2014/main" id="{00000000-0008-0000-0900-00001E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oneCellAnchor>
    <xdr:from>
      <xdr:col>8</xdr:col>
      <xdr:colOff>0</xdr:colOff>
      <xdr:row>450</xdr:row>
      <xdr:rowOff>0</xdr:rowOff>
    </xdr:from>
    <xdr:ext cx="1905000" cy="1428750"/>
    <xdr:pic>
      <xdr:nvPicPr>
        <xdr:cNvPr id="31" name="Image 30" descr="Picture">
          <a:extLst>
            <a:ext uri="{FF2B5EF4-FFF2-40B4-BE49-F238E27FC236}">
              <a16:creationId xmlns:a16="http://schemas.microsoft.com/office/drawing/2014/main" id="{00000000-0008-0000-0900-00001F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462</xdr:row>
      <xdr:rowOff>0</xdr:rowOff>
    </xdr:from>
    <xdr:ext cx="1905000" cy="1428750"/>
    <xdr:pic>
      <xdr:nvPicPr>
        <xdr:cNvPr id="32" name="Image 31" descr="Picture">
          <a:extLst>
            <a:ext uri="{FF2B5EF4-FFF2-40B4-BE49-F238E27FC236}">
              <a16:creationId xmlns:a16="http://schemas.microsoft.com/office/drawing/2014/main" id="{00000000-0008-0000-0900-000020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474</xdr:row>
      <xdr:rowOff>0</xdr:rowOff>
    </xdr:from>
    <xdr:ext cx="1905000" cy="1428750"/>
    <xdr:pic>
      <xdr:nvPicPr>
        <xdr:cNvPr id="33" name="Image 32" descr="Picture">
          <a:extLst>
            <a:ext uri="{FF2B5EF4-FFF2-40B4-BE49-F238E27FC236}">
              <a16:creationId xmlns:a16="http://schemas.microsoft.com/office/drawing/2014/main" id="{00000000-0008-0000-0900-000021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486</xdr:row>
      <xdr:rowOff>0</xdr:rowOff>
    </xdr:from>
    <xdr:ext cx="1905000" cy="1428750"/>
    <xdr:pic>
      <xdr:nvPicPr>
        <xdr:cNvPr id="34" name="Image 33" descr="Picture">
          <a:extLst>
            <a:ext uri="{FF2B5EF4-FFF2-40B4-BE49-F238E27FC236}">
              <a16:creationId xmlns:a16="http://schemas.microsoft.com/office/drawing/2014/main" id="{00000000-0008-0000-0900-000022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498</xdr:row>
      <xdr:rowOff>0</xdr:rowOff>
    </xdr:from>
    <xdr:ext cx="1905000" cy="1428750"/>
    <xdr:pic>
      <xdr:nvPicPr>
        <xdr:cNvPr id="35" name="Image 34" descr="Picture">
          <a:extLst>
            <a:ext uri="{FF2B5EF4-FFF2-40B4-BE49-F238E27FC236}">
              <a16:creationId xmlns:a16="http://schemas.microsoft.com/office/drawing/2014/main" id="{00000000-0008-0000-0900-000023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510</xdr:row>
      <xdr:rowOff>0</xdr:rowOff>
    </xdr:from>
    <xdr:ext cx="1905000" cy="1428750"/>
    <xdr:pic>
      <xdr:nvPicPr>
        <xdr:cNvPr id="36" name="Image 35" descr="Picture">
          <a:extLst>
            <a:ext uri="{FF2B5EF4-FFF2-40B4-BE49-F238E27FC236}">
              <a16:creationId xmlns:a16="http://schemas.microsoft.com/office/drawing/2014/main" id="{00000000-0008-0000-0900-000024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522</xdr:row>
      <xdr:rowOff>0</xdr:rowOff>
    </xdr:from>
    <xdr:ext cx="1905000" cy="1428750"/>
    <xdr:pic>
      <xdr:nvPicPr>
        <xdr:cNvPr id="37" name="Image 36" descr="Picture">
          <a:extLst>
            <a:ext uri="{FF2B5EF4-FFF2-40B4-BE49-F238E27FC236}">
              <a16:creationId xmlns:a16="http://schemas.microsoft.com/office/drawing/2014/main" id="{00000000-0008-0000-0900-000025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549</xdr:row>
      <xdr:rowOff>0</xdr:rowOff>
    </xdr:from>
    <xdr:ext cx="1905000" cy="1428750"/>
    <xdr:pic>
      <xdr:nvPicPr>
        <xdr:cNvPr id="38" name="Image 37" descr="Picture">
          <a:extLst>
            <a:ext uri="{FF2B5EF4-FFF2-40B4-BE49-F238E27FC236}">
              <a16:creationId xmlns:a16="http://schemas.microsoft.com/office/drawing/2014/main" id="{00000000-0008-0000-0900-000026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576</xdr:row>
      <xdr:rowOff>0</xdr:rowOff>
    </xdr:from>
    <xdr:ext cx="1905000" cy="1428750"/>
    <xdr:pic>
      <xdr:nvPicPr>
        <xdr:cNvPr id="39" name="Image 38" descr="Picture">
          <a:extLst>
            <a:ext uri="{FF2B5EF4-FFF2-40B4-BE49-F238E27FC236}">
              <a16:creationId xmlns:a16="http://schemas.microsoft.com/office/drawing/2014/main" id="{00000000-0008-0000-0900-000027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601</xdr:row>
      <xdr:rowOff>0</xdr:rowOff>
    </xdr:from>
    <xdr:ext cx="1905000" cy="1428750"/>
    <xdr:pic>
      <xdr:nvPicPr>
        <xdr:cNvPr id="40" name="Image 39" descr="Picture">
          <a:extLst>
            <a:ext uri="{FF2B5EF4-FFF2-40B4-BE49-F238E27FC236}">
              <a16:creationId xmlns:a16="http://schemas.microsoft.com/office/drawing/2014/main" id="{00000000-0008-0000-0900-000028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613</xdr:row>
      <xdr:rowOff>0</xdr:rowOff>
    </xdr:from>
    <xdr:ext cx="1905000" cy="1428750"/>
    <xdr:pic>
      <xdr:nvPicPr>
        <xdr:cNvPr id="41" name="Image 40" descr="Picture">
          <a:extLst>
            <a:ext uri="{FF2B5EF4-FFF2-40B4-BE49-F238E27FC236}">
              <a16:creationId xmlns:a16="http://schemas.microsoft.com/office/drawing/2014/main" id="{00000000-0008-0000-0900-000029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625</xdr:row>
      <xdr:rowOff>0</xdr:rowOff>
    </xdr:from>
    <xdr:ext cx="1905000" cy="1428750"/>
    <xdr:pic>
      <xdr:nvPicPr>
        <xdr:cNvPr id="42" name="Image 41" descr="Picture">
          <a:extLst>
            <a:ext uri="{FF2B5EF4-FFF2-40B4-BE49-F238E27FC236}">
              <a16:creationId xmlns:a16="http://schemas.microsoft.com/office/drawing/2014/main" id="{00000000-0008-0000-0900-00002A000000}"/>
            </a:ext>
          </a:extLst>
        </xdr:cNvPr>
        <xdr:cNvPicPr/>
      </xdr:nvPicPr>
      <xdr:blipFill>
        <a:blip xmlns:r="http://schemas.openxmlformats.org/officeDocument/2006/relationships" r:embed="rId8" cstate="print"/>
        <a:stretch>
          <a:fillRect/>
        </a:stretch>
      </xdr:blipFill>
      <xdr:spPr>
        <a:prstGeom prst="rect">
          <a:avLst/>
        </a:prstGeom>
      </xdr:spPr>
    </xdr:pic>
    <xdr:clientData/>
  </xdr:oneCellAnchor>
  <xdr:oneCellAnchor>
    <xdr:from>
      <xdr:col>8</xdr:col>
      <xdr:colOff>0</xdr:colOff>
      <xdr:row>637</xdr:row>
      <xdr:rowOff>0</xdr:rowOff>
    </xdr:from>
    <xdr:ext cx="1905000" cy="1428750"/>
    <xdr:pic>
      <xdr:nvPicPr>
        <xdr:cNvPr id="43" name="Image 42" descr="Picture">
          <a:extLst>
            <a:ext uri="{FF2B5EF4-FFF2-40B4-BE49-F238E27FC236}">
              <a16:creationId xmlns:a16="http://schemas.microsoft.com/office/drawing/2014/main" id="{00000000-0008-0000-0900-00002B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649</xdr:row>
      <xdr:rowOff>0</xdr:rowOff>
    </xdr:from>
    <xdr:ext cx="1905000" cy="1428750"/>
    <xdr:pic>
      <xdr:nvPicPr>
        <xdr:cNvPr id="44" name="Image 43" descr="Picture">
          <a:extLst>
            <a:ext uri="{FF2B5EF4-FFF2-40B4-BE49-F238E27FC236}">
              <a16:creationId xmlns:a16="http://schemas.microsoft.com/office/drawing/2014/main" id="{00000000-0008-0000-0900-00002C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661</xdr:row>
      <xdr:rowOff>0</xdr:rowOff>
    </xdr:from>
    <xdr:ext cx="1905000" cy="1428750"/>
    <xdr:pic>
      <xdr:nvPicPr>
        <xdr:cNvPr id="45" name="Image 44" descr="Picture">
          <a:extLst>
            <a:ext uri="{FF2B5EF4-FFF2-40B4-BE49-F238E27FC236}">
              <a16:creationId xmlns:a16="http://schemas.microsoft.com/office/drawing/2014/main" id="{00000000-0008-0000-0900-00002D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673</xdr:row>
      <xdr:rowOff>0</xdr:rowOff>
    </xdr:from>
    <xdr:ext cx="1905000" cy="1428750"/>
    <xdr:pic>
      <xdr:nvPicPr>
        <xdr:cNvPr id="46" name="Image 45" descr="Picture">
          <a:extLst>
            <a:ext uri="{FF2B5EF4-FFF2-40B4-BE49-F238E27FC236}">
              <a16:creationId xmlns:a16="http://schemas.microsoft.com/office/drawing/2014/main" id="{00000000-0008-0000-0900-00002E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694</xdr:row>
      <xdr:rowOff>0</xdr:rowOff>
    </xdr:from>
    <xdr:ext cx="1905000" cy="1428750"/>
    <xdr:pic>
      <xdr:nvPicPr>
        <xdr:cNvPr id="47" name="Image 46" descr="Picture">
          <a:extLst>
            <a:ext uri="{FF2B5EF4-FFF2-40B4-BE49-F238E27FC236}">
              <a16:creationId xmlns:a16="http://schemas.microsoft.com/office/drawing/2014/main" id="{00000000-0008-0000-0900-00002F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715</xdr:row>
      <xdr:rowOff>0</xdr:rowOff>
    </xdr:from>
    <xdr:ext cx="1905000" cy="1428750"/>
    <xdr:pic>
      <xdr:nvPicPr>
        <xdr:cNvPr id="48" name="Image 47" descr="Picture">
          <a:extLst>
            <a:ext uri="{FF2B5EF4-FFF2-40B4-BE49-F238E27FC236}">
              <a16:creationId xmlns:a16="http://schemas.microsoft.com/office/drawing/2014/main" id="{00000000-0008-0000-0900-000030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728</xdr:row>
      <xdr:rowOff>0</xdr:rowOff>
    </xdr:from>
    <xdr:ext cx="1905000" cy="1428750"/>
    <xdr:pic>
      <xdr:nvPicPr>
        <xdr:cNvPr id="49" name="Image 48" descr="Picture">
          <a:extLst>
            <a:ext uri="{FF2B5EF4-FFF2-40B4-BE49-F238E27FC236}">
              <a16:creationId xmlns:a16="http://schemas.microsoft.com/office/drawing/2014/main" id="{00000000-0008-0000-0900-000031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740</xdr:row>
      <xdr:rowOff>0</xdr:rowOff>
    </xdr:from>
    <xdr:ext cx="1905000" cy="1428750"/>
    <xdr:pic>
      <xdr:nvPicPr>
        <xdr:cNvPr id="50" name="Image 49" descr="Picture">
          <a:extLst>
            <a:ext uri="{FF2B5EF4-FFF2-40B4-BE49-F238E27FC236}">
              <a16:creationId xmlns:a16="http://schemas.microsoft.com/office/drawing/2014/main" id="{00000000-0008-0000-0900-000032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752</xdr:row>
      <xdr:rowOff>0</xdr:rowOff>
    </xdr:from>
    <xdr:ext cx="1905000" cy="1428750"/>
    <xdr:pic>
      <xdr:nvPicPr>
        <xdr:cNvPr id="51" name="Image 50" descr="Picture">
          <a:extLst>
            <a:ext uri="{FF2B5EF4-FFF2-40B4-BE49-F238E27FC236}">
              <a16:creationId xmlns:a16="http://schemas.microsoft.com/office/drawing/2014/main" id="{00000000-0008-0000-0900-000033000000}"/>
            </a:ext>
          </a:extLst>
        </xdr:cNvPr>
        <xdr:cNvPicPr/>
      </xdr:nvPicPr>
      <xdr:blipFill>
        <a:blip xmlns:r="http://schemas.openxmlformats.org/officeDocument/2006/relationships" r:embed="rId8" cstate="print"/>
        <a:stretch>
          <a:fillRect/>
        </a:stretch>
      </xdr:blipFill>
      <xdr:spPr>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editAs="absolute">
    <xdr:from>
      <xdr:col>19</xdr:col>
      <xdr:colOff>0</xdr:colOff>
      <xdr:row>2</xdr:row>
      <xdr:rowOff>0</xdr:rowOff>
    </xdr:from>
    <xdr:to>
      <xdr:col>22</xdr:col>
      <xdr:colOff>342900</xdr:colOff>
      <xdr:row>3</xdr:row>
      <xdr:rowOff>161925</xdr:rowOff>
    </xdr:to>
    <xdr:sp macro="Autobalancear" textlink="">
      <xdr:nvSpPr>
        <xdr:cNvPr id="2" name="Rectangle: Rounded Corners 1">
          <a:extLst>
            <a:ext uri="{FF2B5EF4-FFF2-40B4-BE49-F238E27FC236}">
              <a16:creationId xmlns:a16="http://schemas.microsoft.com/office/drawing/2014/main" id="{06802239-77A7-FF58-1BC9-F78D9160111D}"/>
            </a:ext>
          </a:extLst>
        </xdr:cNvPr>
        <xdr:cNvSpPr/>
      </xdr:nvSpPr>
      <xdr:spPr>
        <a:xfrm>
          <a:off x="20916900" y="4286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Autobalancear</a:t>
          </a:r>
        </a:p>
      </xdr:txBody>
    </xdr:sp>
    <xdr:clientData fPrintsWithSheet="0"/>
  </xdr:twoCellAnchor>
  <xdr:twoCellAnchor editAs="absolute">
    <xdr:from>
      <xdr:col>22</xdr:col>
      <xdr:colOff>469900</xdr:colOff>
      <xdr:row>2</xdr:row>
      <xdr:rowOff>0</xdr:rowOff>
    </xdr:from>
    <xdr:to>
      <xdr:col>23</xdr:col>
      <xdr:colOff>612775</xdr:colOff>
      <xdr:row>3</xdr:row>
      <xdr:rowOff>161925</xdr:rowOff>
    </xdr:to>
    <xdr:sp macro="ActualizarProyecto" textlink="">
      <xdr:nvSpPr>
        <xdr:cNvPr id="3" name="Rectangle: Rounded Corners 2">
          <a:extLst>
            <a:ext uri="{FF2B5EF4-FFF2-40B4-BE49-F238E27FC236}">
              <a16:creationId xmlns:a16="http://schemas.microsoft.com/office/drawing/2014/main" id="{3E0E4C7C-0C3F-E4F9-D3AF-86858528E485}"/>
            </a:ext>
          </a:extLst>
        </xdr:cNvPr>
        <xdr:cNvSpPr/>
      </xdr:nvSpPr>
      <xdr:spPr>
        <a:xfrm>
          <a:off x="23329900" y="4286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proyecto</a:t>
          </a:r>
        </a:p>
      </xdr:txBody>
    </xdr:sp>
    <xdr:clientData fPrintsWithSheet="0"/>
  </xdr:twoCellAnchor>
  <xdr:twoCellAnchor editAs="absolute">
    <xdr:from>
      <xdr:col>19</xdr:col>
      <xdr:colOff>0</xdr:colOff>
      <xdr:row>4</xdr:row>
      <xdr:rowOff>44450</xdr:rowOff>
    </xdr:from>
    <xdr:to>
      <xdr:col>22</xdr:col>
      <xdr:colOff>342900</xdr:colOff>
      <xdr:row>6</xdr:row>
      <xdr:rowOff>25400</xdr:rowOff>
    </xdr:to>
    <xdr:sp macro="NuevoDerivado" textlink="">
      <xdr:nvSpPr>
        <xdr:cNvPr id="4" name="Rectangle: Rounded Corners 3">
          <a:extLst>
            <a:ext uri="{FF2B5EF4-FFF2-40B4-BE49-F238E27FC236}">
              <a16:creationId xmlns:a16="http://schemas.microsoft.com/office/drawing/2014/main" id="{3822EF56-3A79-62C6-373A-6EAC3054C1C6}"/>
            </a:ext>
          </a:extLst>
        </xdr:cNvPr>
        <xdr:cNvSpPr/>
      </xdr:nvSpPr>
      <xdr:spPr>
        <a:xfrm>
          <a:off x="20916900" y="8350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 Tablero derivado</a:t>
          </a:r>
        </a:p>
      </xdr:txBody>
    </xdr:sp>
    <xdr:clientData fPrintsWithSheet="0"/>
  </xdr:twoCellAnchor>
  <xdr:twoCellAnchor editAs="absolute">
    <xdr:from>
      <xdr:col>22</xdr:col>
      <xdr:colOff>469900</xdr:colOff>
      <xdr:row>4</xdr:row>
      <xdr:rowOff>44450</xdr:rowOff>
    </xdr:from>
    <xdr:to>
      <xdr:col>23</xdr:col>
      <xdr:colOff>612775</xdr:colOff>
      <xdr:row>6</xdr:row>
      <xdr:rowOff>25400</xdr:rowOff>
    </xdr:to>
    <xdr:sp macro="DuplicarTablero" textlink="">
      <xdr:nvSpPr>
        <xdr:cNvPr id="5" name="Rectangle: Rounded Corners 4">
          <a:extLst>
            <a:ext uri="{FF2B5EF4-FFF2-40B4-BE49-F238E27FC236}">
              <a16:creationId xmlns:a16="http://schemas.microsoft.com/office/drawing/2014/main" id="{65AB6DEB-0D3D-21DB-4014-3DE056DB5CC4}"/>
            </a:ext>
          </a:extLst>
        </xdr:cNvPr>
        <xdr:cNvSpPr/>
      </xdr:nvSpPr>
      <xdr:spPr>
        <a:xfrm>
          <a:off x="23329900" y="8350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tablero</a:t>
          </a:r>
        </a:p>
      </xdr:txBody>
    </xdr:sp>
    <xdr:clientData fPrintsWithSheet="0"/>
  </xdr:twoCellAnchor>
  <xdr:twoCellAnchor editAs="absolute">
    <xdr:from>
      <xdr:col>19</xdr:col>
      <xdr:colOff>0</xdr:colOff>
      <xdr:row>6</xdr:row>
      <xdr:rowOff>88900</xdr:rowOff>
    </xdr:from>
    <xdr:to>
      <xdr:col>22</xdr:col>
      <xdr:colOff>342900</xdr:colOff>
      <xdr:row>8</xdr:row>
      <xdr:rowOff>69850</xdr:rowOff>
    </xdr:to>
    <xdr:sp macro="DuplicarCircuito" textlink="">
      <xdr:nvSpPr>
        <xdr:cNvPr id="6" name="Rectangle: Rounded Corners 5">
          <a:extLst>
            <a:ext uri="{FF2B5EF4-FFF2-40B4-BE49-F238E27FC236}">
              <a16:creationId xmlns:a16="http://schemas.microsoft.com/office/drawing/2014/main" id="{E9540A4C-8CB2-1703-1072-B3B3E9AA819A}"/>
            </a:ext>
          </a:extLst>
        </xdr:cNvPr>
        <xdr:cNvSpPr/>
      </xdr:nvSpPr>
      <xdr:spPr>
        <a:xfrm>
          <a:off x="20916900" y="12414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circuito (fila activa)</a:t>
          </a:r>
        </a:p>
      </xdr:txBody>
    </xdr:sp>
    <xdr:clientData fPrintsWithSheet="0"/>
  </xdr:twoCellAnchor>
  <xdr:twoCellAnchor editAs="absolute">
    <xdr:from>
      <xdr:col>22</xdr:col>
      <xdr:colOff>469900</xdr:colOff>
      <xdr:row>6</xdr:row>
      <xdr:rowOff>88900</xdr:rowOff>
    </xdr:from>
    <xdr:to>
      <xdr:col>23</xdr:col>
      <xdr:colOff>612775</xdr:colOff>
      <xdr:row>8</xdr:row>
      <xdr:rowOff>69850</xdr:rowOff>
    </xdr:to>
    <xdr:sp macro="MoverCircuito" textlink="">
      <xdr:nvSpPr>
        <xdr:cNvPr id="7" name="Rectangle: Rounded Corners 6">
          <a:extLst>
            <a:ext uri="{FF2B5EF4-FFF2-40B4-BE49-F238E27FC236}">
              <a16:creationId xmlns:a16="http://schemas.microsoft.com/office/drawing/2014/main" id="{34C67D11-E4A1-8EF5-788C-8C975D159866}"/>
            </a:ext>
          </a:extLst>
        </xdr:cNvPr>
        <xdr:cNvSpPr/>
      </xdr:nvSpPr>
      <xdr:spPr>
        <a:xfrm>
          <a:off x="23329900" y="12414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Mover circuito (fila activa)</a:t>
          </a:r>
        </a:p>
      </xdr:txBody>
    </xdr:sp>
    <xdr:clientData fPrintsWithSheet="0"/>
  </xdr:twoCellAnchor>
  <xdr:twoCellAnchor editAs="absolute">
    <xdr:from>
      <xdr:col>19</xdr:col>
      <xdr:colOff>0</xdr:colOff>
      <xdr:row>8</xdr:row>
      <xdr:rowOff>133350</xdr:rowOff>
    </xdr:from>
    <xdr:to>
      <xdr:col>22</xdr:col>
      <xdr:colOff>342900</xdr:colOff>
      <xdr:row>10</xdr:row>
      <xdr:rowOff>114300</xdr:rowOff>
    </xdr:to>
    <xdr:sp macro="IrAProyecto" textlink="">
      <xdr:nvSpPr>
        <xdr:cNvPr id="8" name="Rectangle: Rounded Corners 7">
          <a:extLst>
            <a:ext uri="{FF2B5EF4-FFF2-40B4-BE49-F238E27FC236}">
              <a16:creationId xmlns:a16="http://schemas.microsoft.com/office/drawing/2014/main" id="{ED570DFE-716B-0006-8672-8B3E3AD6201A}"/>
            </a:ext>
          </a:extLst>
        </xdr:cNvPr>
        <xdr:cNvSpPr/>
      </xdr:nvSpPr>
      <xdr:spPr>
        <a:xfrm>
          <a:off x="20916900" y="16478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Ir a PROYECTO</a:t>
          </a:r>
        </a:p>
      </xdr:txBody>
    </xdr:sp>
    <xdr:clientData fPrintsWithSheet="0"/>
  </xdr:twoCellAnchor>
  <xdr:twoCellAnchor editAs="absolute">
    <xdr:from>
      <xdr:col>22</xdr:col>
      <xdr:colOff>469900</xdr:colOff>
      <xdr:row>8</xdr:row>
      <xdr:rowOff>133350</xdr:rowOff>
    </xdr:from>
    <xdr:to>
      <xdr:col>23</xdr:col>
      <xdr:colOff>612775</xdr:colOff>
      <xdr:row>10</xdr:row>
      <xdr:rowOff>114300</xdr:rowOff>
    </xdr:to>
    <xdr:sp macro="EliminarTablero" textlink="">
      <xdr:nvSpPr>
        <xdr:cNvPr id="9" name="Rectangle: Rounded Corners 8">
          <a:extLst>
            <a:ext uri="{FF2B5EF4-FFF2-40B4-BE49-F238E27FC236}">
              <a16:creationId xmlns:a16="http://schemas.microsoft.com/office/drawing/2014/main" id="{73CF8441-5A76-06C4-D13C-03D329D29472}"/>
            </a:ext>
          </a:extLst>
        </xdr:cNvPr>
        <xdr:cNvSpPr/>
      </xdr:nvSpPr>
      <xdr:spPr>
        <a:xfrm>
          <a:off x="23329900" y="1647825"/>
          <a:ext cx="2286000" cy="342900"/>
        </a:xfrm>
        <a:prstGeom prst="roundRect">
          <a:avLst/>
        </a:prstGeom>
        <a:solidFill>
          <a:srgbClr val="B02B2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Eliminar tablero</a:t>
          </a:r>
        </a:p>
      </xdr:txBody>
    </xdr:sp>
    <xdr:clientData fPrintsWithSheet="0"/>
  </xdr:twoCellAnchor>
</xdr:wsDr>
</file>

<file path=xl/drawings/drawing10.xml><?xml version="1.0" encoding="utf-8"?>
<xdr:wsDr xmlns:xdr="http://schemas.openxmlformats.org/drawingml/2006/spreadsheetDrawing" xmlns:a="http://schemas.openxmlformats.org/drawingml/2006/main">
  <xdr:oneCellAnchor>
    <xdr:from>
      <xdr:col>22</xdr:col>
      <xdr:colOff>0</xdr:colOff>
      <xdr:row>0</xdr:row>
      <xdr:rowOff>0</xdr:rowOff>
    </xdr:from>
    <xdr:ext cx="2857500" cy="1019175"/>
    <xdr:pic>
      <xdr:nvPicPr>
        <xdr:cNvPr id="2" name="Image 1" descr="Picture">
          <a:extLst>
            <a:ext uri="{FF2B5EF4-FFF2-40B4-BE49-F238E27FC236}">
              <a16:creationId xmlns:a16="http://schemas.microsoft.com/office/drawing/2014/main" id="{00000000-0008-0000-0B00-000002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B15"/>
  <sheetViews>
    <sheetView showGridLines="0" tabSelected="1" workbookViewId="0"/>
  </sheetViews>
  <sheetFormatPr defaultRowHeight="14.25" x14ac:dyDescent="0.45"/>
  <cols>
    <col min="2" max="2" width="140" customWidth="1"/>
  </cols>
  <sheetData>
    <row r="2" spans="2:2" ht="27" x14ac:dyDescent="0.65">
      <c r="B2" s="1" t="s">
        <v>0</v>
      </c>
    </row>
    <row r="3" spans="2:2" x14ac:dyDescent="0.45">
      <c r="B3" s="2" t="s">
        <v>1</v>
      </c>
    </row>
    <row r="6" spans="2:2" ht="14.65" x14ac:dyDescent="0.45">
      <c r="B6" s="3" t="s">
        <v>2</v>
      </c>
    </row>
    <row r="7" spans="2:2" ht="14.65" x14ac:dyDescent="0.45">
      <c r="B7" s="3" t="s">
        <v>3</v>
      </c>
    </row>
    <row r="8" spans="2:2" ht="14.65" x14ac:dyDescent="0.45">
      <c r="B8" s="3" t="s">
        <v>4</v>
      </c>
    </row>
    <row r="9" spans="2:2" ht="14.65" x14ac:dyDescent="0.45">
      <c r="B9" s="3" t="s">
        <v>5</v>
      </c>
    </row>
    <row r="10" spans="2:2" ht="14.65" x14ac:dyDescent="0.45">
      <c r="B10" s="3" t="s">
        <v>6</v>
      </c>
    </row>
    <row r="11" spans="2:2" ht="14.65" x14ac:dyDescent="0.45">
      <c r="B11" s="3" t="s">
        <v>7</v>
      </c>
    </row>
    <row r="12" spans="2:2" ht="14.65" x14ac:dyDescent="0.45">
      <c r="B12" s="3" t="s">
        <v>8</v>
      </c>
    </row>
    <row r="13" spans="2:2" ht="14.65" x14ac:dyDescent="0.45">
      <c r="B13" s="3" t="s">
        <v>9</v>
      </c>
    </row>
    <row r="14" spans="2:2" ht="14.65" x14ac:dyDescent="0.45">
      <c r="B14" s="3" t="s">
        <v>10</v>
      </c>
    </row>
    <row r="15" spans="2:2" ht="14.65" x14ac:dyDescent="0.45">
      <c r="B15" s="3" t="s">
        <v>11</v>
      </c>
    </row>
  </sheetData>
  <pageMargins left="0.75" right="0.75" top="1" bottom="1" header="0.5" footer="0.5"/>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P16"/>
  <sheetViews>
    <sheetView workbookViewId="0">
      <pane xSplit="1" ySplit="16" topLeftCell="B17" activePane="bottomRight" state="frozen"/>
      <selection pane="topRight"/>
      <selection pane="bottomLeft"/>
      <selection pane="bottomRight"/>
    </sheetView>
  </sheetViews>
  <sheetFormatPr defaultRowHeight="14.25" x14ac:dyDescent="0.45"/>
  <cols>
    <col min="2" max="2" width="18" customWidth="1"/>
    <col min="3" max="3" width="6" customWidth="1"/>
    <col min="4" max="4" width="10" customWidth="1"/>
    <col min="5" max="5" width="18" customWidth="1"/>
    <col min="6" max="6" width="9" customWidth="1"/>
    <col min="7" max="9" width="11" customWidth="1"/>
    <col min="10" max="11" width="10" customWidth="1"/>
    <col min="12" max="12" width="9" customWidth="1"/>
    <col min="13" max="13" width="22" customWidth="1"/>
    <col min="14" max="14" width="60" customWidth="1"/>
    <col min="15" max="16" width="9" customWidth="1"/>
  </cols>
  <sheetData>
    <row r="1" spans="2:16" ht="21.75" x14ac:dyDescent="0.5">
      <c r="B1" s="4" t="s">
        <v>12</v>
      </c>
    </row>
    <row r="3" spans="2:16" x14ac:dyDescent="0.45">
      <c r="B3" s="2" t="s">
        <v>13</v>
      </c>
      <c r="C3" s="5"/>
      <c r="E3" s="2" t="s">
        <v>14</v>
      </c>
      <c r="F3" s="5">
        <v>3</v>
      </c>
    </row>
    <row r="4" spans="2:16" x14ac:dyDescent="0.45">
      <c r="B4" s="2" t="s">
        <v>15</v>
      </c>
      <c r="C4" s="5"/>
      <c r="E4" s="2" t="s">
        <v>16</v>
      </c>
      <c r="F4" s="5">
        <v>5</v>
      </c>
    </row>
    <row r="5" spans="2:16" x14ac:dyDescent="0.45">
      <c r="B5" s="2" t="s">
        <v>17</v>
      </c>
      <c r="C5" s="5"/>
      <c r="E5" s="2" t="s">
        <v>18</v>
      </c>
      <c r="F5" s="5">
        <v>10</v>
      </c>
    </row>
    <row r="6" spans="2:16" x14ac:dyDescent="0.45">
      <c r="B6" s="2" t="s">
        <v>19</v>
      </c>
      <c r="C6" s="5"/>
      <c r="E6" s="2" t="s">
        <v>20</v>
      </c>
      <c r="F6" s="5">
        <v>20</v>
      </c>
    </row>
    <row r="7" spans="2:16" x14ac:dyDescent="0.45">
      <c r="B7" s="2" t="s">
        <v>21</v>
      </c>
      <c r="C7" s="5"/>
      <c r="E7" s="2" t="s">
        <v>22</v>
      </c>
      <c r="F7" s="5" t="s">
        <v>23</v>
      </c>
    </row>
    <row r="8" spans="2:16" x14ac:dyDescent="0.45">
      <c r="B8" s="2" t="s">
        <v>24</v>
      </c>
      <c r="C8" s="5"/>
      <c r="E8" s="2" t="s">
        <v>25</v>
      </c>
      <c r="F8" s="5">
        <v>20</v>
      </c>
    </row>
    <row r="9" spans="2:16" x14ac:dyDescent="0.45">
      <c r="E9" s="2" t="s">
        <v>26</v>
      </c>
      <c r="F9" s="5" t="s">
        <v>27</v>
      </c>
    </row>
    <row r="10" spans="2:16" x14ac:dyDescent="0.45">
      <c r="E10" s="2" t="s">
        <v>28</v>
      </c>
      <c r="F10" s="5"/>
    </row>
    <row r="11" spans="2:16" x14ac:dyDescent="0.45">
      <c r="E11" s="2" t="s">
        <v>29</v>
      </c>
      <c r="F11" s="5" t="s">
        <v>30</v>
      </c>
    </row>
    <row r="12" spans="2:16" x14ac:dyDescent="0.45">
      <c r="E12" s="2" t="s">
        <v>31</v>
      </c>
      <c r="F12" s="5" t="s">
        <v>32</v>
      </c>
    </row>
    <row r="15" spans="2:16" ht="14.65" x14ac:dyDescent="0.45">
      <c r="B15" s="6" t="s">
        <v>33</v>
      </c>
    </row>
    <row r="16" spans="2:16" ht="33.75" x14ac:dyDescent="0.45">
      <c r="B16" s="7" t="s">
        <v>34</v>
      </c>
      <c r="C16" s="7" t="s">
        <v>35</v>
      </c>
      <c r="D16" s="7" t="s">
        <v>36</v>
      </c>
      <c r="E16" s="7" t="s">
        <v>37</v>
      </c>
      <c r="F16" s="7" t="s">
        <v>38</v>
      </c>
      <c r="G16" s="7" t="s">
        <v>39</v>
      </c>
      <c r="H16" s="7" t="s">
        <v>40</v>
      </c>
      <c r="I16" s="7" t="s">
        <v>41</v>
      </c>
      <c r="J16" s="7" t="s">
        <v>42</v>
      </c>
      <c r="K16" s="7" t="s">
        <v>43</v>
      </c>
      <c r="L16" s="7" t="s">
        <v>44</v>
      </c>
      <c r="M16" s="7" t="s">
        <v>45</v>
      </c>
      <c r="N16" s="7" t="s">
        <v>46</v>
      </c>
      <c r="O16" s="7" t="s">
        <v>47</v>
      </c>
      <c r="P16" s="7" t="s">
        <v>48</v>
      </c>
    </row>
  </sheetData>
  <dataValidations count="4">
    <dataValidation type="list" allowBlank="1" sqref="F7" xr:uid="{00000000-0002-0000-0100-000000000000}">
      <formula1>L_MARCAS</formula1>
    </dataValidation>
    <dataValidation type="list" allowBlank="1" sqref="F9" xr:uid="{00000000-0002-0000-0100-000001000000}">
      <formula1>L_OCUP</formula1>
    </dataValidation>
    <dataValidation type="list" allowBlank="1" sqref="F11" xr:uid="{00000000-0002-0000-0100-000002000000}">
      <formula1>L_CDERIV</formula1>
    </dataValidation>
    <dataValidation type="list" allowBlank="1" sqref="F12" xr:uid="{00000000-0002-0000-0100-000003000000}">
      <formula1>L_SINO</formula1>
    </dataValidation>
  </dataValidations>
  <pageMargins left="0.75" right="0.75" top="1" bottom="1" header="0.5" footer="0.5"/>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U10"/>
  <sheetViews>
    <sheetView showGridLines="0" zoomScale="60" workbookViewId="0"/>
  </sheetViews>
  <sheetFormatPr defaultRowHeight="14.25" x14ac:dyDescent="0.45"/>
  <cols>
    <col min="1" max="1" width="4" customWidth="1"/>
    <col min="2" max="2" width="35.796875" customWidth="1"/>
    <col min="3" max="3" width="30.19921875" customWidth="1"/>
    <col min="4" max="4" width="18.796875" customWidth="1"/>
    <col min="5" max="5" width="18.86328125" customWidth="1"/>
    <col min="6" max="6" width="15.46484375" customWidth="1"/>
    <col min="7" max="7" width="15.796875" customWidth="1"/>
    <col min="8" max="8" width="15.06640625" customWidth="1"/>
    <col min="9" max="9" width="15" customWidth="1"/>
    <col min="10" max="10" width="9" customWidth="1"/>
    <col min="11" max="11" width="15.46484375" customWidth="1"/>
    <col min="12" max="13" width="13.86328125" customWidth="1"/>
    <col min="14" max="14" width="9" customWidth="1"/>
    <col min="15" max="15" width="13.796875" customWidth="1"/>
    <col min="16" max="16" width="18.19921875" customWidth="1"/>
    <col min="17" max="17" width="16.796875" customWidth="1"/>
    <col min="18" max="18" width="10" customWidth="1"/>
    <col min="19" max="19" width="17.796875" customWidth="1"/>
    <col min="20" max="20" width="12" customWidth="1"/>
    <col min="21" max="23" width="14" customWidth="1"/>
    <col min="24" max="24" width="19.06640625" customWidth="1"/>
    <col min="25" max="25" width="18.19921875" customWidth="1"/>
    <col min="26" max="26" width="32.06640625" customWidth="1"/>
    <col min="27" max="27" width="23.46484375" customWidth="1"/>
    <col min="28" max="28" width="16.46484375" customWidth="1"/>
    <col min="29" max="29" width="15" customWidth="1"/>
    <col min="30" max="31" width="10" customWidth="1"/>
    <col min="32" max="32" width="16" customWidth="1"/>
    <col min="33" max="33" width="20.19921875" customWidth="1"/>
    <col min="34" max="34" width="21.796875" customWidth="1"/>
    <col min="35" max="35" width="34.86328125" customWidth="1"/>
    <col min="36" max="36" width="21.796875" customWidth="1"/>
    <col min="37" max="37" width="12" customWidth="1"/>
    <col min="38" max="38" width="14" customWidth="1"/>
    <col min="39" max="39" width="12" customWidth="1"/>
    <col min="40" max="40" width="21.46484375" customWidth="1"/>
    <col min="41" max="41" width="30.86328125" customWidth="1"/>
    <col min="42" max="42" width="43" customWidth="1"/>
    <col min="43" max="43" width="16.19921875" customWidth="1"/>
    <col min="44" max="44" width="21.796875" customWidth="1"/>
    <col min="45" max="45" width="14" customWidth="1"/>
    <col min="46" max="46" width="10" customWidth="1"/>
    <col min="47" max="47" width="12" customWidth="1"/>
  </cols>
  <sheetData>
    <row r="1" spans="2:47" x14ac:dyDescent="0.45">
      <c r="B1" s="52" t="s">
        <v>49</v>
      </c>
      <c r="C1" s="53"/>
      <c r="D1" s="53"/>
      <c r="E1" s="53"/>
      <c r="F1" s="53"/>
      <c r="G1" s="53"/>
      <c r="H1" s="53"/>
      <c r="I1" s="53"/>
      <c r="J1" s="53"/>
      <c r="K1" s="53"/>
      <c r="L1" s="53"/>
      <c r="M1" s="53"/>
      <c r="N1" s="54"/>
      <c r="O1" s="52"/>
      <c r="P1" s="53"/>
      <c r="Q1" s="53"/>
      <c r="R1" s="53"/>
      <c r="S1" s="53"/>
      <c r="T1" s="53"/>
      <c r="U1" s="53"/>
      <c r="V1" s="53"/>
      <c r="W1" s="53"/>
      <c r="X1" s="53"/>
      <c r="Y1" s="54"/>
      <c r="Z1" s="52" t="s">
        <v>50</v>
      </c>
      <c r="AA1" s="53"/>
      <c r="AB1" s="53"/>
      <c r="AC1" s="53"/>
      <c r="AD1" s="53"/>
      <c r="AE1" s="53"/>
      <c r="AF1" s="53"/>
      <c r="AG1" s="54"/>
      <c r="AH1" s="52" t="s">
        <v>51</v>
      </c>
      <c r="AI1" s="53"/>
      <c r="AJ1" s="53"/>
      <c r="AK1" s="53"/>
      <c r="AL1" s="53"/>
      <c r="AM1" s="53"/>
      <c r="AN1" s="54"/>
      <c r="AO1" s="52" t="s">
        <v>52</v>
      </c>
      <c r="AP1" s="53"/>
      <c r="AQ1" s="53"/>
      <c r="AR1" s="53"/>
      <c r="AS1" s="53"/>
      <c r="AT1" s="53"/>
      <c r="AU1" s="54"/>
    </row>
    <row r="2" spans="2:47" x14ac:dyDescent="0.45">
      <c r="B2" s="55"/>
      <c r="C2" s="56"/>
      <c r="D2" s="56"/>
      <c r="E2" s="56"/>
      <c r="F2" s="56"/>
      <c r="G2" s="56"/>
      <c r="H2" s="56"/>
      <c r="I2" s="56"/>
      <c r="J2" s="56"/>
      <c r="K2" s="56"/>
      <c r="L2" s="56"/>
      <c r="M2" s="56"/>
      <c r="N2" s="57"/>
      <c r="O2" s="55"/>
      <c r="P2" s="56"/>
      <c r="Q2" s="56"/>
      <c r="R2" s="56"/>
      <c r="S2" s="56"/>
      <c r="T2" s="56"/>
      <c r="U2" s="56"/>
      <c r="V2" s="56"/>
      <c r="W2" s="56"/>
      <c r="X2" s="56"/>
      <c r="Y2" s="57"/>
      <c r="Z2" s="55"/>
      <c r="AA2" s="56"/>
      <c r="AB2" s="56"/>
      <c r="AC2" s="56"/>
      <c r="AD2" s="56"/>
      <c r="AE2" s="56"/>
      <c r="AF2" s="56"/>
      <c r="AG2" s="57"/>
      <c r="AH2" s="55"/>
      <c r="AI2" s="56"/>
      <c r="AJ2" s="56"/>
      <c r="AK2" s="56"/>
      <c r="AL2" s="56"/>
      <c r="AM2" s="56"/>
      <c r="AN2" s="57"/>
      <c r="AO2" s="55"/>
      <c r="AP2" s="56"/>
      <c r="AQ2" s="56"/>
      <c r="AR2" s="56"/>
      <c r="AS2" s="56"/>
      <c r="AT2" s="56"/>
      <c r="AU2" s="57"/>
    </row>
    <row r="3" spans="2:47" x14ac:dyDescent="0.45">
      <c r="B3" s="55"/>
      <c r="C3" s="56"/>
      <c r="D3" s="56"/>
      <c r="E3" s="56"/>
      <c r="F3" s="56"/>
      <c r="G3" s="56"/>
      <c r="H3" s="56"/>
      <c r="I3" s="56"/>
      <c r="J3" s="56"/>
      <c r="K3" s="56"/>
      <c r="L3" s="56"/>
      <c r="M3" s="56"/>
      <c r="N3" s="57"/>
      <c r="O3" s="55"/>
      <c r="P3" s="56"/>
      <c r="Q3" s="56"/>
      <c r="R3" s="56"/>
      <c r="S3" s="56"/>
      <c r="T3" s="56"/>
      <c r="U3" s="56"/>
      <c r="V3" s="56"/>
      <c r="W3" s="56"/>
      <c r="X3" s="56"/>
      <c r="Y3" s="57"/>
      <c r="Z3" s="55"/>
      <c r="AA3" s="56"/>
      <c r="AB3" s="56"/>
      <c r="AC3" s="56"/>
      <c r="AD3" s="56"/>
      <c r="AE3" s="56"/>
      <c r="AF3" s="56"/>
      <c r="AG3" s="57"/>
      <c r="AH3" s="55"/>
      <c r="AI3" s="56"/>
      <c r="AJ3" s="56"/>
      <c r="AK3" s="56"/>
      <c r="AL3" s="56"/>
      <c r="AM3" s="56"/>
      <c r="AN3" s="57"/>
      <c r="AO3" s="55"/>
      <c r="AP3" s="56"/>
      <c r="AQ3" s="56"/>
      <c r="AR3" s="56"/>
      <c r="AS3" s="56"/>
      <c r="AT3" s="56"/>
      <c r="AU3" s="57"/>
    </row>
    <row r="4" spans="2:47" x14ac:dyDescent="0.45">
      <c r="B4" s="55"/>
      <c r="C4" s="56"/>
      <c r="D4" s="56"/>
      <c r="E4" s="56"/>
      <c r="F4" s="56"/>
      <c r="G4" s="56"/>
      <c r="H4" s="56"/>
      <c r="I4" s="56"/>
      <c r="J4" s="56"/>
      <c r="K4" s="56"/>
      <c r="L4" s="56"/>
      <c r="M4" s="56"/>
      <c r="N4" s="57"/>
      <c r="O4" s="55"/>
      <c r="P4" s="56"/>
      <c r="Q4" s="56"/>
      <c r="R4" s="56"/>
      <c r="S4" s="56"/>
      <c r="T4" s="56"/>
      <c r="U4" s="56"/>
      <c r="V4" s="56"/>
      <c r="W4" s="56"/>
      <c r="X4" s="56"/>
      <c r="Y4" s="57"/>
      <c r="Z4" s="55"/>
      <c r="AA4" s="56"/>
      <c r="AB4" s="56"/>
      <c r="AC4" s="56"/>
      <c r="AD4" s="56"/>
      <c r="AE4" s="56"/>
      <c r="AF4" s="56"/>
      <c r="AG4" s="57"/>
      <c r="AH4" s="55"/>
      <c r="AI4" s="56"/>
      <c r="AJ4" s="56"/>
      <c r="AK4" s="56"/>
      <c r="AL4" s="56"/>
      <c r="AM4" s="56"/>
      <c r="AN4" s="57"/>
      <c r="AO4" s="55"/>
      <c r="AP4" s="56"/>
      <c r="AQ4" s="56"/>
      <c r="AR4" s="56"/>
      <c r="AS4" s="56"/>
      <c r="AT4" s="56"/>
      <c r="AU4" s="57"/>
    </row>
    <row r="5" spans="2:47" x14ac:dyDescent="0.45">
      <c r="B5" s="55"/>
      <c r="C5" s="56"/>
      <c r="D5" s="56"/>
      <c r="E5" s="56"/>
      <c r="F5" s="56"/>
      <c r="G5" s="56"/>
      <c r="H5" s="56"/>
      <c r="I5" s="56"/>
      <c r="J5" s="56"/>
      <c r="K5" s="56"/>
      <c r="L5" s="56"/>
      <c r="M5" s="56"/>
      <c r="N5" s="57"/>
      <c r="O5" s="55"/>
      <c r="P5" s="56"/>
      <c r="Q5" s="56"/>
      <c r="R5" s="56"/>
      <c r="S5" s="56"/>
      <c r="T5" s="56"/>
      <c r="U5" s="56"/>
      <c r="V5" s="56"/>
      <c r="W5" s="56"/>
      <c r="X5" s="56"/>
      <c r="Y5" s="57"/>
      <c r="Z5" s="55"/>
      <c r="AA5" s="56"/>
      <c r="AB5" s="56"/>
      <c r="AC5" s="56"/>
      <c r="AD5" s="56"/>
      <c r="AE5" s="56"/>
      <c r="AF5" s="56"/>
      <c r="AG5" s="57"/>
      <c r="AH5" s="55"/>
      <c r="AI5" s="56"/>
      <c r="AJ5" s="56"/>
      <c r="AK5" s="56"/>
      <c r="AL5" s="56"/>
      <c r="AM5" s="56"/>
      <c r="AN5" s="57"/>
      <c r="AO5" s="55"/>
      <c r="AP5" s="56"/>
      <c r="AQ5" s="56"/>
      <c r="AR5" s="56"/>
      <c r="AS5" s="56"/>
      <c r="AT5" s="56"/>
      <c r="AU5" s="57"/>
    </row>
    <row r="6" spans="2:47" x14ac:dyDescent="0.45">
      <c r="B6" s="55"/>
      <c r="C6" s="56"/>
      <c r="D6" s="56"/>
      <c r="E6" s="56"/>
      <c r="F6" s="56"/>
      <c r="G6" s="56"/>
      <c r="H6" s="56"/>
      <c r="I6" s="56"/>
      <c r="J6" s="56"/>
      <c r="K6" s="56"/>
      <c r="L6" s="56"/>
      <c r="M6" s="56"/>
      <c r="N6" s="57"/>
      <c r="O6" s="55"/>
      <c r="P6" s="56"/>
      <c r="Q6" s="56"/>
      <c r="R6" s="56"/>
      <c r="S6" s="56"/>
      <c r="T6" s="56"/>
      <c r="U6" s="56"/>
      <c r="V6" s="56"/>
      <c r="W6" s="56"/>
      <c r="X6" s="56"/>
      <c r="Y6" s="57"/>
      <c r="Z6" s="55"/>
      <c r="AA6" s="56"/>
      <c r="AB6" s="56"/>
      <c r="AC6" s="56"/>
      <c r="AD6" s="56"/>
      <c r="AE6" s="56"/>
      <c r="AF6" s="56"/>
      <c r="AG6" s="57"/>
      <c r="AH6" s="55"/>
      <c r="AI6" s="56"/>
      <c r="AJ6" s="56"/>
      <c r="AK6" s="56"/>
      <c r="AL6" s="56"/>
      <c r="AM6" s="56"/>
      <c r="AN6" s="57"/>
      <c r="AO6" s="55"/>
      <c r="AP6" s="56"/>
      <c r="AQ6" s="56"/>
      <c r="AR6" s="56"/>
      <c r="AS6" s="56"/>
      <c r="AT6" s="56"/>
      <c r="AU6" s="57"/>
    </row>
    <row r="7" spans="2:47" x14ac:dyDescent="0.45">
      <c r="B7" s="55"/>
      <c r="C7" s="56"/>
      <c r="D7" s="56"/>
      <c r="E7" s="56"/>
      <c r="F7" s="56"/>
      <c r="G7" s="56"/>
      <c r="H7" s="56"/>
      <c r="I7" s="56"/>
      <c r="J7" s="56"/>
      <c r="K7" s="56"/>
      <c r="L7" s="56"/>
      <c r="M7" s="56"/>
      <c r="N7" s="57"/>
      <c r="O7" s="55"/>
      <c r="P7" s="56"/>
      <c r="Q7" s="56"/>
      <c r="R7" s="56"/>
      <c r="S7" s="56"/>
      <c r="T7" s="56"/>
      <c r="U7" s="56"/>
      <c r="V7" s="56"/>
      <c r="W7" s="56"/>
      <c r="X7" s="56"/>
      <c r="Y7" s="57"/>
      <c r="Z7" s="55"/>
      <c r="AA7" s="56"/>
      <c r="AB7" s="56"/>
      <c r="AC7" s="56"/>
      <c r="AD7" s="56"/>
      <c r="AE7" s="56"/>
      <c r="AF7" s="56"/>
      <c r="AG7" s="57"/>
      <c r="AH7" s="55"/>
      <c r="AI7" s="56"/>
      <c r="AJ7" s="56"/>
      <c r="AK7" s="56"/>
      <c r="AL7" s="56"/>
      <c r="AM7" s="56"/>
      <c r="AN7" s="57"/>
      <c r="AO7" s="55"/>
      <c r="AP7" s="56"/>
      <c r="AQ7" s="56"/>
      <c r="AR7" s="56"/>
      <c r="AS7" s="56"/>
      <c r="AT7" s="56"/>
      <c r="AU7" s="57"/>
    </row>
    <row r="8" spans="2:47" x14ac:dyDescent="0.45">
      <c r="B8" s="58"/>
      <c r="C8" s="59"/>
      <c r="D8" s="59"/>
      <c r="E8" s="59"/>
      <c r="F8" s="59"/>
      <c r="G8" s="59"/>
      <c r="H8" s="59"/>
      <c r="I8" s="59"/>
      <c r="J8" s="59"/>
      <c r="K8" s="59"/>
      <c r="L8" s="59"/>
      <c r="M8" s="59"/>
      <c r="N8" s="60"/>
      <c r="O8" s="58"/>
      <c r="P8" s="59"/>
      <c r="Q8" s="59"/>
      <c r="R8" s="59"/>
      <c r="S8" s="59"/>
      <c r="T8" s="59"/>
      <c r="U8" s="59"/>
      <c r="V8" s="59"/>
      <c r="W8" s="59"/>
      <c r="X8" s="59"/>
      <c r="Y8" s="60"/>
      <c r="Z8" s="58"/>
      <c r="AA8" s="59"/>
      <c r="AB8" s="59"/>
      <c r="AC8" s="59"/>
      <c r="AD8" s="59"/>
      <c r="AE8" s="59"/>
      <c r="AF8" s="59"/>
      <c r="AG8" s="60"/>
      <c r="AH8" s="58"/>
      <c r="AI8" s="59"/>
      <c r="AJ8" s="59"/>
      <c r="AK8" s="59"/>
      <c r="AL8" s="59"/>
      <c r="AM8" s="59"/>
      <c r="AN8" s="60"/>
      <c r="AO8" s="58"/>
      <c r="AP8" s="59"/>
      <c r="AQ8" s="59"/>
      <c r="AR8" s="59"/>
      <c r="AS8" s="59"/>
      <c r="AT8" s="59"/>
      <c r="AU8" s="60"/>
    </row>
    <row r="9" spans="2:47" ht="23" customHeight="1" x14ac:dyDescent="0.45">
      <c r="B9" s="49" t="s">
        <v>53</v>
      </c>
      <c r="C9" s="49" t="s">
        <v>37</v>
      </c>
      <c r="D9" s="49" t="s">
        <v>54</v>
      </c>
      <c r="E9" s="49" t="s">
        <v>55</v>
      </c>
      <c r="F9" s="49" t="s">
        <v>56</v>
      </c>
      <c r="G9" s="49" t="s">
        <v>57</v>
      </c>
      <c r="H9" s="49" t="s">
        <v>58</v>
      </c>
      <c r="I9" s="49" t="s">
        <v>59</v>
      </c>
      <c r="J9" s="61"/>
      <c r="K9" s="61"/>
      <c r="L9" s="61"/>
      <c r="M9" s="61"/>
      <c r="N9" s="61"/>
      <c r="O9" s="61"/>
      <c r="P9" s="51"/>
      <c r="Q9" s="49" t="s">
        <v>60</v>
      </c>
      <c r="R9" s="61"/>
      <c r="S9" s="51"/>
      <c r="T9" s="49" t="s">
        <v>61</v>
      </c>
      <c r="U9" s="49" t="s">
        <v>62</v>
      </c>
      <c r="V9" s="49" t="s">
        <v>63</v>
      </c>
      <c r="W9" s="49" t="s">
        <v>64</v>
      </c>
      <c r="X9" s="49" t="s">
        <v>65</v>
      </c>
      <c r="Y9" s="49" t="s">
        <v>66</v>
      </c>
      <c r="Z9" s="49" t="s">
        <v>53</v>
      </c>
      <c r="AA9" s="49" t="s">
        <v>67</v>
      </c>
      <c r="AB9" s="49" t="s">
        <v>68</v>
      </c>
      <c r="AC9" s="49" t="s">
        <v>69</v>
      </c>
      <c r="AD9" s="61"/>
      <c r="AE9" s="51"/>
      <c r="AF9" s="49" t="s">
        <v>70</v>
      </c>
      <c r="AG9" s="49" t="s">
        <v>71</v>
      </c>
      <c r="AH9" s="49" t="s">
        <v>68</v>
      </c>
      <c r="AI9" s="49" t="s">
        <v>67</v>
      </c>
      <c r="AJ9" s="49" t="s">
        <v>71</v>
      </c>
      <c r="AK9" s="49" t="s">
        <v>72</v>
      </c>
      <c r="AL9" s="51"/>
      <c r="AM9" s="49" t="s">
        <v>73</v>
      </c>
      <c r="AN9" s="49" t="s">
        <v>74</v>
      </c>
      <c r="AO9" s="49" t="s">
        <v>68</v>
      </c>
      <c r="AP9" s="49" t="s">
        <v>67</v>
      </c>
      <c r="AQ9" s="49" t="s">
        <v>75</v>
      </c>
      <c r="AR9" s="49" t="s">
        <v>76</v>
      </c>
      <c r="AS9" s="49" t="s">
        <v>77</v>
      </c>
      <c r="AT9" s="49" t="s">
        <v>78</v>
      </c>
      <c r="AU9" s="49" t="s">
        <v>79</v>
      </c>
    </row>
    <row r="10" spans="2:47" ht="44" customHeight="1" x14ac:dyDescent="0.45">
      <c r="B10" s="50"/>
      <c r="C10" s="50"/>
      <c r="D10" s="50"/>
      <c r="E10" s="50"/>
      <c r="F10" s="50"/>
      <c r="G10" s="50"/>
      <c r="H10" s="50"/>
      <c r="I10" s="49" t="s">
        <v>80</v>
      </c>
      <c r="J10" s="51"/>
      <c r="K10" s="49" t="s">
        <v>81</v>
      </c>
      <c r="L10" s="51"/>
      <c r="M10" s="49" t="s">
        <v>82</v>
      </c>
      <c r="N10" s="51"/>
      <c r="O10" s="8" t="s">
        <v>83</v>
      </c>
      <c r="P10" s="8" t="s">
        <v>84</v>
      </c>
      <c r="Q10" s="8" t="s">
        <v>85</v>
      </c>
      <c r="R10" s="8" t="s">
        <v>86</v>
      </c>
      <c r="S10" s="8" t="s">
        <v>35</v>
      </c>
      <c r="T10" s="50"/>
      <c r="U10" s="50"/>
      <c r="V10" s="50"/>
      <c r="W10" s="50"/>
      <c r="X10" s="50"/>
      <c r="Y10" s="50"/>
      <c r="Z10" s="50"/>
      <c r="AA10" s="50"/>
      <c r="AB10" s="50"/>
      <c r="AC10" s="8" t="s">
        <v>87</v>
      </c>
      <c r="AD10" s="8" t="s">
        <v>88</v>
      </c>
      <c r="AE10" s="8" t="s">
        <v>89</v>
      </c>
      <c r="AF10" s="50"/>
      <c r="AG10" s="50"/>
      <c r="AH10" s="50"/>
      <c r="AI10" s="50"/>
      <c r="AJ10" s="50"/>
      <c r="AK10" s="8" t="s">
        <v>90</v>
      </c>
      <c r="AL10" s="8" t="s">
        <v>91</v>
      </c>
      <c r="AM10" s="50"/>
      <c r="AN10" s="50"/>
      <c r="AO10" s="50"/>
      <c r="AP10" s="50"/>
      <c r="AQ10" s="50"/>
      <c r="AR10" s="50"/>
      <c r="AS10" s="50"/>
      <c r="AT10" s="50"/>
      <c r="AU10" s="50"/>
    </row>
  </sheetData>
  <mergeCells count="42">
    <mergeCell ref="AO1:AU8"/>
    <mergeCell ref="I9:P9"/>
    <mergeCell ref="B9:B10"/>
    <mergeCell ref="D9:D10"/>
    <mergeCell ref="F9:F10"/>
    <mergeCell ref="W9:W10"/>
    <mergeCell ref="B1:N8"/>
    <mergeCell ref="G9:G10"/>
    <mergeCell ref="I10:J10"/>
    <mergeCell ref="K10:L10"/>
    <mergeCell ref="U9:U10"/>
    <mergeCell ref="O1:Y8"/>
    <mergeCell ref="AH9:AH10"/>
    <mergeCell ref="M10:N10"/>
    <mergeCell ref="Q9:S9"/>
    <mergeCell ref="AC9:AE9"/>
    <mergeCell ref="X9:X10"/>
    <mergeCell ref="Z1:AG8"/>
    <mergeCell ref="AH1:AN8"/>
    <mergeCell ref="Z9:Z10"/>
    <mergeCell ref="AJ9:AJ10"/>
    <mergeCell ref="AN9:AN10"/>
    <mergeCell ref="AU9:AU10"/>
    <mergeCell ref="AK9:AL9"/>
    <mergeCell ref="C9:C10"/>
    <mergeCell ref="T9:T10"/>
    <mergeCell ref="E9:E10"/>
    <mergeCell ref="V9:V10"/>
    <mergeCell ref="AF9:AF10"/>
    <mergeCell ref="AT9:AT10"/>
    <mergeCell ref="AO9:AO10"/>
    <mergeCell ref="AQ9:AQ10"/>
    <mergeCell ref="AR9:AR10"/>
    <mergeCell ref="AI9:AI10"/>
    <mergeCell ref="AM9:AM10"/>
    <mergeCell ref="AB9:AB10"/>
    <mergeCell ref="AS9:AS10"/>
    <mergeCell ref="H9:H10"/>
    <mergeCell ref="Y9:Y10"/>
    <mergeCell ref="AP9:AP10"/>
    <mergeCell ref="AA9:AA10"/>
    <mergeCell ref="AG9:AG10"/>
  </mergeCells>
  <pageMargins left="0.75" right="0.75" top="1" bottom="1" header="0.5" footer="0.5"/>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
  <sheetViews>
    <sheetView showGridLines="0" workbookViewId="0"/>
  </sheetViews>
  <sheetFormatPr defaultRowHeight="14.25" x14ac:dyDescent="0.45"/>
  <cols>
    <col min="2" max="2" width="42" customWidth="1"/>
  </cols>
  <sheetData>
    <row r="1" spans="2:2" ht="29.25" x14ac:dyDescent="0.7">
      <c r="B1" s="9" t="s">
        <v>92</v>
      </c>
    </row>
  </sheetData>
  <pageMargins left="0.75" right="0.75" top="1" bottom="1" header="0.5" footer="0.5"/>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1"/>
  <sheetViews>
    <sheetView showGridLines="0" workbookViewId="0"/>
  </sheetViews>
  <sheetFormatPr defaultRowHeight="14.25" x14ac:dyDescent="0.45"/>
  <cols>
    <col min="2" max="2" width="42" customWidth="1"/>
  </cols>
  <sheetData>
    <row r="1" spans="2:2" ht="29.25" x14ac:dyDescent="0.7">
      <c r="B1" s="9" t="s">
        <v>93</v>
      </c>
    </row>
  </sheetData>
  <pageMargins left="0.75" right="0.75" top="1" bottom="1" header="0.5" footer="0.5"/>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R56"/>
  <sheetViews>
    <sheetView workbookViewId="0"/>
  </sheetViews>
  <sheetFormatPr defaultRowHeight="14.25" x14ac:dyDescent="0.45"/>
  <cols>
    <col min="2" max="2" width="24" customWidth="1"/>
    <col min="3" max="3" width="26" customWidth="1"/>
    <col min="4" max="4" width="9" customWidth="1"/>
    <col min="5" max="7" width="10" customWidth="1"/>
    <col min="8" max="8" width="9" customWidth="1"/>
    <col min="9" max="9" width="16" customWidth="1"/>
    <col min="10" max="10" width="9" customWidth="1"/>
    <col min="11" max="15" width="10" customWidth="1"/>
    <col min="16" max="16" width="12" customWidth="1"/>
    <col min="17" max="17" width="10" customWidth="1"/>
    <col min="18" max="18" width="12" customWidth="1"/>
  </cols>
  <sheetData>
    <row r="1" spans="2:18" ht="19.5" x14ac:dyDescent="0.45">
      <c r="B1" s="10" t="s">
        <v>94</v>
      </c>
    </row>
    <row r="2" spans="2:18" x14ac:dyDescent="0.45">
      <c r="B2" s="11" t="s">
        <v>95</v>
      </c>
    </row>
    <row r="4" spans="2:18" ht="22.5" x14ac:dyDescent="0.45">
      <c r="B4" s="7" t="s">
        <v>96</v>
      </c>
      <c r="C4" s="7" t="s">
        <v>97</v>
      </c>
      <c r="D4" s="7" t="s">
        <v>98</v>
      </c>
      <c r="E4" s="7" t="s">
        <v>99</v>
      </c>
      <c r="F4" s="7" t="s">
        <v>100</v>
      </c>
      <c r="G4" s="7" t="s">
        <v>101</v>
      </c>
      <c r="H4" s="7" t="s">
        <v>102</v>
      </c>
      <c r="I4" s="7" t="s">
        <v>34</v>
      </c>
      <c r="J4" s="7" t="s">
        <v>38</v>
      </c>
      <c r="K4" s="7" t="s">
        <v>103</v>
      </c>
      <c r="L4" s="7" t="s">
        <v>104</v>
      </c>
      <c r="M4" s="7" t="s">
        <v>105</v>
      </c>
      <c r="N4" s="7" t="s">
        <v>106</v>
      </c>
      <c r="O4" s="7" t="s">
        <v>107</v>
      </c>
      <c r="P4" s="7" t="s">
        <v>108</v>
      </c>
      <c r="Q4" s="7" t="s">
        <v>109</v>
      </c>
      <c r="R4" s="7" t="s">
        <v>110</v>
      </c>
    </row>
    <row r="5" spans="2:18" x14ac:dyDescent="0.45">
      <c r="B5" s="12"/>
      <c r="C5" s="12"/>
      <c r="D5" s="12"/>
      <c r="E5" s="12"/>
      <c r="F5" s="12"/>
      <c r="G5" s="12"/>
      <c r="H5" s="12"/>
      <c r="I5" s="12"/>
      <c r="J5" s="12"/>
      <c r="K5" t="str">
        <f t="shared" ref="K5:K36" si="0">IF($C5="","",IF(ISNUMBER($E5),$E5,IFERROR(VLOOKUP($C5,T_USOS,2,FALSE),0)))</f>
        <v/>
      </c>
      <c r="L5" t="str">
        <f t="shared" ref="L5:L36" si="1">IF($C5="","",IF(ISNUMBER($F5),$F5,IFERROR(VLOOKUP($C5,T_USOS,3,FALSE),0)))</f>
        <v/>
      </c>
      <c r="M5" t="str">
        <f t="shared" ref="M5:M36" si="2">IF($C5="","",IF(ISNUMBER($G5),$G5,IFERROR(VLOOKUP($C5,T_USOS,4,FALSE),0)))</f>
        <v/>
      </c>
      <c r="N5" s="13">
        <f t="shared" ref="N5:N36" si="3">IF($C5="",0,N($D5)*$K5/1000)</f>
        <v>0</v>
      </c>
      <c r="O5" s="13">
        <f t="shared" ref="O5:O36" si="4">IF($C5="",0,N($D5)*$L5/1000)</f>
        <v>0</v>
      </c>
      <c r="P5" s="13">
        <f t="shared" ref="P5:P36" si="5">IF($C5="",0,N($D5)*$M5/1000+N($H5))</f>
        <v>0</v>
      </c>
      <c r="Q5" s="13">
        <f t="shared" ref="Q5:Q36" si="6">N5+O5+P5</f>
        <v>0</v>
      </c>
    </row>
    <row r="6" spans="2:18" x14ac:dyDescent="0.45">
      <c r="B6" s="12"/>
      <c r="C6" s="12"/>
      <c r="D6" s="12"/>
      <c r="E6" s="12"/>
      <c r="F6" s="12"/>
      <c r="G6" s="12"/>
      <c r="H6" s="12"/>
      <c r="I6" s="12"/>
      <c r="J6" s="12"/>
      <c r="K6" t="str">
        <f t="shared" si="0"/>
        <v/>
      </c>
      <c r="L6" t="str">
        <f t="shared" si="1"/>
        <v/>
      </c>
      <c r="M6" t="str">
        <f t="shared" si="2"/>
        <v/>
      </c>
      <c r="N6" s="13">
        <f t="shared" si="3"/>
        <v>0</v>
      </c>
      <c r="O6" s="13">
        <f t="shared" si="4"/>
        <v>0</v>
      </c>
      <c r="P6" s="13">
        <f t="shared" si="5"/>
        <v>0</v>
      </c>
      <c r="Q6" s="13">
        <f t="shared" si="6"/>
        <v>0</v>
      </c>
    </row>
    <row r="7" spans="2:18" x14ac:dyDescent="0.45">
      <c r="B7" s="12"/>
      <c r="C7" s="12"/>
      <c r="D7" s="12"/>
      <c r="E7" s="12"/>
      <c r="F7" s="12"/>
      <c r="G7" s="12"/>
      <c r="H7" s="12"/>
      <c r="I7" s="12"/>
      <c r="J7" s="12"/>
      <c r="K7" t="str">
        <f t="shared" si="0"/>
        <v/>
      </c>
      <c r="L7" t="str">
        <f t="shared" si="1"/>
        <v/>
      </c>
      <c r="M7" t="str">
        <f t="shared" si="2"/>
        <v/>
      </c>
      <c r="N7" s="13">
        <f t="shared" si="3"/>
        <v>0</v>
      </c>
      <c r="O7" s="13">
        <f t="shared" si="4"/>
        <v>0</v>
      </c>
      <c r="P7" s="13">
        <f t="shared" si="5"/>
        <v>0</v>
      </c>
      <c r="Q7" s="13">
        <f t="shared" si="6"/>
        <v>0</v>
      </c>
    </row>
    <row r="8" spans="2:18" x14ac:dyDescent="0.45">
      <c r="B8" s="12"/>
      <c r="C8" s="12"/>
      <c r="D8" s="12"/>
      <c r="E8" s="12"/>
      <c r="F8" s="12"/>
      <c r="G8" s="12"/>
      <c r="H8" s="12"/>
      <c r="I8" s="12"/>
      <c r="J8" s="12"/>
      <c r="K8" t="str">
        <f t="shared" si="0"/>
        <v/>
      </c>
      <c r="L8" t="str">
        <f t="shared" si="1"/>
        <v/>
      </c>
      <c r="M8" t="str">
        <f t="shared" si="2"/>
        <v/>
      </c>
      <c r="N8" s="13">
        <f t="shared" si="3"/>
        <v>0</v>
      </c>
      <c r="O8" s="13">
        <f t="shared" si="4"/>
        <v>0</v>
      </c>
      <c r="P8" s="13">
        <f t="shared" si="5"/>
        <v>0</v>
      </c>
      <c r="Q8" s="13">
        <f t="shared" si="6"/>
        <v>0</v>
      </c>
    </row>
    <row r="9" spans="2:18" x14ac:dyDescent="0.45">
      <c r="B9" s="12"/>
      <c r="C9" s="12"/>
      <c r="D9" s="12"/>
      <c r="E9" s="12"/>
      <c r="F9" s="12"/>
      <c r="G9" s="12"/>
      <c r="H9" s="12"/>
      <c r="I9" s="12"/>
      <c r="J9" s="12"/>
      <c r="K9" t="str">
        <f t="shared" si="0"/>
        <v/>
      </c>
      <c r="L9" t="str">
        <f t="shared" si="1"/>
        <v/>
      </c>
      <c r="M9" t="str">
        <f t="shared" si="2"/>
        <v/>
      </c>
      <c r="N9" s="13">
        <f t="shared" si="3"/>
        <v>0</v>
      </c>
      <c r="O9" s="13">
        <f t="shared" si="4"/>
        <v>0</v>
      </c>
      <c r="P9" s="13">
        <f t="shared" si="5"/>
        <v>0</v>
      </c>
      <c r="Q9" s="13">
        <f t="shared" si="6"/>
        <v>0</v>
      </c>
    </row>
    <row r="10" spans="2:18" x14ac:dyDescent="0.45">
      <c r="B10" s="12"/>
      <c r="C10" s="12"/>
      <c r="D10" s="12"/>
      <c r="E10" s="12"/>
      <c r="F10" s="12"/>
      <c r="G10" s="12"/>
      <c r="H10" s="12"/>
      <c r="I10" s="12"/>
      <c r="J10" s="12"/>
      <c r="K10" t="str">
        <f t="shared" si="0"/>
        <v/>
      </c>
      <c r="L10" t="str">
        <f t="shared" si="1"/>
        <v/>
      </c>
      <c r="M10" t="str">
        <f t="shared" si="2"/>
        <v/>
      </c>
      <c r="N10" s="13">
        <f t="shared" si="3"/>
        <v>0</v>
      </c>
      <c r="O10" s="13">
        <f t="shared" si="4"/>
        <v>0</v>
      </c>
      <c r="P10" s="13">
        <f t="shared" si="5"/>
        <v>0</v>
      </c>
      <c r="Q10" s="13">
        <f t="shared" si="6"/>
        <v>0</v>
      </c>
    </row>
    <row r="11" spans="2:18" x14ac:dyDescent="0.45">
      <c r="B11" s="12"/>
      <c r="C11" s="12"/>
      <c r="D11" s="12"/>
      <c r="E11" s="12"/>
      <c r="F11" s="12"/>
      <c r="G11" s="12"/>
      <c r="H11" s="12"/>
      <c r="I11" s="12"/>
      <c r="J11" s="12"/>
      <c r="K11" t="str">
        <f t="shared" si="0"/>
        <v/>
      </c>
      <c r="L11" t="str">
        <f t="shared" si="1"/>
        <v/>
      </c>
      <c r="M11" t="str">
        <f t="shared" si="2"/>
        <v/>
      </c>
      <c r="N11" s="13">
        <f t="shared" si="3"/>
        <v>0</v>
      </c>
      <c r="O11" s="13">
        <f t="shared" si="4"/>
        <v>0</v>
      </c>
      <c r="P11" s="13">
        <f t="shared" si="5"/>
        <v>0</v>
      </c>
      <c r="Q11" s="13">
        <f t="shared" si="6"/>
        <v>0</v>
      </c>
    </row>
    <row r="12" spans="2:18" x14ac:dyDescent="0.45">
      <c r="B12" s="12"/>
      <c r="C12" s="12"/>
      <c r="D12" s="12"/>
      <c r="E12" s="12"/>
      <c r="F12" s="12"/>
      <c r="G12" s="12"/>
      <c r="H12" s="12"/>
      <c r="I12" s="12"/>
      <c r="J12" s="12"/>
      <c r="K12" t="str">
        <f t="shared" si="0"/>
        <v/>
      </c>
      <c r="L12" t="str">
        <f t="shared" si="1"/>
        <v/>
      </c>
      <c r="M12" t="str">
        <f t="shared" si="2"/>
        <v/>
      </c>
      <c r="N12" s="13">
        <f t="shared" si="3"/>
        <v>0</v>
      </c>
      <c r="O12" s="13">
        <f t="shared" si="4"/>
        <v>0</v>
      </c>
      <c r="P12" s="13">
        <f t="shared" si="5"/>
        <v>0</v>
      </c>
      <c r="Q12" s="13">
        <f t="shared" si="6"/>
        <v>0</v>
      </c>
    </row>
    <row r="13" spans="2:18" x14ac:dyDescent="0.45">
      <c r="B13" s="12"/>
      <c r="C13" s="12"/>
      <c r="D13" s="12"/>
      <c r="E13" s="12"/>
      <c r="F13" s="12"/>
      <c r="G13" s="12"/>
      <c r="H13" s="12"/>
      <c r="I13" s="12"/>
      <c r="J13" s="12"/>
      <c r="K13" t="str">
        <f t="shared" si="0"/>
        <v/>
      </c>
      <c r="L13" t="str">
        <f t="shared" si="1"/>
        <v/>
      </c>
      <c r="M13" t="str">
        <f t="shared" si="2"/>
        <v/>
      </c>
      <c r="N13" s="13">
        <f t="shared" si="3"/>
        <v>0</v>
      </c>
      <c r="O13" s="13">
        <f t="shared" si="4"/>
        <v>0</v>
      </c>
      <c r="P13" s="13">
        <f t="shared" si="5"/>
        <v>0</v>
      </c>
      <c r="Q13" s="13">
        <f t="shared" si="6"/>
        <v>0</v>
      </c>
    </row>
    <row r="14" spans="2:18" x14ac:dyDescent="0.45">
      <c r="B14" s="12"/>
      <c r="C14" s="12"/>
      <c r="D14" s="12"/>
      <c r="E14" s="12"/>
      <c r="F14" s="12"/>
      <c r="G14" s="12"/>
      <c r="H14" s="12"/>
      <c r="I14" s="12"/>
      <c r="J14" s="12"/>
      <c r="K14" t="str">
        <f t="shared" si="0"/>
        <v/>
      </c>
      <c r="L14" t="str">
        <f t="shared" si="1"/>
        <v/>
      </c>
      <c r="M14" t="str">
        <f t="shared" si="2"/>
        <v/>
      </c>
      <c r="N14" s="13">
        <f t="shared" si="3"/>
        <v>0</v>
      </c>
      <c r="O14" s="13">
        <f t="shared" si="4"/>
        <v>0</v>
      </c>
      <c r="P14" s="13">
        <f t="shared" si="5"/>
        <v>0</v>
      </c>
      <c r="Q14" s="13">
        <f t="shared" si="6"/>
        <v>0</v>
      </c>
    </row>
    <row r="15" spans="2:18" x14ac:dyDescent="0.45">
      <c r="B15" s="12"/>
      <c r="C15" s="12"/>
      <c r="D15" s="12"/>
      <c r="E15" s="12"/>
      <c r="F15" s="12"/>
      <c r="G15" s="12"/>
      <c r="H15" s="12"/>
      <c r="I15" s="12"/>
      <c r="J15" s="12"/>
      <c r="K15" t="str">
        <f t="shared" si="0"/>
        <v/>
      </c>
      <c r="L15" t="str">
        <f t="shared" si="1"/>
        <v/>
      </c>
      <c r="M15" t="str">
        <f t="shared" si="2"/>
        <v/>
      </c>
      <c r="N15" s="13">
        <f t="shared" si="3"/>
        <v>0</v>
      </c>
      <c r="O15" s="13">
        <f t="shared" si="4"/>
        <v>0</v>
      </c>
      <c r="P15" s="13">
        <f t="shared" si="5"/>
        <v>0</v>
      </c>
      <c r="Q15" s="13">
        <f t="shared" si="6"/>
        <v>0</v>
      </c>
    </row>
    <row r="16" spans="2:18" x14ac:dyDescent="0.45">
      <c r="B16" s="12"/>
      <c r="C16" s="12"/>
      <c r="D16" s="12"/>
      <c r="E16" s="12"/>
      <c r="F16" s="12"/>
      <c r="G16" s="12"/>
      <c r="H16" s="12"/>
      <c r="I16" s="12"/>
      <c r="J16" s="12"/>
      <c r="K16" t="str">
        <f t="shared" si="0"/>
        <v/>
      </c>
      <c r="L16" t="str">
        <f t="shared" si="1"/>
        <v/>
      </c>
      <c r="M16" t="str">
        <f t="shared" si="2"/>
        <v/>
      </c>
      <c r="N16" s="13">
        <f t="shared" si="3"/>
        <v>0</v>
      </c>
      <c r="O16" s="13">
        <f t="shared" si="4"/>
        <v>0</v>
      </c>
      <c r="P16" s="13">
        <f t="shared" si="5"/>
        <v>0</v>
      </c>
      <c r="Q16" s="13">
        <f t="shared" si="6"/>
        <v>0</v>
      </c>
    </row>
    <row r="17" spans="2:17" x14ac:dyDescent="0.45">
      <c r="B17" s="12"/>
      <c r="C17" s="12"/>
      <c r="D17" s="12"/>
      <c r="E17" s="12"/>
      <c r="F17" s="12"/>
      <c r="G17" s="12"/>
      <c r="H17" s="12"/>
      <c r="I17" s="12"/>
      <c r="J17" s="12"/>
      <c r="K17" t="str">
        <f t="shared" si="0"/>
        <v/>
      </c>
      <c r="L17" t="str">
        <f t="shared" si="1"/>
        <v/>
      </c>
      <c r="M17" t="str">
        <f t="shared" si="2"/>
        <v/>
      </c>
      <c r="N17" s="13">
        <f t="shared" si="3"/>
        <v>0</v>
      </c>
      <c r="O17" s="13">
        <f t="shared" si="4"/>
        <v>0</v>
      </c>
      <c r="P17" s="13">
        <f t="shared" si="5"/>
        <v>0</v>
      </c>
      <c r="Q17" s="13">
        <f t="shared" si="6"/>
        <v>0</v>
      </c>
    </row>
    <row r="18" spans="2:17" x14ac:dyDescent="0.45">
      <c r="B18" s="12"/>
      <c r="C18" s="12"/>
      <c r="D18" s="12"/>
      <c r="E18" s="12"/>
      <c r="F18" s="12"/>
      <c r="G18" s="12"/>
      <c r="H18" s="12"/>
      <c r="I18" s="12"/>
      <c r="J18" s="12"/>
      <c r="K18" t="str">
        <f t="shared" si="0"/>
        <v/>
      </c>
      <c r="L18" t="str">
        <f t="shared" si="1"/>
        <v/>
      </c>
      <c r="M18" t="str">
        <f t="shared" si="2"/>
        <v/>
      </c>
      <c r="N18" s="13">
        <f t="shared" si="3"/>
        <v>0</v>
      </c>
      <c r="O18" s="13">
        <f t="shared" si="4"/>
        <v>0</v>
      </c>
      <c r="P18" s="13">
        <f t="shared" si="5"/>
        <v>0</v>
      </c>
      <c r="Q18" s="13">
        <f t="shared" si="6"/>
        <v>0</v>
      </c>
    </row>
    <row r="19" spans="2:17" x14ac:dyDescent="0.45">
      <c r="B19" s="12"/>
      <c r="C19" s="12"/>
      <c r="D19" s="12"/>
      <c r="E19" s="12"/>
      <c r="F19" s="12"/>
      <c r="G19" s="12"/>
      <c r="H19" s="12"/>
      <c r="I19" s="12"/>
      <c r="J19" s="12"/>
      <c r="K19" t="str">
        <f t="shared" si="0"/>
        <v/>
      </c>
      <c r="L19" t="str">
        <f t="shared" si="1"/>
        <v/>
      </c>
      <c r="M19" t="str">
        <f t="shared" si="2"/>
        <v/>
      </c>
      <c r="N19" s="13">
        <f t="shared" si="3"/>
        <v>0</v>
      </c>
      <c r="O19" s="13">
        <f t="shared" si="4"/>
        <v>0</v>
      </c>
      <c r="P19" s="13">
        <f t="shared" si="5"/>
        <v>0</v>
      </c>
      <c r="Q19" s="13">
        <f t="shared" si="6"/>
        <v>0</v>
      </c>
    </row>
    <row r="20" spans="2:17" x14ac:dyDescent="0.45">
      <c r="B20" s="12"/>
      <c r="C20" s="12"/>
      <c r="D20" s="12"/>
      <c r="E20" s="12"/>
      <c r="F20" s="12"/>
      <c r="G20" s="12"/>
      <c r="H20" s="12"/>
      <c r="I20" s="12"/>
      <c r="J20" s="12"/>
      <c r="K20" t="str">
        <f t="shared" si="0"/>
        <v/>
      </c>
      <c r="L20" t="str">
        <f t="shared" si="1"/>
        <v/>
      </c>
      <c r="M20" t="str">
        <f t="shared" si="2"/>
        <v/>
      </c>
      <c r="N20" s="13">
        <f t="shared" si="3"/>
        <v>0</v>
      </c>
      <c r="O20" s="13">
        <f t="shared" si="4"/>
        <v>0</v>
      </c>
      <c r="P20" s="13">
        <f t="shared" si="5"/>
        <v>0</v>
      </c>
      <c r="Q20" s="13">
        <f t="shared" si="6"/>
        <v>0</v>
      </c>
    </row>
    <row r="21" spans="2:17" x14ac:dyDescent="0.45">
      <c r="B21" s="12"/>
      <c r="C21" s="12"/>
      <c r="D21" s="12"/>
      <c r="E21" s="12"/>
      <c r="F21" s="12"/>
      <c r="G21" s="12"/>
      <c r="H21" s="12"/>
      <c r="I21" s="12"/>
      <c r="J21" s="12"/>
      <c r="K21" t="str">
        <f t="shared" si="0"/>
        <v/>
      </c>
      <c r="L21" t="str">
        <f t="shared" si="1"/>
        <v/>
      </c>
      <c r="M21" t="str">
        <f t="shared" si="2"/>
        <v/>
      </c>
      <c r="N21" s="13">
        <f t="shared" si="3"/>
        <v>0</v>
      </c>
      <c r="O21" s="13">
        <f t="shared" si="4"/>
        <v>0</v>
      </c>
      <c r="P21" s="13">
        <f t="shared" si="5"/>
        <v>0</v>
      </c>
      <c r="Q21" s="13">
        <f t="shared" si="6"/>
        <v>0</v>
      </c>
    </row>
    <row r="22" spans="2:17" x14ac:dyDescent="0.45">
      <c r="B22" s="12"/>
      <c r="C22" s="12"/>
      <c r="D22" s="12"/>
      <c r="E22" s="12"/>
      <c r="F22" s="12"/>
      <c r="G22" s="12"/>
      <c r="H22" s="12"/>
      <c r="I22" s="12"/>
      <c r="J22" s="12"/>
      <c r="K22" t="str">
        <f t="shared" si="0"/>
        <v/>
      </c>
      <c r="L22" t="str">
        <f t="shared" si="1"/>
        <v/>
      </c>
      <c r="M22" t="str">
        <f t="shared" si="2"/>
        <v/>
      </c>
      <c r="N22" s="13">
        <f t="shared" si="3"/>
        <v>0</v>
      </c>
      <c r="O22" s="13">
        <f t="shared" si="4"/>
        <v>0</v>
      </c>
      <c r="P22" s="13">
        <f t="shared" si="5"/>
        <v>0</v>
      </c>
      <c r="Q22" s="13">
        <f t="shared" si="6"/>
        <v>0</v>
      </c>
    </row>
    <row r="23" spans="2:17" x14ac:dyDescent="0.45">
      <c r="B23" s="12"/>
      <c r="C23" s="12"/>
      <c r="D23" s="12"/>
      <c r="E23" s="12"/>
      <c r="F23" s="12"/>
      <c r="G23" s="12"/>
      <c r="H23" s="12"/>
      <c r="I23" s="12"/>
      <c r="J23" s="12"/>
      <c r="K23" t="str">
        <f t="shared" si="0"/>
        <v/>
      </c>
      <c r="L23" t="str">
        <f t="shared" si="1"/>
        <v/>
      </c>
      <c r="M23" t="str">
        <f t="shared" si="2"/>
        <v/>
      </c>
      <c r="N23" s="13">
        <f t="shared" si="3"/>
        <v>0</v>
      </c>
      <c r="O23" s="13">
        <f t="shared" si="4"/>
        <v>0</v>
      </c>
      <c r="P23" s="13">
        <f t="shared" si="5"/>
        <v>0</v>
      </c>
      <c r="Q23" s="13">
        <f t="shared" si="6"/>
        <v>0</v>
      </c>
    </row>
    <row r="24" spans="2:17" x14ac:dyDescent="0.45">
      <c r="B24" s="12"/>
      <c r="C24" s="12"/>
      <c r="D24" s="12"/>
      <c r="E24" s="12"/>
      <c r="F24" s="12"/>
      <c r="G24" s="12"/>
      <c r="H24" s="12"/>
      <c r="I24" s="12"/>
      <c r="J24" s="12"/>
      <c r="K24" t="str">
        <f t="shared" si="0"/>
        <v/>
      </c>
      <c r="L24" t="str">
        <f t="shared" si="1"/>
        <v/>
      </c>
      <c r="M24" t="str">
        <f t="shared" si="2"/>
        <v/>
      </c>
      <c r="N24" s="13">
        <f t="shared" si="3"/>
        <v>0</v>
      </c>
      <c r="O24" s="13">
        <f t="shared" si="4"/>
        <v>0</v>
      </c>
      <c r="P24" s="13">
        <f t="shared" si="5"/>
        <v>0</v>
      </c>
      <c r="Q24" s="13">
        <f t="shared" si="6"/>
        <v>0</v>
      </c>
    </row>
    <row r="25" spans="2:17" x14ac:dyDescent="0.45">
      <c r="B25" s="12"/>
      <c r="C25" s="12"/>
      <c r="D25" s="12"/>
      <c r="E25" s="12"/>
      <c r="F25" s="12"/>
      <c r="G25" s="12"/>
      <c r="H25" s="12"/>
      <c r="I25" s="12"/>
      <c r="J25" s="12"/>
      <c r="K25" t="str">
        <f t="shared" si="0"/>
        <v/>
      </c>
      <c r="L25" t="str">
        <f t="shared" si="1"/>
        <v/>
      </c>
      <c r="M25" t="str">
        <f t="shared" si="2"/>
        <v/>
      </c>
      <c r="N25" s="13">
        <f t="shared" si="3"/>
        <v>0</v>
      </c>
      <c r="O25" s="13">
        <f t="shared" si="4"/>
        <v>0</v>
      </c>
      <c r="P25" s="13">
        <f t="shared" si="5"/>
        <v>0</v>
      </c>
      <c r="Q25" s="13">
        <f t="shared" si="6"/>
        <v>0</v>
      </c>
    </row>
    <row r="26" spans="2:17" x14ac:dyDescent="0.45">
      <c r="B26" s="12"/>
      <c r="C26" s="12"/>
      <c r="D26" s="12"/>
      <c r="E26" s="12"/>
      <c r="F26" s="12"/>
      <c r="G26" s="12"/>
      <c r="H26" s="12"/>
      <c r="I26" s="12"/>
      <c r="J26" s="12"/>
      <c r="K26" t="str">
        <f t="shared" si="0"/>
        <v/>
      </c>
      <c r="L26" t="str">
        <f t="shared" si="1"/>
        <v/>
      </c>
      <c r="M26" t="str">
        <f t="shared" si="2"/>
        <v/>
      </c>
      <c r="N26" s="13">
        <f t="shared" si="3"/>
        <v>0</v>
      </c>
      <c r="O26" s="13">
        <f t="shared" si="4"/>
        <v>0</v>
      </c>
      <c r="P26" s="13">
        <f t="shared" si="5"/>
        <v>0</v>
      </c>
      <c r="Q26" s="13">
        <f t="shared" si="6"/>
        <v>0</v>
      </c>
    </row>
    <row r="27" spans="2:17" x14ac:dyDescent="0.45">
      <c r="B27" s="12"/>
      <c r="C27" s="12"/>
      <c r="D27" s="12"/>
      <c r="E27" s="12"/>
      <c r="F27" s="12"/>
      <c r="G27" s="12"/>
      <c r="H27" s="12"/>
      <c r="I27" s="12"/>
      <c r="J27" s="12"/>
      <c r="K27" t="str">
        <f t="shared" si="0"/>
        <v/>
      </c>
      <c r="L27" t="str">
        <f t="shared" si="1"/>
        <v/>
      </c>
      <c r="M27" t="str">
        <f t="shared" si="2"/>
        <v/>
      </c>
      <c r="N27" s="13">
        <f t="shared" si="3"/>
        <v>0</v>
      </c>
      <c r="O27" s="13">
        <f t="shared" si="4"/>
        <v>0</v>
      </c>
      <c r="P27" s="13">
        <f t="shared" si="5"/>
        <v>0</v>
      </c>
      <c r="Q27" s="13">
        <f t="shared" si="6"/>
        <v>0</v>
      </c>
    </row>
    <row r="28" spans="2:17" x14ac:dyDescent="0.45">
      <c r="B28" s="12"/>
      <c r="C28" s="12"/>
      <c r="D28" s="12"/>
      <c r="E28" s="12"/>
      <c r="F28" s="12"/>
      <c r="G28" s="12"/>
      <c r="H28" s="12"/>
      <c r="I28" s="12"/>
      <c r="J28" s="12"/>
      <c r="K28" t="str">
        <f t="shared" si="0"/>
        <v/>
      </c>
      <c r="L28" t="str">
        <f t="shared" si="1"/>
        <v/>
      </c>
      <c r="M28" t="str">
        <f t="shared" si="2"/>
        <v/>
      </c>
      <c r="N28" s="13">
        <f t="shared" si="3"/>
        <v>0</v>
      </c>
      <c r="O28" s="13">
        <f t="shared" si="4"/>
        <v>0</v>
      </c>
      <c r="P28" s="13">
        <f t="shared" si="5"/>
        <v>0</v>
      </c>
      <c r="Q28" s="13">
        <f t="shared" si="6"/>
        <v>0</v>
      </c>
    </row>
    <row r="29" spans="2:17" x14ac:dyDescent="0.45">
      <c r="B29" s="12"/>
      <c r="C29" s="12"/>
      <c r="D29" s="12"/>
      <c r="E29" s="12"/>
      <c r="F29" s="12"/>
      <c r="G29" s="12"/>
      <c r="H29" s="12"/>
      <c r="I29" s="12"/>
      <c r="J29" s="12"/>
      <c r="K29" t="str">
        <f t="shared" si="0"/>
        <v/>
      </c>
      <c r="L29" t="str">
        <f t="shared" si="1"/>
        <v/>
      </c>
      <c r="M29" t="str">
        <f t="shared" si="2"/>
        <v/>
      </c>
      <c r="N29" s="13">
        <f t="shared" si="3"/>
        <v>0</v>
      </c>
      <c r="O29" s="13">
        <f t="shared" si="4"/>
        <v>0</v>
      </c>
      <c r="P29" s="13">
        <f t="shared" si="5"/>
        <v>0</v>
      </c>
      <c r="Q29" s="13">
        <f t="shared" si="6"/>
        <v>0</v>
      </c>
    </row>
    <row r="30" spans="2:17" x14ac:dyDescent="0.45">
      <c r="B30" s="12"/>
      <c r="C30" s="12"/>
      <c r="D30" s="12"/>
      <c r="E30" s="12"/>
      <c r="F30" s="12"/>
      <c r="G30" s="12"/>
      <c r="H30" s="12"/>
      <c r="I30" s="12"/>
      <c r="J30" s="12"/>
      <c r="K30" t="str">
        <f t="shared" si="0"/>
        <v/>
      </c>
      <c r="L30" t="str">
        <f t="shared" si="1"/>
        <v/>
      </c>
      <c r="M30" t="str">
        <f t="shared" si="2"/>
        <v/>
      </c>
      <c r="N30" s="13">
        <f t="shared" si="3"/>
        <v>0</v>
      </c>
      <c r="O30" s="13">
        <f t="shared" si="4"/>
        <v>0</v>
      </c>
      <c r="P30" s="13">
        <f t="shared" si="5"/>
        <v>0</v>
      </c>
      <c r="Q30" s="13">
        <f t="shared" si="6"/>
        <v>0</v>
      </c>
    </row>
    <row r="31" spans="2:17" x14ac:dyDescent="0.45">
      <c r="B31" s="12"/>
      <c r="C31" s="12"/>
      <c r="D31" s="12"/>
      <c r="E31" s="12"/>
      <c r="F31" s="12"/>
      <c r="G31" s="12"/>
      <c r="H31" s="12"/>
      <c r="I31" s="12"/>
      <c r="J31" s="12"/>
      <c r="K31" t="str">
        <f t="shared" si="0"/>
        <v/>
      </c>
      <c r="L31" t="str">
        <f t="shared" si="1"/>
        <v/>
      </c>
      <c r="M31" t="str">
        <f t="shared" si="2"/>
        <v/>
      </c>
      <c r="N31" s="13">
        <f t="shared" si="3"/>
        <v>0</v>
      </c>
      <c r="O31" s="13">
        <f t="shared" si="4"/>
        <v>0</v>
      </c>
      <c r="P31" s="13">
        <f t="shared" si="5"/>
        <v>0</v>
      </c>
      <c r="Q31" s="13">
        <f t="shared" si="6"/>
        <v>0</v>
      </c>
    </row>
    <row r="32" spans="2:17" x14ac:dyDescent="0.45">
      <c r="B32" s="12"/>
      <c r="C32" s="12"/>
      <c r="D32" s="12"/>
      <c r="E32" s="12"/>
      <c r="F32" s="12"/>
      <c r="G32" s="12"/>
      <c r="H32" s="12"/>
      <c r="I32" s="12"/>
      <c r="J32" s="12"/>
      <c r="K32" t="str">
        <f t="shared" si="0"/>
        <v/>
      </c>
      <c r="L32" t="str">
        <f t="shared" si="1"/>
        <v/>
      </c>
      <c r="M32" t="str">
        <f t="shared" si="2"/>
        <v/>
      </c>
      <c r="N32" s="13">
        <f t="shared" si="3"/>
        <v>0</v>
      </c>
      <c r="O32" s="13">
        <f t="shared" si="4"/>
        <v>0</v>
      </c>
      <c r="P32" s="13">
        <f t="shared" si="5"/>
        <v>0</v>
      </c>
      <c r="Q32" s="13">
        <f t="shared" si="6"/>
        <v>0</v>
      </c>
    </row>
    <row r="33" spans="2:17" x14ac:dyDescent="0.45">
      <c r="B33" s="12"/>
      <c r="C33" s="12"/>
      <c r="D33" s="12"/>
      <c r="E33" s="12"/>
      <c r="F33" s="12"/>
      <c r="G33" s="12"/>
      <c r="H33" s="12"/>
      <c r="I33" s="12"/>
      <c r="J33" s="12"/>
      <c r="K33" t="str">
        <f t="shared" si="0"/>
        <v/>
      </c>
      <c r="L33" t="str">
        <f t="shared" si="1"/>
        <v/>
      </c>
      <c r="M33" t="str">
        <f t="shared" si="2"/>
        <v/>
      </c>
      <c r="N33" s="13">
        <f t="shared" si="3"/>
        <v>0</v>
      </c>
      <c r="O33" s="13">
        <f t="shared" si="4"/>
        <v>0</v>
      </c>
      <c r="P33" s="13">
        <f t="shared" si="5"/>
        <v>0</v>
      </c>
      <c r="Q33" s="13">
        <f t="shared" si="6"/>
        <v>0</v>
      </c>
    </row>
    <row r="34" spans="2:17" x14ac:dyDescent="0.45">
      <c r="B34" s="12"/>
      <c r="C34" s="12"/>
      <c r="D34" s="12"/>
      <c r="E34" s="12"/>
      <c r="F34" s="12"/>
      <c r="G34" s="12"/>
      <c r="H34" s="12"/>
      <c r="I34" s="12"/>
      <c r="J34" s="12"/>
      <c r="K34" t="str">
        <f t="shared" si="0"/>
        <v/>
      </c>
      <c r="L34" t="str">
        <f t="shared" si="1"/>
        <v/>
      </c>
      <c r="M34" t="str">
        <f t="shared" si="2"/>
        <v/>
      </c>
      <c r="N34" s="13">
        <f t="shared" si="3"/>
        <v>0</v>
      </c>
      <c r="O34" s="13">
        <f t="shared" si="4"/>
        <v>0</v>
      </c>
      <c r="P34" s="13">
        <f t="shared" si="5"/>
        <v>0</v>
      </c>
      <c r="Q34" s="13">
        <f t="shared" si="6"/>
        <v>0</v>
      </c>
    </row>
    <row r="35" spans="2:17" x14ac:dyDescent="0.45">
      <c r="B35" s="12"/>
      <c r="C35" s="12"/>
      <c r="D35" s="12"/>
      <c r="E35" s="12"/>
      <c r="F35" s="12"/>
      <c r="G35" s="12"/>
      <c r="H35" s="12"/>
      <c r="I35" s="12"/>
      <c r="J35" s="12"/>
      <c r="K35" t="str">
        <f t="shared" si="0"/>
        <v/>
      </c>
      <c r="L35" t="str">
        <f t="shared" si="1"/>
        <v/>
      </c>
      <c r="M35" t="str">
        <f t="shared" si="2"/>
        <v/>
      </c>
      <c r="N35" s="13">
        <f t="shared" si="3"/>
        <v>0</v>
      </c>
      <c r="O35" s="13">
        <f t="shared" si="4"/>
        <v>0</v>
      </c>
      <c r="P35" s="13">
        <f t="shared" si="5"/>
        <v>0</v>
      </c>
      <c r="Q35" s="13">
        <f t="shared" si="6"/>
        <v>0</v>
      </c>
    </row>
    <row r="36" spans="2:17" x14ac:dyDescent="0.45">
      <c r="B36" s="12"/>
      <c r="C36" s="12"/>
      <c r="D36" s="12"/>
      <c r="E36" s="12"/>
      <c r="F36" s="12"/>
      <c r="G36" s="12"/>
      <c r="H36" s="12"/>
      <c r="I36" s="12"/>
      <c r="J36" s="12"/>
      <c r="K36" t="str">
        <f t="shared" si="0"/>
        <v/>
      </c>
      <c r="L36" t="str">
        <f t="shared" si="1"/>
        <v/>
      </c>
      <c r="M36" t="str">
        <f t="shared" si="2"/>
        <v/>
      </c>
      <c r="N36" s="13">
        <f t="shared" si="3"/>
        <v>0</v>
      </c>
      <c r="O36" s="13">
        <f t="shared" si="4"/>
        <v>0</v>
      </c>
      <c r="P36" s="13">
        <f t="shared" si="5"/>
        <v>0</v>
      </c>
      <c r="Q36" s="13">
        <f t="shared" si="6"/>
        <v>0</v>
      </c>
    </row>
    <row r="37" spans="2:17" x14ac:dyDescent="0.45">
      <c r="B37" s="12"/>
      <c r="C37" s="12"/>
      <c r="D37" s="12"/>
      <c r="E37" s="12"/>
      <c r="F37" s="12"/>
      <c r="G37" s="12"/>
      <c r="H37" s="12"/>
      <c r="I37" s="12"/>
      <c r="J37" s="12"/>
      <c r="K37" t="str">
        <f t="shared" ref="K37:K54" si="7">IF($C37="","",IF(ISNUMBER($E37),$E37,IFERROR(VLOOKUP($C37,T_USOS,2,FALSE),0)))</f>
        <v/>
      </c>
      <c r="L37" t="str">
        <f t="shared" ref="L37:L54" si="8">IF($C37="","",IF(ISNUMBER($F37),$F37,IFERROR(VLOOKUP($C37,T_USOS,3,FALSE),0)))</f>
        <v/>
      </c>
      <c r="M37" t="str">
        <f t="shared" ref="M37:M54" si="9">IF($C37="","",IF(ISNUMBER($G37),$G37,IFERROR(VLOOKUP($C37,T_USOS,4,FALSE),0)))</f>
        <v/>
      </c>
      <c r="N37" s="13">
        <f t="shared" ref="N37:N54" si="10">IF($C37="",0,N($D37)*$K37/1000)</f>
        <v>0</v>
      </c>
      <c r="O37" s="13">
        <f t="shared" ref="O37:O54" si="11">IF($C37="",0,N($D37)*$L37/1000)</f>
        <v>0</v>
      </c>
      <c r="P37" s="13">
        <f t="shared" ref="P37:P54" si="12">IF($C37="",0,N($D37)*$M37/1000+N($H37))</f>
        <v>0</v>
      </c>
      <c r="Q37" s="13">
        <f t="shared" ref="Q37:Q68" si="13">N37+O37+P37</f>
        <v>0</v>
      </c>
    </row>
    <row r="38" spans="2:17" x14ac:dyDescent="0.45">
      <c r="B38" s="12"/>
      <c r="C38" s="12"/>
      <c r="D38" s="12"/>
      <c r="E38" s="12"/>
      <c r="F38" s="12"/>
      <c r="G38" s="12"/>
      <c r="H38" s="12"/>
      <c r="I38" s="12"/>
      <c r="J38" s="12"/>
      <c r="K38" t="str">
        <f t="shared" si="7"/>
        <v/>
      </c>
      <c r="L38" t="str">
        <f t="shared" si="8"/>
        <v/>
      </c>
      <c r="M38" t="str">
        <f t="shared" si="9"/>
        <v/>
      </c>
      <c r="N38" s="13">
        <f t="shared" si="10"/>
        <v>0</v>
      </c>
      <c r="O38" s="13">
        <f t="shared" si="11"/>
        <v>0</v>
      </c>
      <c r="P38" s="13">
        <f t="shared" si="12"/>
        <v>0</v>
      </c>
      <c r="Q38" s="13">
        <f t="shared" si="13"/>
        <v>0</v>
      </c>
    </row>
    <row r="39" spans="2:17" x14ac:dyDescent="0.45">
      <c r="B39" s="12"/>
      <c r="C39" s="12"/>
      <c r="D39" s="12"/>
      <c r="E39" s="12"/>
      <c r="F39" s="12"/>
      <c r="G39" s="12"/>
      <c r="H39" s="12"/>
      <c r="I39" s="12"/>
      <c r="J39" s="12"/>
      <c r="K39" t="str">
        <f t="shared" si="7"/>
        <v/>
      </c>
      <c r="L39" t="str">
        <f t="shared" si="8"/>
        <v/>
      </c>
      <c r="M39" t="str">
        <f t="shared" si="9"/>
        <v/>
      </c>
      <c r="N39" s="13">
        <f t="shared" si="10"/>
        <v>0</v>
      </c>
      <c r="O39" s="13">
        <f t="shared" si="11"/>
        <v>0</v>
      </c>
      <c r="P39" s="13">
        <f t="shared" si="12"/>
        <v>0</v>
      </c>
      <c r="Q39" s="13">
        <f t="shared" si="13"/>
        <v>0</v>
      </c>
    </row>
    <row r="40" spans="2:17" x14ac:dyDescent="0.45">
      <c r="B40" s="12"/>
      <c r="C40" s="12"/>
      <c r="D40" s="12"/>
      <c r="E40" s="12"/>
      <c r="F40" s="12"/>
      <c r="G40" s="12"/>
      <c r="H40" s="12"/>
      <c r="I40" s="12"/>
      <c r="J40" s="12"/>
      <c r="K40" t="str">
        <f t="shared" si="7"/>
        <v/>
      </c>
      <c r="L40" t="str">
        <f t="shared" si="8"/>
        <v/>
      </c>
      <c r="M40" t="str">
        <f t="shared" si="9"/>
        <v/>
      </c>
      <c r="N40" s="13">
        <f t="shared" si="10"/>
        <v>0</v>
      </c>
      <c r="O40" s="13">
        <f t="shared" si="11"/>
        <v>0</v>
      </c>
      <c r="P40" s="13">
        <f t="shared" si="12"/>
        <v>0</v>
      </c>
      <c r="Q40" s="13">
        <f t="shared" si="13"/>
        <v>0</v>
      </c>
    </row>
    <row r="41" spans="2:17" x14ac:dyDescent="0.45">
      <c r="B41" s="12"/>
      <c r="C41" s="12"/>
      <c r="D41" s="12"/>
      <c r="E41" s="12"/>
      <c r="F41" s="12"/>
      <c r="G41" s="12"/>
      <c r="H41" s="12"/>
      <c r="I41" s="12"/>
      <c r="J41" s="12"/>
      <c r="K41" t="str">
        <f t="shared" si="7"/>
        <v/>
      </c>
      <c r="L41" t="str">
        <f t="shared" si="8"/>
        <v/>
      </c>
      <c r="M41" t="str">
        <f t="shared" si="9"/>
        <v/>
      </c>
      <c r="N41" s="13">
        <f t="shared" si="10"/>
        <v>0</v>
      </c>
      <c r="O41" s="13">
        <f t="shared" si="11"/>
        <v>0</v>
      </c>
      <c r="P41" s="13">
        <f t="shared" si="12"/>
        <v>0</v>
      </c>
      <c r="Q41" s="13">
        <f t="shared" si="13"/>
        <v>0</v>
      </c>
    </row>
    <row r="42" spans="2:17" x14ac:dyDescent="0.45">
      <c r="B42" s="12"/>
      <c r="C42" s="12"/>
      <c r="D42" s="12"/>
      <c r="E42" s="12"/>
      <c r="F42" s="12"/>
      <c r="G42" s="12"/>
      <c r="H42" s="12"/>
      <c r="I42" s="12"/>
      <c r="J42" s="12"/>
      <c r="K42" t="str">
        <f t="shared" si="7"/>
        <v/>
      </c>
      <c r="L42" t="str">
        <f t="shared" si="8"/>
        <v/>
      </c>
      <c r="M42" t="str">
        <f t="shared" si="9"/>
        <v/>
      </c>
      <c r="N42" s="13">
        <f t="shared" si="10"/>
        <v>0</v>
      </c>
      <c r="O42" s="13">
        <f t="shared" si="11"/>
        <v>0</v>
      </c>
      <c r="P42" s="13">
        <f t="shared" si="12"/>
        <v>0</v>
      </c>
      <c r="Q42" s="13">
        <f t="shared" si="13"/>
        <v>0</v>
      </c>
    </row>
    <row r="43" spans="2:17" x14ac:dyDescent="0.45">
      <c r="B43" s="12"/>
      <c r="C43" s="12"/>
      <c r="D43" s="12"/>
      <c r="E43" s="12"/>
      <c r="F43" s="12"/>
      <c r="G43" s="12"/>
      <c r="H43" s="12"/>
      <c r="I43" s="12"/>
      <c r="J43" s="12"/>
      <c r="K43" t="str">
        <f t="shared" si="7"/>
        <v/>
      </c>
      <c r="L43" t="str">
        <f t="shared" si="8"/>
        <v/>
      </c>
      <c r="M43" t="str">
        <f t="shared" si="9"/>
        <v/>
      </c>
      <c r="N43" s="13">
        <f t="shared" si="10"/>
        <v>0</v>
      </c>
      <c r="O43" s="13">
        <f t="shared" si="11"/>
        <v>0</v>
      </c>
      <c r="P43" s="13">
        <f t="shared" si="12"/>
        <v>0</v>
      </c>
      <c r="Q43" s="13">
        <f t="shared" si="13"/>
        <v>0</v>
      </c>
    </row>
    <row r="44" spans="2:17" x14ac:dyDescent="0.45">
      <c r="B44" s="12"/>
      <c r="C44" s="12"/>
      <c r="D44" s="12"/>
      <c r="E44" s="12"/>
      <c r="F44" s="12"/>
      <c r="G44" s="12"/>
      <c r="H44" s="12"/>
      <c r="I44" s="12"/>
      <c r="J44" s="12"/>
      <c r="K44" t="str">
        <f t="shared" si="7"/>
        <v/>
      </c>
      <c r="L44" t="str">
        <f t="shared" si="8"/>
        <v/>
      </c>
      <c r="M44" t="str">
        <f t="shared" si="9"/>
        <v/>
      </c>
      <c r="N44" s="13">
        <f t="shared" si="10"/>
        <v>0</v>
      </c>
      <c r="O44" s="13">
        <f t="shared" si="11"/>
        <v>0</v>
      </c>
      <c r="P44" s="13">
        <f t="shared" si="12"/>
        <v>0</v>
      </c>
      <c r="Q44" s="13">
        <f t="shared" si="13"/>
        <v>0</v>
      </c>
    </row>
    <row r="45" spans="2:17" x14ac:dyDescent="0.45">
      <c r="B45" s="12"/>
      <c r="C45" s="12"/>
      <c r="D45" s="12"/>
      <c r="E45" s="12"/>
      <c r="F45" s="12"/>
      <c r="G45" s="12"/>
      <c r="H45" s="12"/>
      <c r="I45" s="12"/>
      <c r="J45" s="12"/>
      <c r="K45" t="str">
        <f t="shared" si="7"/>
        <v/>
      </c>
      <c r="L45" t="str">
        <f t="shared" si="8"/>
        <v/>
      </c>
      <c r="M45" t="str">
        <f t="shared" si="9"/>
        <v/>
      </c>
      <c r="N45" s="13">
        <f t="shared" si="10"/>
        <v>0</v>
      </c>
      <c r="O45" s="13">
        <f t="shared" si="11"/>
        <v>0</v>
      </c>
      <c r="P45" s="13">
        <f t="shared" si="12"/>
        <v>0</v>
      </c>
      <c r="Q45" s="13">
        <f t="shared" si="13"/>
        <v>0</v>
      </c>
    </row>
    <row r="46" spans="2:17" x14ac:dyDescent="0.45">
      <c r="B46" s="12"/>
      <c r="C46" s="12"/>
      <c r="D46" s="12"/>
      <c r="E46" s="12"/>
      <c r="F46" s="12"/>
      <c r="G46" s="12"/>
      <c r="H46" s="12"/>
      <c r="I46" s="12"/>
      <c r="J46" s="12"/>
      <c r="K46" t="str">
        <f t="shared" si="7"/>
        <v/>
      </c>
      <c r="L46" t="str">
        <f t="shared" si="8"/>
        <v/>
      </c>
      <c r="M46" t="str">
        <f t="shared" si="9"/>
        <v/>
      </c>
      <c r="N46" s="13">
        <f t="shared" si="10"/>
        <v>0</v>
      </c>
      <c r="O46" s="13">
        <f t="shared" si="11"/>
        <v>0</v>
      </c>
      <c r="P46" s="13">
        <f t="shared" si="12"/>
        <v>0</v>
      </c>
      <c r="Q46" s="13">
        <f t="shared" si="13"/>
        <v>0</v>
      </c>
    </row>
    <row r="47" spans="2:17" x14ac:dyDescent="0.45">
      <c r="B47" s="12"/>
      <c r="C47" s="12"/>
      <c r="D47" s="12"/>
      <c r="E47" s="12"/>
      <c r="F47" s="12"/>
      <c r="G47" s="12"/>
      <c r="H47" s="12"/>
      <c r="I47" s="12"/>
      <c r="J47" s="12"/>
      <c r="K47" t="str">
        <f t="shared" si="7"/>
        <v/>
      </c>
      <c r="L47" t="str">
        <f t="shared" si="8"/>
        <v/>
      </c>
      <c r="M47" t="str">
        <f t="shared" si="9"/>
        <v/>
      </c>
      <c r="N47" s="13">
        <f t="shared" si="10"/>
        <v>0</v>
      </c>
      <c r="O47" s="13">
        <f t="shared" si="11"/>
        <v>0</v>
      </c>
      <c r="P47" s="13">
        <f t="shared" si="12"/>
        <v>0</v>
      </c>
      <c r="Q47" s="13">
        <f t="shared" si="13"/>
        <v>0</v>
      </c>
    </row>
    <row r="48" spans="2:17" x14ac:dyDescent="0.45">
      <c r="B48" s="12"/>
      <c r="C48" s="12"/>
      <c r="D48" s="12"/>
      <c r="E48" s="12"/>
      <c r="F48" s="12"/>
      <c r="G48" s="12"/>
      <c r="H48" s="12"/>
      <c r="I48" s="12"/>
      <c r="J48" s="12"/>
      <c r="K48" t="str">
        <f t="shared" si="7"/>
        <v/>
      </c>
      <c r="L48" t="str">
        <f t="shared" si="8"/>
        <v/>
      </c>
      <c r="M48" t="str">
        <f t="shared" si="9"/>
        <v/>
      </c>
      <c r="N48" s="13">
        <f t="shared" si="10"/>
        <v>0</v>
      </c>
      <c r="O48" s="13">
        <f t="shared" si="11"/>
        <v>0</v>
      </c>
      <c r="P48" s="13">
        <f t="shared" si="12"/>
        <v>0</v>
      </c>
      <c r="Q48" s="13">
        <f t="shared" si="13"/>
        <v>0</v>
      </c>
    </row>
    <row r="49" spans="2:17" x14ac:dyDescent="0.45">
      <c r="B49" s="12"/>
      <c r="C49" s="12"/>
      <c r="D49" s="12"/>
      <c r="E49" s="12"/>
      <c r="F49" s="12"/>
      <c r="G49" s="12"/>
      <c r="H49" s="12"/>
      <c r="I49" s="12"/>
      <c r="J49" s="12"/>
      <c r="K49" t="str">
        <f t="shared" si="7"/>
        <v/>
      </c>
      <c r="L49" t="str">
        <f t="shared" si="8"/>
        <v/>
      </c>
      <c r="M49" t="str">
        <f t="shared" si="9"/>
        <v/>
      </c>
      <c r="N49" s="13">
        <f t="shared" si="10"/>
        <v>0</v>
      </c>
      <c r="O49" s="13">
        <f t="shared" si="11"/>
        <v>0</v>
      </c>
      <c r="P49" s="13">
        <f t="shared" si="12"/>
        <v>0</v>
      </c>
      <c r="Q49" s="13">
        <f t="shared" si="13"/>
        <v>0</v>
      </c>
    </row>
    <row r="50" spans="2:17" x14ac:dyDescent="0.45">
      <c r="B50" s="12"/>
      <c r="C50" s="12"/>
      <c r="D50" s="12"/>
      <c r="E50" s="12"/>
      <c r="F50" s="12"/>
      <c r="G50" s="12"/>
      <c r="H50" s="12"/>
      <c r="I50" s="12"/>
      <c r="J50" s="12"/>
      <c r="K50" t="str">
        <f t="shared" si="7"/>
        <v/>
      </c>
      <c r="L50" t="str">
        <f t="shared" si="8"/>
        <v/>
      </c>
      <c r="M50" t="str">
        <f t="shared" si="9"/>
        <v/>
      </c>
      <c r="N50" s="13">
        <f t="shared" si="10"/>
        <v>0</v>
      </c>
      <c r="O50" s="13">
        <f t="shared" si="11"/>
        <v>0</v>
      </c>
      <c r="P50" s="13">
        <f t="shared" si="12"/>
        <v>0</v>
      </c>
      <c r="Q50" s="13">
        <f t="shared" si="13"/>
        <v>0</v>
      </c>
    </row>
    <row r="51" spans="2:17" x14ac:dyDescent="0.45">
      <c r="B51" s="12"/>
      <c r="C51" s="12"/>
      <c r="D51" s="12"/>
      <c r="E51" s="12"/>
      <c r="F51" s="12"/>
      <c r="G51" s="12"/>
      <c r="H51" s="12"/>
      <c r="I51" s="12"/>
      <c r="J51" s="12"/>
      <c r="K51" t="str">
        <f t="shared" si="7"/>
        <v/>
      </c>
      <c r="L51" t="str">
        <f t="shared" si="8"/>
        <v/>
      </c>
      <c r="M51" t="str">
        <f t="shared" si="9"/>
        <v/>
      </c>
      <c r="N51" s="13">
        <f t="shared" si="10"/>
        <v>0</v>
      </c>
      <c r="O51" s="13">
        <f t="shared" si="11"/>
        <v>0</v>
      </c>
      <c r="P51" s="13">
        <f t="shared" si="12"/>
        <v>0</v>
      </c>
      <c r="Q51" s="13">
        <f t="shared" si="13"/>
        <v>0</v>
      </c>
    </row>
    <row r="52" spans="2:17" x14ac:dyDescent="0.45">
      <c r="B52" s="12"/>
      <c r="C52" s="12"/>
      <c r="D52" s="12"/>
      <c r="E52" s="12"/>
      <c r="F52" s="12"/>
      <c r="G52" s="12"/>
      <c r="H52" s="12"/>
      <c r="I52" s="12"/>
      <c r="J52" s="12"/>
      <c r="K52" t="str">
        <f t="shared" si="7"/>
        <v/>
      </c>
      <c r="L52" t="str">
        <f t="shared" si="8"/>
        <v/>
      </c>
      <c r="M52" t="str">
        <f t="shared" si="9"/>
        <v/>
      </c>
      <c r="N52" s="13">
        <f t="shared" si="10"/>
        <v>0</v>
      </c>
      <c r="O52" s="13">
        <f t="shared" si="11"/>
        <v>0</v>
      </c>
      <c r="P52" s="13">
        <f t="shared" si="12"/>
        <v>0</v>
      </c>
      <c r="Q52" s="13">
        <f t="shared" si="13"/>
        <v>0</v>
      </c>
    </row>
    <row r="53" spans="2:17" x14ac:dyDescent="0.45">
      <c r="B53" s="12"/>
      <c r="C53" s="12"/>
      <c r="D53" s="12"/>
      <c r="E53" s="12"/>
      <c r="F53" s="12"/>
      <c r="G53" s="12"/>
      <c r="H53" s="12"/>
      <c r="I53" s="12"/>
      <c r="J53" s="12"/>
      <c r="K53" t="str">
        <f t="shared" si="7"/>
        <v/>
      </c>
      <c r="L53" t="str">
        <f t="shared" si="8"/>
        <v/>
      </c>
      <c r="M53" t="str">
        <f t="shared" si="9"/>
        <v/>
      </c>
      <c r="N53" s="13">
        <f t="shared" si="10"/>
        <v>0</v>
      </c>
      <c r="O53" s="13">
        <f t="shared" si="11"/>
        <v>0</v>
      </c>
      <c r="P53" s="13">
        <f t="shared" si="12"/>
        <v>0</v>
      </c>
      <c r="Q53" s="13">
        <f t="shared" si="13"/>
        <v>0</v>
      </c>
    </row>
    <row r="54" spans="2:17" x14ac:dyDescent="0.45">
      <c r="B54" s="12"/>
      <c r="C54" s="12"/>
      <c r="D54" s="12"/>
      <c r="E54" s="12"/>
      <c r="F54" s="12"/>
      <c r="G54" s="12"/>
      <c r="H54" s="12"/>
      <c r="I54" s="12"/>
      <c r="J54" s="12"/>
      <c r="K54" t="str">
        <f t="shared" si="7"/>
        <v/>
      </c>
      <c r="L54" t="str">
        <f t="shared" si="8"/>
        <v/>
      </c>
      <c r="M54" t="str">
        <f t="shared" si="9"/>
        <v/>
      </c>
      <c r="N54" s="13">
        <f t="shared" si="10"/>
        <v>0</v>
      </c>
      <c r="O54" s="13">
        <f t="shared" si="11"/>
        <v>0</v>
      </c>
      <c r="P54" s="13">
        <f t="shared" si="12"/>
        <v>0</v>
      </c>
      <c r="Q54" s="13">
        <f t="shared" si="13"/>
        <v>0</v>
      </c>
    </row>
    <row r="56" spans="2:17" ht="14.65" x14ac:dyDescent="0.45">
      <c r="P56" s="14" t="s">
        <v>111</v>
      </c>
      <c r="Q56" s="15">
        <f>SUM(Q5:Q54)</f>
        <v>0</v>
      </c>
    </row>
  </sheetData>
  <dataValidations count="2">
    <dataValidation type="list" allowBlank="1" sqref="C5:C54" xr:uid="{00000000-0002-0000-0500-000000000000}">
      <formula1>L_USOS</formula1>
    </dataValidation>
    <dataValidation type="list" allowBlank="1" sqref="I5:I54" xr:uid="{00000000-0002-0000-0500-000001000000}">
      <formula1>LISTA_TABLEROS</formula1>
    </dataValidation>
  </dataValidations>
  <pageMargins left="0.75" right="0.75" top="1" bottom="1" header="0.5" footer="0.5"/>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1:B3"/>
  <sheetViews>
    <sheetView workbookViewId="0"/>
  </sheetViews>
  <sheetFormatPr defaultRowHeight="14.25" x14ac:dyDescent="0.45"/>
  <sheetData>
    <row r="1" spans="2:2" ht="19.5" x14ac:dyDescent="0.45">
      <c r="B1" s="10" t="s">
        <v>112</v>
      </c>
    </row>
    <row r="2" spans="2:2" x14ac:dyDescent="0.45">
      <c r="B2" s="11" t="s">
        <v>113</v>
      </c>
    </row>
    <row r="3" spans="2:2" x14ac:dyDescent="0.45">
      <c r="B3" s="11" t="s">
        <v>114</v>
      </c>
    </row>
  </sheetData>
  <pageMargins left="0.75" right="0.75" top="1" bottom="1" header="0.5" footer="0.5"/>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G1"/>
  <sheetViews>
    <sheetView workbookViewId="0"/>
  </sheetViews>
  <sheetFormatPr defaultRowHeight="14.25" x14ac:dyDescent="0.45"/>
  <cols>
    <col min="1" max="1" width="12" customWidth="1"/>
    <col min="2" max="2" width="14" customWidth="1"/>
    <col min="3" max="3" width="40" customWidth="1"/>
    <col min="4" max="5" width="16" customWidth="1"/>
    <col min="6" max="6" width="14" customWidth="1"/>
    <col min="7" max="7" width="12" customWidth="1"/>
  </cols>
  <sheetData>
    <row r="1" spans="1:7" ht="14.65" x14ac:dyDescent="0.45">
      <c r="A1" s="16" t="s">
        <v>19</v>
      </c>
      <c r="B1" s="16" t="s">
        <v>115</v>
      </c>
      <c r="C1" s="16" t="s">
        <v>116</v>
      </c>
      <c r="D1" s="16" t="s">
        <v>117</v>
      </c>
      <c r="E1" s="16" t="s">
        <v>118</v>
      </c>
      <c r="F1" s="16" t="s">
        <v>119</v>
      </c>
      <c r="G1" s="16" t="s">
        <v>120</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70AD47"/>
  </sheetPr>
  <dimension ref="A1:P301"/>
  <sheetViews>
    <sheetView workbookViewId="0">
      <pane ySplit="1" topLeftCell="A2" activePane="bottomLeft" state="frozen"/>
      <selection pane="bottomLeft"/>
    </sheetView>
  </sheetViews>
  <sheetFormatPr defaultRowHeight="14.25" x14ac:dyDescent="0.45"/>
  <cols>
    <col min="1" max="2" width="16" customWidth="1"/>
    <col min="3" max="3" width="34" customWidth="1"/>
    <col min="4" max="11" width="16" customWidth="1"/>
    <col min="12" max="12" width="40" customWidth="1"/>
    <col min="13" max="13" width="30" customWidth="1"/>
    <col min="14" max="14" width="48" customWidth="1"/>
    <col min="16" max="16" width="60" customWidth="1"/>
  </cols>
  <sheetData>
    <row r="1" spans="1:16" ht="56.25" x14ac:dyDescent="0.45">
      <c r="A1" s="17" t="s">
        <v>121</v>
      </c>
      <c r="B1" s="17" t="s">
        <v>35</v>
      </c>
      <c r="C1" s="17" t="s">
        <v>122</v>
      </c>
      <c r="D1" s="17" t="s">
        <v>123</v>
      </c>
      <c r="E1" s="17" t="s">
        <v>74</v>
      </c>
      <c r="F1" s="17" t="s">
        <v>124</v>
      </c>
      <c r="G1" s="17" t="s">
        <v>125</v>
      </c>
      <c r="H1" s="17" t="s">
        <v>126</v>
      </c>
      <c r="I1" s="17" t="s">
        <v>127</v>
      </c>
      <c r="J1" s="17" t="s">
        <v>128</v>
      </c>
      <c r="K1" s="17" t="s">
        <v>129</v>
      </c>
      <c r="L1" s="17" t="s">
        <v>130</v>
      </c>
      <c r="M1" t="s">
        <v>131</v>
      </c>
      <c r="N1" s="18" t="s">
        <v>132</v>
      </c>
      <c r="P1" s="19" t="s">
        <v>133</v>
      </c>
    </row>
    <row r="2" spans="1:16" x14ac:dyDescent="0.45">
      <c r="A2" s="12">
        <v>1</v>
      </c>
      <c r="B2" s="12">
        <v>1</v>
      </c>
      <c r="C2" s="12" t="s">
        <v>134</v>
      </c>
      <c r="D2" s="12">
        <v>120</v>
      </c>
      <c r="E2" s="12">
        <v>1</v>
      </c>
      <c r="F2" s="12">
        <v>3</v>
      </c>
      <c r="G2" s="12">
        <v>1</v>
      </c>
      <c r="H2" s="12">
        <v>1</v>
      </c>
      <c r="I2" s="12">
        <v>0.95</v>
      </c>
      <c r="J2" s="12" t="s">
        <v>32</v>
      </c>
      <c r="K2" s="12">
        <v>1.25</v>
      </c>
      <c r="L2" s="12" t="s">
        <v>135</v>
      </c>
      <c r="M2" t="str">
        <f t="shared" ref="M2:M33" si="0">A2&amp;" · "&amp;C2&amp;" ("&amp;D2&amp;" V "&amp;E2&amp;"F)"</f>
        <v>1 · Iluminación (120 V 1F)</v>
      </c>
      <c r="N2" s="12" t="s">
        <v>136</v>
      </c>
    </row>
    <row r="3" spans="1:16" x14ac:dyDescent="0.45">
      <c r="A3" s="12">
        <v>2</v>
      </c>
      <c r="B3" s="12">
        <v>1</v>
      </c>
      <c r="C3" s="12" t="s">
        <v>137</v>
      </c>
      <c r="D3" s="12">
        <v>120</v>
      </c>
      <c r="E3" s="12">
        <v>1</v>
      </c>
      <c r="F3" s="12">
        <v>3</v>
      </c>
      <c r="G3" s="12">
        <v>1</v>
      </c>
      <c r="H3" s="12">
        <v>1</v>
      </c>
      <c r="I3" s="12">
        <v>0.95</v>
      </c>
      <c r="J3" s="12" t="s">
        <v>32</v>
      </c>
      <c r="K3" s="12">
        <v>1.25</v>
      </c>
      <c r="L3" s="12" t="s">
        <v>135</v>
      </c>
      <c r="M3" t="str">
        <f t="shared" si="0"/>
        <v>2 · ILUM. DUCTO ASCENSORES (120 V 1F)</v>
      </c>
      <c r="N3" s="12" t="s">
        <v>138</v>
      </c>
    </row>
    <row r="4" spans="1:16" x14ac:dyDescent="0.45">
      <c r="A4" s="12">
        <v>3</v>
      </c>
      <c r="B4" s="12">
        <v>1</v>
      </c>
      <c r="C4" s="12" t="s">
        <v>139</v>
      </c>
      <c r="D4" s="12">
        <v>120</v>
      </c>
      <c r="E4" s="12">
        <v>1</v>
      </c>
      <c r="F4" s="12">
        <v>3</v>
      </c>
      <c r="G4" s="12">
        <v>1</v>
      </c>
      <c r="H4" s="12">
        <v>1</v>
      </c>
      <c r="I4" s="12">
        <v>0.95</v>
      </c>
      <c r="J4" s="12" t="s">
        <v>32</v>
      </c>
      <c r="K4" s="12">
        <v>1.25</v>
      </c>
      <c r="L4" s="12" t="s">
        <v>135</v>
      </c>
      <c r="M4" t="str">
        <f t="shared" si="0"/>
        <v>3 · ILUMINACIÓN ESCALERAS (120 V 1F)</v>
      </c>
      <c r="N4" s="12" t="s">
        <v>140</v>
      </c>
    </row>
    <row r="5" spans="1:16" x14ac:dyDescent="0.45">
      <c r="A5" s="12">
        <v>4</v>
      </c>
      <c r="B5" s="12">
        <v>1</v>
      </c>
      <c r="C5" s="12" t="s">
        <v>141</v>
      </c>
      <c r="D5" s="12">
        <v>120</v>
      </c>
      <c r="E5" s="12">
        <v>1</v>
      </c>
      <c r="F5" s="12">
        <v>3</v>
      </c>
      <c r="G5" s="12">
        <v>1</v>
      </c>
      <c r="H5" s="12">
        <v>1</v>
      </c>
      <c r="I5" s="12">
        <v>0.95</v>
      </c>
      <c r="J5" s="12" t="s">
        <v>32</v>
      </c>
      <c r="K5" s="12">
        <v>1.25</v>
      </c>
      <c r="L5" s="12" t="s">
        <v>135</v>
      </c>
      <c r="M5" t="str">
        <f t="shared" si="0"/>
        <v>4 · ILUMINACIÓN EXTERIOR (120 V 1F)</v>
      </c>
      <c r="N5" s="12" t="s">
        <v>142</v>
      </c>
    </row>
    <row r="6" spans="1:16" x14ac:dyDescent="0.45">
      <c r="A6" s="12">
        <v>5</v>
      </c>
      <c r="B6" s="12">
        <v>1</v>
      </c>
      <c r="C6" s="12" t="s">
        <v>143</v>
      </c>
      <c r="D6" s="12">
        <v>120</v>
      </c>
      <c r="E6" s="12">
        <v>1</v>
      </c>
      <c r="F6" s="12">
        <v>3</v>
      </c>
      <c r="G6" s="12">
        <v>1</v>
      </c>
      <c r="H6" s="12">
        <v>1</v>
      </c>
      <c r="I6" s="12">
        <v>0.95</v>
      </c>
      <c r="J6" s="12" t="s">
        <v>32</v>
      </c>
      <c r="K6" s="12">
        <v>1.25</v>
      </c>
      <c r="L6" s="12" t="s">
        <v>135</v>
      </c>
      <c r="M6" t="str">
        <f t="shared" si="0"/>
        <v>5 · ILUMINACIÓN RÓTULOS (120 V 1F)</v>
      </c>
      <c r="N6" s="12" t="s">
        <v>144</v>
      </c>
    </row>
    <row r="7" spans="1:16" x14ac:dyDescent="0.45">
      <c r="A7" s="12">
        <v>6</v>
      </c>
      <c r="B7" s="12">
        <v>1</v>
      </c>
      <c r="C7" s="12" t="s">
        <v>145</v>
      </c>
      <c r="D7" s="12">
        <v>277</v>
      </c>
      <c r="E7" s="12">
        <v>1</v>
      </c>
      <c r="F7" s="12">
        <v>3</v>
      </c>
      <c r="G7" s="12">
        <v>1</v>
      </c>
      <c r="H7" s="12">
        <v>1</v>
      </c>
      <c r="I7" s="12">
        <v>0.95</v>
      </c>
      <c r="J7" s="12" t="s">
        <v>32</v>
      </c>
      <c r="K7" s="12">
        <v>1.25</v>
      </c>
      <c r="L7" s="12" t="s">
        <v>135</v>
      </c>
      <c r="M7" t="str">
        <f t="shared" si="0"/>
        <v>6 · ILUMINACIÓN (277 V 1F)</v>
      </c>
      <c r="N7" s="12" t="s">
        <v>146</v>
      </c>
    </row>
    <row r="8" spans="1:16" x14ac:dyDescent="0.45">
      <c r="A8" s="12">
        <v>7</v>
      </c>
      <c r="B8" s="12">
        <v>1</v>
      </c>
      <c r="C8" s="12" t="s">
        <v>141</v>
      </c>
      <c r="D8" s="12">
        <v>208</v>
      </c>
      <c r="E8" s="12">
        <v>1</v>
      </c>
      <c r="F8" s="12">
        <v>3</v>
      </c>
      <c r="G8" s="12">
        <v>1</v>
      </c>
      <c r="H8" s="12">
        <v>1</v>
      </c>
      <c r="I8" s="12">
        <v>0.95</v>
      </c>
      <c r="J8" s="12" t="s">
        <v>32</v>
      </c>
      <c r="K8" s="12">
        <v>1.25</v>
      </c>
      <c r="L8" s="12" t="s">
        <v>135</v>
      </c>
      <c r="M8" t="str">
        <f t="shared" si="0"/>
        <v>7 · ILUMINACIÓN EXTERIOR (208 V 1F)</v>
      </c>
      <c r="N8" s="12" t="s">
        <v>147</v>
      </c>
    </row>
    <row r="9" spans="1:16" x14ac:dyDescent="0.45">
      <c r="A9" s="12">
        <v>8</v>
      </c>
      <c r="B9" s="12">
        <v>2</v>
      </c>
      <c r="C9" s="12" t="s">
        <v>148</v>
      </c>
      <c r="D9" s="12">
        <v>120</v>
      </c>
      <c r="E9" s="12">
        <v>1</v>
      </c>
      <c r="F9" s="12">
        <v>3</v>
      </c>
      <c r="G9" s="12">
        <v>1</v>
      </c>
      <c r="H9" s="12">
        <v>1</v>
      </c>
      <c r="I9" s="12">
        <v>0.95</v>
      </c>
      <c r="J9" s="12" t="s">
        <v>149</v>
      </c>
      <c r="K9" s="12">
        <v>1.25</v>
      </c>
      <c r="L9" s="12" t="s">
        <v>150</v>
      </c>
      <c r="M9" t="str">
        <f t="shared" si="0"/>
        <v>8 · TOMAS (120 V 1F)</v>
      </c>
      <c r="N9" s="12" t="s">
        <v>151</v>
      </c>
    </row>
    <row r="10" spans="1:16" x14ac:dyDescent="0.45">
      <c r="A10" s="12">
        <v>9</v>
      </c>
      <c r="B10" s="12">
        <v>3</v>
      </c>
      <c r="C10" s="12" t="s">
        <v>152</v>
      </c>
      <c r="D10" s="12">
        <v>120</v>
      </c>
      <c r="E10" s="12">
        <v>1</v>
      </c>
      <c r="F10" s="12">
        <v>3</v>
      </c>
      <c r="G10" s="12">
        <v>1</v>
      </c>
      <c r="H10" s="12">
        <v>1</v>
      </c>
      <c r="I10" s="12">
        <v>0.95</v>
      </c>
      <c r="J10" s="12" t="s">
        <v>32</v>
      </c>
      <c r="K10" s="12">
        <v>1.25</v>
      </c>
      <c r="L10" s="12" t="s">
        <v>153</v>
      </c>
      <c r="M10" t="str">
        <f t="shared" si="0"/>
        <v>9 · TOMAS UPS (120 V 1F)</v>
      </c>
      <c r="N10" s="12" t="s">
        <v>154</v>
      </c>
    </row>
    <row r="11" spans="1:16" x14ac:dyDescent="0.45">
      <c r="A11" s="12">
        <v>10</v>
      </c>
      <c r="B11" s="12">
        <v>2</v>
      </c>
      <c r="C11" s="12" t="s">
        <v>155</v>
      </c>
      <c r="D11" s="12">
        <v>208</v>
      </c>
      <c r="E11" s="12">
        <v>1</v>
      </c>
      <c r="F11" s="12">
        <v>3</v>
      </c>
      <c r="G11" s="12">
        <v>1</v>
      </c>
      <c r="H11" s="12">
        <v>1</v>
      </c>
      <c r="I11" s="12">
        <v>0.95</v>
      </c>
      <c r="J11" s="12" t="s">
        <v>149</v>
      </c>
      <c r="K11" s="12">
        <v>1.25</v>
      </c>
      <c r="L11" s="12" t="s">
        <v>150</v>
      </c>
      <c r="M11" t="str">
        <f t="shared" si="0"/>
        <v>10 · CALENTADOR DE CAMISAS (208 V 1F)</v>
      </c>
      <c r="N11" s="12" t="s">
        <v>156</v>
      </c>
    </row>
    <row r="12" spans="1:16" x14ac:dyDescent="0.45">
      <c r="A12" s="12">
        <v>11</v>
      </c>
      <c r="B12" s="12">
        <v>2</v>
      </c>
      <c r="C12" s="12" t="s">
        <v>157</v>
      </c>
      <c r="D12" s="12">
        <v>120</v>
      </c>
      <c r="E12" s="12">
        <v>1</v>
      </c>
      <c r="F12" s="12">
        <v>3</v>
      </c>
      <c r="G12" s="12">
        <v>1</v>
      </c>
      <c r="H12" s="12">
        <v>1</v>
      </c>
      <c r="I12" s="12">
        <v>0.95</v>
      </c>
      <c r="J12" s="12" t="s">
        <v>149</v>
      </c>
      <c r="K12" s="12">
        <v>1.25</v>
      </c>
      <c r="L12" s="12" t="s">
        <v>150</v>
      </c>
      <c r="M12" t="str">
        <f t="shared" si="0"/>
        <v>11 · CARGADOR DE BATERÍAS (120 V 1F)</v>
      </c>
      <c r="N12" s="12" t="s">
        <v>158</v>
      </c>
    </row>
    <row r="13" spans="1:16" x14ac:dyDescent="0.45">
      <c r="A13" s="12">
        <v>12</v>
      </c>
      <c r="B13" s="12">
        <v>2</v>
      </c>
      <c r="C13" s="12" t="s">
        <v>159</v>
      </c>
      <c r="D13" s="12">
        <v>208</v>
      </c>
      <c r="E13" s="12">
        <v>1</v>
      </c>
      <c r="F13" s="12">
        <v>3</v>
      </c>
      <c r="G13" s="12">
        <v>1</v>
      </c>
      <c r="H13" s="12">
        <v>1</v>
      </c>
      <c r="I13" s="12">
        <v>0.95</v>
      </c>
      <c r="J13" s="12" t="s">
        <v>32</v>
      </c>
      <c r="K13" s="12">
        <v>1.25</v>
      </c>
      <c r="L13" s="12" t="s">
        <v>160</v>
      </c>
      <c r="M13" t="str">
        <f t="shared" si="0"/>
        <v>12 · CARGADOR DE VEHICULOS (208 V 1F)</v>
      </c>
      <c r="N13" s="12" t="s">
        <v>161</v>
      </c>
    </row>
    <row r="14" spans="1:16" x14ac:dyDescent="0.45">
      <c r="A14" s="12">
        <v>13</v>
      </c>
      <c r="B14" s="12">
        <v>2</v>
      </c>
      <c r="C14" s="12" t="s">
        <v>162</v>
      </c>
      <c r="D14" s="12">
        <v>120</v>
      </c>
      <c r="E14" s="12">
        <v>1</v>
      </c>
      <c r="F14" s="12">
        <v>3</v>
      </c>
      <c r="G14" s="12">
        <v>1</v>
      </c>
      <c r="H14" s="12">
        <v>1</v>
      </c>
      <c r="I14" s="12">
        <v>1</v>
      </c>
      <c r="J14" s="12" t="s">
        <v>149</v>
      </c>
      <c r="K14" s="12">
        <v>1.25</v>
      </c>
      <c r="L14" s="12" t="s">
        <v>150</v>
      </c>
      <c r="M14" t="str">
        <f t="shared" si="0"/>
        <v>13 · SECAMANOS (120 V 1F)</v>
      </c>
      <c r="N14" s="12" t="s">
        <v>163</v>
      </c>
    </row>
    <row r="15" spans="1:16" x14ac:dyDescent="0.45">
      <c r="A15" s="12">
        <v>14</v>
      </c>
      <c r="B15" s="12">
        <v>2</v>
      </c>
      <c r="C15" s="12" t="s">
        <v>164</v>
      </c>
      <c r="D15" s="12">
        <v>208</v>
      </c>
      <c r="E15" s="12">
        <v>2</v>
      </c>
      <c r="F15" s="12">
        <v>4</v>
      </c>
      <c r="G15" s="12">
        <v>1</v>
      </c>
      <c r="H15" s="12">
        <v>1</v>
      </c>
      <c r="I15" s="12">
        <v>0.95</v>
      </c>
      <c r="J15" s="12" t="s">
        <v>149</v>
      </c>
      <c r="K15" s="12">
        <v>1.25</v>
      </c>
      <c r="L15" s="12" t="s">
        <v>150</v>
      </c>
      <c r="M15" t="str">
        <f t="shared" si="0"/>
        <v>14 · TOMAS 208V 1F (208 V 2F)</v>
      </c>
      <c r="N15" s="12" t="s">
        <v>165</v>
      </c>
    </row>
    <row r="16" spans="1:16" x14ac:dyDescent="0.45">
      <c r="A16" s="12">
        <v>15</v>
      </c>
      <c r="B16" s="12">
        <v>2</v>
      </c>
      <c r="C16" s="12" t="s">
        <v>166</v>
      </c>
      <c r="D16" s="12">
        <v>120</v>
      </c>
      <c r="E16" s="12">
        <v>1</v>
      </c>
      <c r="F16" s="12">
        <v>3</v>
      </c>
      <c r="G16" s="12">
        <v>1</v>
      </c>
      <c r="H16" s="12">
        <v>1</v>
      </c>
      <c r="I16" s="12">
        <v>0.95</v>
      </c>
      <c r="J16" s="12" t="s">
        <v>149</v>
      </c>
      <c r="K16" s="12">
        <v>1.25</v>
      </c>
      <c r="L16" s="12" t="s">
        <v>150</v>
      </c>
      <c r="M16" t="str">
        <f t="shared" si="0"/>
        <v>15 · PORTONES (120 V 1F)</v>
      </c>
      <c r="N16" s="12" t="s">
        <v>167</v>
      </c>
    </row>
    <row r="17" spans="1:14" x14ac:dyDescent="0.45">
      <c r="A17" s="12">
        <v>16</v>
      </c>
      <c r="B17" s="12">
        <v>2</v>
      </c>
      <c r="C17" s="12" t="s">
        <v>168</v>
      </c>
      <c r="D17" s="12">
        <v>208</v>
      </c>
      <c r="E17" s="12">
        <v>2</v>
      </c>
      <c r="F17" s="12">
        <v>3</v>
      </c>
      <c r="G17" s="12">
        <v>1</v>
      </c>
      <c r="H17" s="12">
        <v>1</v>
      </c>
      <c r="I17" s="12">
        <v>0.95</v>
      </c>
      <c r="J17" s="12" t="s">
        <v>149</v>
      </c>
      <c r="K17" s="12">
        <v>1.25</v>
      </c>
      <c r="L17" s="12" t="s">
        <v>150</v>
      </c>
      <c r="M17" t="str">
        <f t="shared" si="0"/>
        <v>16 · EQUIPOS (208 V 2F)</v>
      </c>
      <c r="N17" s="12" t="s">
        <v>169</v>
      </c>
    </row>
    <row r="18" spans="1:14" x14ac:dyDescent="0.45">
      <c r="A18" s="12">
        <v>17</v>
      </c>
      <c r="B18" s="12">
        <v>2</v>
      </c>
      <c r="C18" s="12" t="s">
        <v>170</v>
      </c>
      <c r="D18" s="12">
        <v>208</v>
      </c>
      <c r="E18" s="12">
        <v>2</v>
      </c>
      <c r="F18" s="12">
        <v>4</v>
      </c>
      <c r="G18" s="12">
        <v>1</v>
      </c>
      <c r="H18" s="12">
        <v>1</v>
      </c>
      <c r="I18" s="12">
        <v>1</v>
      </c>
      <c r="J18" s="12" t="s">
        <v>32</v>
      </c>
      <c r="K18" s="12">
        <v>1.25</v>
      </c>
      <c r="L18" s="12" t="s">
        <v>171</v>
      </c>
      <c r="M18" t="str">
        <f t="shared" si="0"/>
        <v>17 · TABLERO 1F (208 V 2F)</v>
      </c>
      <c r="N18" s="12"/>
    </row>
    <row r="19" spans="1:14" x14ac:dyDescent="0.45">
      <c r="A19" s="12">
        <v>18</v>
      </c>
      <c r="B19" s="12">
        <v>2</v>
      </c>
      <c r="C19" s="12" t="s">
        <v>172</v>
      </c>
      <c r="D19" s="12">
        <v>480</v>
      </c>
      <c r="E19" s="12">
        <v>3</v>
      </c>
      <c r="F19" s="12">
        <v>4</v>
      </c>
      <c r="G19" s="12">
        <v>1</v>
      </c>
      <c r="H19" s="12">
        <v>1</v>
      </c>
      <c r="I19" s="12">
        <v>1</v>
      </c>
      <c r="J19" s="12" t="s">
        <v>32</v>
      </c>
      <c r="K19" s="12">
        <v>1.25</v>
      </c>
      <c r="L19" s="12" t="s">
        <v>171</v>
      </c>
      <c r="M19" t="str">
        <f t="shared" si="0"/>
        <v>18 · TABLERO 3F 40V (480 V 3F)</v>
      </c>
      <c r="N19" s="12"/>
    </row>
    <row r="20" spans="1:14" x14ac:dyDescent="0.45">
      <c r="A20" s="12">
        <v>19</v>
      </c>
      <c r="B20" s="12">
        <v>2</v>
      </c>
      <c r="C20" s="12" t="s">
        <v>173</v>
      </c>
      <c r="D20" s="12">
        <v>208</v>
      </c>
      <c r="E20" s="12">
        <v>3</v>
      </c>
      <c r="F20" s="12">
        <v>4</v>
      </c>
      <c r="G20" s="12">
        <v>1</v>
      </c>
      <c r="H20" s="12">
        <v>1</v>
      </c>
      <c r="I20" s="12">
        <v>0.95</v>
      </c>
      <c r="J20" s="12" t="s">
        <v>32</v>
      </c>
      <c r="K20" s="12">
        <v>1.25</v>
      </c>
      <c r="L20" s="12" t="s">
        <v>171</v>
      </c>
      <c r="M20" t="str">
        <f t="shared" si="0"/>
        <v>19 · TABLERO 3F 208V (208 V 3F)</v>
      </c>
      <c r="N20" s="12"/>
    </row>
    <row r="21" spans="1:14" x14ac:dyDescent="0.45">
      <c r="A21" s="12">
        <v>20</v>
      </c>
      <c r="B21" s="12">
        <v>12</v>
      </c>
      <c r="C21" s="12" t="s">
        <v>174</v>
      </c>
      <c r="D21" s="12">
        <v>208</v>
      </c>
      <c r="E21" s="12">
        <v>3</v>
      </c>
      <c r="F21" s="12">
        <v>4</v>
      </c>
      <c r="G21" s="12">
        <v>1</v>
      </c>
      <c r="H21" s="12">
        <v>1</v>
      </c>
      <c r="I21" s="12">
        <v>0.95</v>
      </c>
      <c r="J21" s="12" t="s">
        <v>32</v>
      </c>
      <c r="K21" s="12">
        <v>1.25</v>
      </c>
      <c r="L21" s="12" t="s">
        <v>175</v>
      </c>
      <c r="M21" t="str">
        <f t="shared" si="0"/>
        <v>20 · TABLERO PISCINAS 3F 208V (208 V 3F)</v>
      </c>
      <c r="N21" s="12"/>
    </row>
    <row r="22" spans="1:14" x14ac:dyDescent="0.45">
      <c r="A22" s="12">
        <v>21</v>
      </c>
      <c r="B22" s="12">
        <v>12</v>
      </c>
      <c r="C22" s="12" t="s">
        <v>176</v>
      </c>
      <c r="D22" s="12">
        <v>480</v>
      </c>
      <c r="E22" s="12">
        <v>3</v>
      </c>
      <c r="F22" s="12">
        <v>4</v>
      </c>
      <c r="G22" s="12">
        <v>1</v>
      </c>
      <c r="H22" s="12">
        <v>1</v>
      </c>
      <c r="I22" s="12">
        <v>1</v>
      </c>
      <c r="J22" s="12" t="s">
        <v>32</v>
      </c>
      <c r="K22" s="12">
        <v>1.25</v>
      </c>
      <c r="L22" s="12" t="s">
        <v>175</v>
      </c>
      <c r="M22" t="str">
        <f t="shared" si="0"/>
        <v>21 · TABLERO PISCINAS 3F 480V (480 V 3F)</v>
      </c>
      <c r="N22" s="12"/>
    </row>
    <row r="23" spans="1:14" x14ac:dyDescent="0.45">
      <c r="A23" s="12">
        <v>22</v>
      </c>
      <c r="B23" s="12">
        <v>13</v>
      </c>
      <c r="C23" s="12" t="s">
        <v>177</v>
      </c>
      <c r="D23" s="12">
        <v>480</v>
      </c>
      <c r="E23" s="12">
        <v>3</v>
      </c>
      <c r="F23" s="12">
        <v>4</v>
      </c>
      <c r="G23" s="12">
        <v>1</v>
      </c>
      <c r="H23" s="12">
        <v>1</v>
      </c>
      <c r="I23" s="12">
        <v>1</v>
      </c>
      <c r="J23" s="12" t="s">
        <v>149</v>
      </c>
      <c r="K23" s="12">
        <v>1.25</v>
      </c>
      <c r="L23" s="12" t="s">
        <v>178</v>
      </c>
      <c r="M23" t="str">
        <f t="shared" si="0"/>
        <v>22 · TRANSFORMADOR VP 480V (480 V 3F)</v>
      </c>
      <c r="N23" s="12"/>
    </row>
    <row r="24" spans="1:14" x14ac:dyDescent="0.45">
      <c r="A24" s="12">
        <v>23</v>
      </c>
      <c r="B24" s="12">
        <v>4</v>
      </c>
      <c r="C24" s="12" t="s">
        <v>179</v>
      </c>
      <c r="D24" s="12">
        <v>480</v>
      </c>
      <c r="E24" s="12">
        <v>3</v>
      </c>
      <c r="F24" s="12">
        <v>4</v>
      </c>
      <c r="G24" s="12">
        <v>1</v>
      </c>
      <c r="H24" s="12">
        <v>1</v>
      </c>
      <c r="I24" s="12">
        <v>0.95</v>
      </c>
      <c r="J24" s="12" t="s">
        <v>149</v>
      </c>
      <c r="K24" s="12">
        <v>1.25</v>
      </c>
      <c r="L24" s="12" t="s">
        <v>180</v>
      </c>
      <c r="M24" t="str">
        <f t="shared" si="0"/>
        <v>23 · Elevadores (480 V 3F)</v>
      </c>
      <c r="N24" s="12" t="s">
        <v>181</v>
      </c>
    </row>
    <row r="25" spans="1:14" x14ac:dyDescent="0.45">
      <c r="A25" s="12">
        <v>24</v>
      </c>
      <c r="B25" s="12">
        <v>3</v>
      </c>
      <c r="C25" s="12" t="s">
        <v>182</v>
      </c>
      <c r="D25" s="12">
        <v>208</v>
      </c>
      <c r="E25" s="12">
        <v>3</v>
      </c>
      <c r="F25" s="12">
        <v>4</v>
      </c>
      <c r="G25" s="12">
        <v>1</v>
      </c>
      <c r="H25" s="12">
        <v>1</v>
      </c>
      <c r="I25" s="12">
        <v>0.95</v>
      </c>
      <c r="J25" s="12" t="s">
        <v>32</v>
      </c>
      <c r="K25" s="12">
        <v>1.25</v>
      </c>
      <c r="L25" s="12" t="s">
        <v>153</v>
      </c>
      <c r="M25" t="str">
        <f t="shared" si="0"/>
        <v>24 · UPS (208 V 3F)</v>
      </c>
      <c r="N25" s="12" t="s">
        <v>183</v>
      </c>
    </row>
    <row r="26" spans="1:14" x14ac:dyDescent="0.45">
      <c r="A26" s="12">
        <v>25</v>
      </c>
      <c r="B26" s="12">
        <v>3</v>
      </c>
      <c r="C26" s="12" t="s">
        <v>184</v>
      </c>
      <c r="D26" s="12">
        <v>208</v>
      </c>
      <c r="E26" s="12">
        <v>3</v>
      </c>
      <c r="F26" s="12">
        <v>4</v>
      </c>
      <c r="G26" s="12">
        <v>1</v>
      </c>
      <c r="H26" s="12">
        <v>1</v>
      </c>
      <c r="I26" s="12">
        <v>0.95</v>
      </c>
      <c r="J26" s="12" t="s">
        <v>32</v>
      </c>
      <c r="K26" s="12">
        <v>1.25</v>
      </c>
      <c r="L26" s="12" t="s">
        <v>153</v>
      </c>
      <c r="M26" t="str">
        <f t="shared" si="0"/>
        <v>25 · TRANSFERENCIA MANUAL UPS (208 V 3F)</v>
      </c>
      <c r="N26" s="12"/>
    </row>
    <row r="27" spans="1:14" x14ac:dyDescent="0.45">
      <c r="A27" s="12">
        <v>26</v>
      </c>
      <c r="B27" s="12">
        <v>12</v>
      </c>
      <c r="C27" s="12" t="s">
        <v>185</v>
      </c>
      <c r="D27" s="12">
        <v>120</v>
      </c>
      <c r="E27" s="12">
        <v>1</v>
      </c>
      <c r="F27" s="12">
        <v>3</v>
      </c>
      <c r="G27" s="12">
        <v>1</v>
      </c>
      <c r="H27" s="12">
        <v>1</v>
      </c>
      <c r="I27" s="12">
        <v>1</v>
      </c>
      <c r="J27" s="12" t="s">
        <v>149</v>
      </c>
      <c r="K27" s="12">
        <v>1.25</v>
      </c>
      <c r="L27" s="12" t="s">
        <v>186</v>
      </c>
      <c r="M27" t="str">
        <f t="shared" si="0"/>
        <v>26 · EQUIPOS DE COCINA 120V (120 V 1F)</v>
      </c>
      <c r="N27" s="12" t="s">
        <v>187</v>
      </c>
    </row>
    <row r="28" spans="1:14" x14ac:dyDescent="0.45">
      <c r="A28" s="12">
        <v>27</v>
      </c>
      <c r="B28" s="12">
        <v>12</v>
      </c>
      <c r="C28" s="12" t="s">
        <v>188</v>
      </c>
      <c r="D28" s="12">
        <v>208</v>
      </c>
      <c r="E28" s="12">
        <v>2</v>
      </c>
      <c r="F28" s="12">
        <v>3</v>
      </c>
      <c r="G28" s="12">
        <v>1</v>
      </c>
      <c r="H28" s="12">
        <v>1</v>
      </c>
      <c r="I28" s="12">
        <v>0.95</v>
      </c>
      <c r="J28" s="12" t="s">
        <v>149</v>
      </c>
      <c r="K28" s="12">
        <v>1.25</v>
      </c>
      <c r="L28" s="12" t="s">
        <v>186</v>
      </c>
      <c r="M28" t="str">
        <f t="shared" si="0"/>
        <v>27 · EQUIPOS DE COCINA 208V (208 V 2F)</v>
      </c>
      <c r="N28" s="12" t="s">
        <v>189</v>
      </c>
    </row>
    <row r="29" spans="1:14" x14ac:dyDescent="0.45">
      <c r="A29" s="12">
        <v>28</v>
      </c>
      <c r="B29" s="12">
        <v>12</v>
      </c>
      <c r="C29" s="12" t="s">
        <v>190</v>
      </c>
      <c r="D29" s="12">
        <v>480</v>
      </c>
      <c r="E29" s="12">
        <v>3</v>
      </c>
      <c r="F29" s="12">
        <v>4</v>
      </c>
      <c r="G29" s="12">
        <v>1</v>
      </c>
      <c r="H29" s="12">
        <v>1</v>
      </c>
      <c r="I29" s="12">
        <v>0.95</v>
      </c>
      <c r="J29" s="12" t="s">
        <v>149</v>
      </c>
      <c r="K29" s="12">
        <v>1.25</v>
      </c>
      <c r="L29" s="12" t="s">
        <v>186</v>
      </c>
      <c r="M29" t="str">
        <f t="shared" si="0"/>
        <v>28 · Equipos Cocinas 408V (480 V 3F)</v>
      </c>
      <c r="N29" s="12" t="s">
        <v>191</v>
      </c>
    </row>
    <row r="30" spans="1:14" x14ac:dyDescent="0.45">
      <c r="A30" s="12">
        <v>29</v>
      </c>
      <c r="B30" s="12">
        <v>12</v>
      </c>
      <c r="C30" s="12" t="s">
        <v>192</v>
      </c>
      <c r="D30" s="12">
        <v>120</v>
      </c>
      <c r="E30" s="12">
        <v>1</v>
      </c>
      <c r="F30" s="12">
        <v>3</v>
      </c>
      <c r="G30" s="12">
        <v>1</v>
      </c>
      <c r="H30" s="12">
        <v>1</v>
      </c>
      <c r="I30" s="12">
        <v>1</v>
      </c>
      <c r="J30" s="12" t="s">
        <v>149</v>
      </c>
      <c r="K30" s="12">
        <v>1.25</v>
      </c>
      <c r="L30" s="12" t="s">
        <v>186</v>
      </c>
      <c r="M30" t="str">
        <f t="shared" si="0"/>
        <v>29 · CAMPANA DE EXTRACCIÓN (120 V 1F)</v>
      </c>
      <c r="N30" s="12" t="s">
        <v>193</v>
      </c>
    </row>
    <row r="31" spans="1:14" x14ac:dyDescent="0.45">
      <c r="A31" s="12">
        <v>30</v>
      </c>
      <c r="B31" s="12">
        <v>2</v>
      </c>
      <c r="C31" s="12" t="s">
        <v>194</v>
      </c>
      <c r="D31" s="12">
        <v>120</v>
      </c>
      <c r="E31" s="12">
        <v>1</v>
      </c>
      <c r="F31" s="12">
        <v>3</v>
      </c>
      <c r="G31" s="12">
        <v>1</v>
      </c>
      <c r="H31" s="12">
        <v>1</v>
      </c>
      <c r="I31" s="12">
        <v>0.95</v>
      </c>
      <c r="J31" s="12" t="s">
        <v>149</v>
      </c>
      <c r="K31" s="12">
        <v>1.25</v>
      </c>
      <c r="L31" s="12" t="s">
        <v>186</v>
      </c>
      <c r="M31" t="str">
        <f t="shared" si="0"/>
        <v>30 · HORNO MW (120 V 1F)</v>
      </c>
      <c r="N31" s="12" t="s">
        <v>195</v>
      </c>
    </row>
    <row r="32" spans="1:14" x14ac:dyDescent="0.45">
      <c r="A32" s="12">
        <v>31</v>
      </c>
      <c r="B32" s="12">
        <v>2</v>
      </c>
      <c r="C32" s="12" t="s">
        <v>196</v>
      </c>
      <c r="D32" s="12">
        <v>120</v>
      </c>
      <c r="E32" s="12">
        <v>1</v>
      </c>
      <c r="F32" s="12">
        <v>3</v>
      </c>
      <c r="G32" s="12">
        <v>1</v>
      </c>
      <c r="H32" s="12">
        <v>1</v>
      </c>
      <c r="I32" s="12">
        <v>1</v>
      </c>
      <c r="J32" s="12" t="s">
        <v>149</v>
      </c>
      <c r="K32" s="12">
        <v>1.25</v>
      </c>
      <c r="L32" s="12" t="s">
        <v>150</v>
      </c>
      <c r="M32" t="str">
        <f t="shared" si="0"/>
        <v>31 · LAVAPLATOS (120 V 1F)</v>
      </c>
      <c r="N32" s="12" t="s">
        <v>197</v>
      </c>
    </row>
    <row r="33" spans="1:14" x14ac:dyDescent="0.45">
      <c r="A33" s="12">
        <v>32</v>
      </c>
      <c r="B33" s="12">
        <v>2</v>
      </c>
      <c r="C33" s="12" t="s">
        <v>198</v>
      </c>
      <c r="D33" s="12">
        <v>120</v>
      </c>
      <c r="E33" s="12">
        <v>1</v>
      </c>
      <c r="F33" s="12">
        <v>3</v>
      </c>
      <c r="G33" s="12">
        <v>1</v>
      </c>
      <c r="H33" s="12">
        <v>1</v>
      </c>
      <c r="I33" s="12">
        <v>1</v>
      </c>
      <c r="J33" s="12" t="s">
        <v>149</v>
      </c>
      <c r="K33" s="12">
        <v>1.25</v>
      </c>
      <c r="L33" s="12" t="s">
        <v>150</v>
      </c>
      <c r="M33" t="str">
        <f t="shared" si="0"/>
        <v>32 · MÁQUINA DE HACER CAFÉ (120 V 1F)</v>
      </c>
      <c r="N33" s="12" t="s">
        <v>199</v>
      </c>
    </row>
    <row r="34" spans="1:14" x14ac:dyDescent="0.45">
      <c r="A34" s="12">
        <v>33</v>
      </c>
      <c r="B34" s="12">
        <v>2</v>
      </c>
      <c r="C34" s="12" t="s">
        <v>200</v>
      </c>
      <c r="D34" s="12">
        <v>120</v>
      </c>
      <c r="E34" s="12">
        <v>1</v>
      </c>
      <c r="F34" s="12">
        <v>3</v>
      </c>
      <c r="G34" s="12">
        <v>1</v>
      </c>
      <c r="H34" s="12">
        <v>1</v>
      </c>
      <c r="I34" s="12">
        <v>0.95</v>
      </c>
      <c r="J34" s="12" t="s">
        <v>149</v>
      </c>
      <c r="K34" s="12">
        <v>1.25</v>
      </c>
      <c r="L34" s="12" t="s">
        <v>201</v>
      </c>
      <c r="M34" t="str">
        <f t="shared" ref="M34:M68" si="1">A34&amp;" · "&amp;C34&amp;" ("&amp;D34&amp;" V "&amp;E34&amp;"F)"</f>
        <v>33 · REFRIGERADOR (120 V 1F)</v>
      </c>
      <c r="N34" s="12" t="s">
        <v>202</v>
      </c>
    </row>
    <row r="35" spans="1:14" x14ac:dyDescent="0.45">
      <c r="A35" s="12">
        <v>34</v>
      </c>
      <c r="B35" s="12">
        <v>2</v>
      </c>
      <c r="C35" s="12" t="s">
        <v>203</v>
      </c>
      <c r="D35" s="12">
        <v>120</v>
      </c>
      <c r="E35" s="12">
        <v>1</v>
      </c>
      <c r="F35" s="12">
        <v>3</v>
      </c>
      <c r="G35" s="12">
        <v>1</v>
      </c>
      <c r="H35" s="12">
        <v>1</v>
      </c>
      <c r="I35" s="12">
        <v>0.95</v>
      </c>
      <c r="J35" s="12" t="s">
        <v>149</v>
      </c>
      <c r="K35" s="12">
        <v>1.25</v>
      </c>
      <c r="L35" s="12" t="s">
        <v>150</v>
      </c>
      <c r="M35" t="str">
        <f t="shared" si="1"/>
        <v>34 · CONTROL DE PUERTAS (120 V 1F)</v>
      </c>
      <c r="N35" s="12" t="s">
        <v>204</v>
      </c>
    </row>
    <row r="36" spans="1:14" x14ac:dyDescent="0.45">
      <c r="A36" s="12">
        <v>35</v>
      </c>
      <c r="B36" s="12">
        <v>3</v>
      </c>
      <c r="C36" s="12" t="s">
        <v>205</v>
      </c>
      <c r="D36" s="12">
        <v>120</v>
      </c>
      <c r="E36" s="12">
        <v>1</v>
      </c>
      <c r="F36" s="12">
        <v>3</v>
      </c>
      <c r="G36" s="12">
        <v>1</v>
      </c>
      <c r="H36" s="12">
        <v>1</v>
      </c>
      <c r="I36" s="12">
        <v>1</v>
      </c>
      <c r="J36" s="12" t="s">
        <v>32</v>
      </c>
      <c r="K36" s="12">
        <v>1.25</v>
      </c>
      <c r="L36" s="12" t="s">
        <v>153</v>
      </c>
      <c r="M36" t="str">
        <f t="shared" si="1"/>
        <v>35 · PANEL DE CONTROL DE ACCESOS (120 V 1F)</v>
      </c>
      <c r="N36" s="12" t="s">
        <v>206</v>
      </c>
    </row>
    <row r="37" spans="1:14" x14ac:dyDescent="0.45">
      <c r="A37" s="12">
        <v>36</v>
      </c>
      <c r="B37" s="12">
        <v>3</v>
      </c>
      <c r="C37" s="12" t="s">
        <v>207</v>
      </c>
      <c r="D37" s="12">
        <v>120</v>
      </c>
      <c r="E37" s="12">
        <v>1</v>
      </c>
      <c r="F37" s="12">
        <v>3</v>
      </c>
      <c r="G37" s="12">
        <v>1</v>
      </c>
      <c r="H37" s="12">
        <v>1</v>
      </c>
      <c r="I37" s="12">
        <v>1</v>
      </c>
      <c r="J37" s="12" t="s">
        <v>32</v>
      </c>
      <c r="K37" s="12">
        <v>1.25</v>
      </c>
      <c r="L37" s="12" t="s">
        <v>153</v>
      </c>
      <c r="M37" t="str">
        <f t="shared" si="1"/>
        <v>36 · PANEL INCENDIOS (120 V 1F)</v>
      </c>
      <c r="N37" s="12" t="s">
        <v>208</v>
      </c>
    </row>
    <row r="38" spans="1:14" x14ac:dyDescent="0.45">
      <c r="A38" s="12">
        <v>37</v>
      </c>
      <c r="B38" s="12">
        <v>3</v>
      </c>
      <c r="C38" s="12" t="s">
        <v>209</v>
      </c>
      <c r="D38" s="12">
        <v>120</v>
      </c>
      <c r="E38" s="12">
        <v>1</v>
      </c>
      <c r="F38" s="12">
        <v>3</v>
      </c>
      <c r="G38" s="12">
        <v>1</v>
      </c>
      <c r="H38" s="12">
        <v>1</v>
      </c>
      <c r="I38" s="12">
        <v>1</v>
      </c>
      <c r="J38" s="12" t="s">
        <v>32</v>
      </c>
      <c r="K38" s="12">
        <v>1.25</v>
      </c>
      <c r="L38" s="12" t="s">
        <v>153</v>
      </c>
      <c r="M38" t="str">
        <f t="shared" si="1"/>
        <v>37 · PANEL SEGURIDAD (120 V 1F)</v>
      </c>
      <c r="N38" s="12" t="s">
        <v>210</v>
      </c>
    </row>
    <row r="39" spans="1:14" x14ac:dyDescent="0.45">
      <c r="A39" s="12">
        <v>38</v>
      </c>
      <c r="B39" s="12">
        <v>3</v>
      </c>
      <c r="C39" s="12" t="s">
        <v>211</v>
      </c>
      <c r="D39" s="12">
        <v>120</v>
      </c>
      <c r="E39" s="12">
        <v>1</v>
      </c>
      <c r="F39" s="12">
        <v>3</v>
      </c>
      <c r="G39" s="12">
        <v>1</v>
      </c>
      <c r="H39" s="12">
        <v>1</v>
      </c>
      <c r="I39" s="12">
        <v>1</v>
      </c>
      <c r="J39" s="12" t="s">
        <v>32</v>
      </c>
      <c r="K39" s="12">
        <v>1.25</v>
      </c>
      <c r="L39" s="12" t="s">
        <v>153</v>
      </c>
      <c r="M39" t="str">
        <f t="shared" si="1"/>
        <v>38 · RACKS TI (120 V 1F)</v>
      </c>
      <c r="N39" s="12" t="s">
        <v>212</v>
      </c>
    </row>
    <row r="40" spans="1:14" x14ac:dyDescent="0.45">
      <c r="A40" s="12">
        <v>39</v>
      </c>
      <c r="B40" s="12">
        <v>3</v>
      </c>
      <c r="C40" s="12" t="s">
        <v>213</v>
      </c>
      <c r="D40" s="12">
        <v>120</v>
      </c>
      <c r="E40" s="12">
        <v>1</v>
      </c>
      <c r="F40" s="12">
        <v>3</v>
      </c>
      <c r="G40" s="12">
        <v>1</v>
      </c>
      <c r="H40" s="12">
        <v>1</v>
      </c>
      <c r="I40" s="12">
        <v>1</v>
      </c>
      <c r="J40" s="12" t="s">
        <v>32</v>
      </c>
      <c r="K40" s="12">
        <v>1.25</v>
      </c>
      <c r="L40" s="12" t="s">
        <v>153</v>
      </c>
      <c r="M40" t="str">
        <f t="shared" si="1"/>
        <v>39 · PANEL PC-A (120 V 1F)</v>
      </c>
      <c r="N40" s="12" t="s">
        <v>214</v>
      </c>
    </row>
    <row r="41" spans="1:14" x14ac:dyDescent="0.45">
      <c r="A41" s="12">
        <v>40</v>
      </c>
      <c r="B41" s="12">
        <v>8</v>
      </c>
      <c r="C41" s="12" t="s">
        <v>215</v>
      </c>
      <c r="D41" s="12">
        <v>208</v>
      </c>
      <c r="E41" s="12">
        <v>2</v>
      </c>
      <c r="F41" s="12">
        <v>3</v>
      </c>
      <c r="G41" s="12">
        <v>1</v>
      </c>
      <c r="H41" s="12">
        <v>1</v>
      </c>
      <c r="I41" s="12">
        <v>0.95</v>
      </c>
      <c r="J41" s="12" t="s">
        <v>149</v>
      </c>
      <c r="K41" s="12">
        <v>1.25</v>
      </c>
      <c r="L41" s="12" t="s">
        <v>216</v>
      </c>
      <c r="M41" t="str">
        <f t="shared" si="1"/>
        <v>40 · UNIDAD CU-XX (208 V 2F)</v>
      </c>
      <c r="N41" s="12" t="s">
        <v>217</v>
      </c>
    </row>
    <row r="42" spans="1:14" x14ac:dyDescent="0.45">
      <c r="A42" s="12">
        <v>41</v>
      </c>
      <c r="B42" s="12">
        <v>7</v>
      </c>
      <c r="C42" s="12" t="s">
        <v>218</v>
      </c>
      <c r="D42" s="12">
        <v>208</v>
      </c>
      <c r="E42" s="12">
        <v>2</v>
      </c>
      <c r="F42" s="12">
        <v>1</v>
      </c>
      <c r="G42" s="12">
        <v>1</v>
      </c>
      <c r="H42" s="12">
        <v>1</v>
      </c>
      <c r="I42" s="12">
        <v>0.95</v>
      </c>
      <c r="J42" s="12" t="s">
        <v>149</v>
      </c>
      <c r="K42" s="12">
        <v>1.25</v>
      </c>
      <c r="L42" s="12" t="s">
        <v>216</v>
      </c>
      <c r="M42" t="str">
        <f t="shared" si="1"/>
        <v>41 · UNIDAD AH-XX (208 V 2F)</v>
      </c>
      <c r="N42" s="12" t="s">
        <v>219</v>
      </c>
    </row>
    <row r="43" spans="1:14" x14ac:dyDescent="0.45">
      <c r="A43" s="12">
        <v>42</v>
      </c>
      <c r="B43" s="12">
        <v>8</v>
      </c>
      <c r="C43" s="12" t="s">
        <v>215</v>
      </c>
      <c r="D43" s="12">
        <v>208</v>
      </c>
      <c r="E43" s="12">
        <v>3</v>
      </c>
      <c r="F43" s="12">
        <v>3</v>
      </c>
      <c r="G43" s="12">
        <v>1</v>
      </c>
      <c r="H43" s="12">
        <v>1</v>
      </c>
      <c r="I43" s="12">
        <v>0.95</v>
      </c>
      <c r="J43" s="12" t="s">
        <v>149</v>
      </c>
      <c r="K43" s="12">
        <v>1.25</v>
      </c>
      <c r="L43" s="12" t="s">
        <v>216</v>
      </c>
      <c r="M43" t="str">
        <f t="shared" si="1"/>
        <v>42 · UNIDAD CU-XX (208 V 3F)</v>
      </c>
      <c r="N43" s="12" t="s">
        <v>220</v>
      </c>
    </row>
    <row r="44" spans="1:14" x14ac:dyDescent="0.45">
      <c r="A44" s="12">
        <v>43</v>
      </c>
      <c r="B44" s="12">
        <v>9</v>
      </c>
      <c r="C44" s="12" t="s">
        <v>221</v>
      </c>
      <c r="D44" s="12">
        <v>120</v>
      </c>
      <c r="E44" s="12">
        <v>1</v>
      </c>
      <c r="F44" s="12">
        <v>3</v>
      </c>
      <c r="G44" s="12">
        <v>1</v>
      </c>
      <c r="H44" s="12">
        <v>1</v>
      </c>
      <c r="I44" s="12">
        <v>0.95</v>
      </c>
      <c r="J44" s="12" t="s">
        <v>149</v>
      </c>
      <c r="K44" s="12">
        <v>1.25</v>
      </c>
      <c r="L44" s="12" t="s">
        <v>180</v>
      </c>
      <c r="M44" t="str">
        <f t="shared" si="1"/>
        <v>43 · INYECTOR INY-XX (120 V 1F)</v>
      </c>
      <c r="N44" s="12" t="s">
        <v>222</v>
      </c>
    </row>
    <row r="45" spans="1:14" x14ac:dyDescent="0.45">
      <c r="A45" s="12">
        <v>44</v>
      </c>
      <c r="B45" s="12">
        <v>10</v>
      </c>
      <c r="C45" s="12" t="s">
        <v>223</v>
      </c>
      <c r="D45" s="12">
        <v>120</v>
      </c>
      <c r="E45" s="12">
        <v>1</v>
      </c>
      <c r="F45" s="12">
        <v>3</v>
      </c>
      <c r="G45" s="12">
        <v>1</v>
      </c>
      <c r="H45" s="12">
        <v>1</v>
      </c>
      <c r="I45" s="12">
        <v>0.95</v>
      </c>
      <c r="J45" s="12" t="s">
        <v>149</v>
      </c>
      <c r="K45" s="12">
        <v>1.25</v>
      </c>
      <c r="L45" s="12" t="s">
        <v>180</v>
      </c>
      <c r="M45" t="str">
        <f t="shared" si="1"/>
        <v>44 · EXTRACTOR EXT-XX (120 V 1F)</v>
      </c>
      <c r="N45" s="12" t="s">
        <v>224</v>
      </c>
    </row>
    <row r="46" spans="1:14" x14ac:dyDescent="0.45">
      <c r="A46" s="12">
        <v>45</v>
      </c>
      <c r="B46" s="12">
        <v>7</v>
      </c>
      <c r="C46" s="12" t="s">
        <v>225</v>
      </c>
      <c r="D46" s="12">
        <v>208</v>
      </c>
      <c r="E46" s="12">
        <v>1</v>
      </c>
      <c r="F46" s="12">
        <v>3</v>
      </c>
      <c r="G46" s="12">
        <v>1</v>
      </c>
      <c r="H46" s="12">
        <v>1</v>
      </c>
      <c r="I46" s="12">
        <v>0.95</v>
      </c>
      <c r="J46" s="12" t="s">
        <v>149</v>
      </c>
      <c r="K46" s="12">
        <v>1.25</v>
      </c>
      <c r="L46" s="12" t="s">
        <v>216</v>
      </c>
      <c r="M46" t="str">
        <f t="shared" si="1"/>
        <v>45 · MINISPLIT MS-XX (208 V 1F)</v>
      </c>
      <c r="N46" s="12" t="s">
        <v>226</v>
      </c>
    </row>
    <row r="47" spans="1:14" x14ac:dyDescent="0.45">
      <c r="A47" s="12">
        <v>46</v>
      </c>
      <c r="B47" s="12">
        <v>7</v>
      </c>
      <c r="C47" s="12" t="s">
        <v>227</v>
      </c>
      <c r="D47" s="12">
        <v>208</v>
      </c>
      <c r="E47" s="12">
        <v>1</v>
      </c>
      <c r="F47" s="12">
        <v>3</v>
      </c>
      <c r="G47" s="12">
        <v>1</v>
      </c>
      <c r="H47" s="12">
        <v>1</v>
      </c>
      <c r="I47" s="12">
        <v>0.95</v>
      </c>
      <c r="J47" s="12" t="s">
        <v>149</v>
      </c>
      <c r="K47" s="12">
        <v>1.25</v>
      </c>
      <c r="L47" s="12" t="s">
        <v>216</v>
      </c>
      <c r="M47" t="str">
        <f t="shared" si="1"/>
        <v>46 · CASSETTES+FAN COIL (208 V 1F)</v>
      </c>
      <c r="N47" s="12" t="s">
        <v>228</v>
      </c>
    </row>
    <row r="48" spans="1:14" x14ac:dyDescent="0.45">
      <c r="A48" s="12">
        <v>47</v>
      </c>
      <c r="B48" s="12">
        <v>11</v>
      </c>
      <c r="C48" s="12" t="s">
        <v>229</v>
      </c>
      <c r="D48" s="12">
        <v>208</v>
      </c>
      <c r="E48" s="12">
        <v>1</v>
      </c>
      <c r="F48" s="12">
        <v>3</v>
      </c>
      <c r="G48" s="12">
        <v>1</v>
      </c>
      <c r="H48" s="12">
        <v>1</v>
      </c>
      <c r="I48" s="12">
        <v>0.95</v>
      </c>
      <c r="J48" s="12" t="s">
        <v>149</v>
      </c>
      <c r="K48" s="12">
        <v>1.25</v>
      </c>
      <c r="L48" s="12" t="s">
        <v>150</v>
      </c>
      <c r="M48" t="str">
        <f t="shared" si="1"/>
        <v>47 · TANQUE AGUA CALIENTE (208 V 1F)</v>
      </c>
      <c r="N48" s="12" t="s">
        <v>230</v>
      </c>
    </row>
    <row r="49" spans="1:14" x14ac:dyDescent="0.45">
      <c r="A49" s="12">
        <v>48</v>
      </c>
      <c r="B49" s="12">
        <v>11</v>
      </c>
      <c r="C49" s="12" t="s">
        <v>231</v>
      </c>
      <c r="D49" s="12">
        <v>208</v>
      </c>
      <c r="E49" s="12">
        <v>1</v>
      </c>
      <c r="F49" s="12">
        <v>3</v>
      </c>
      <c r="G49" s="12">
        <v>1</v>
      </c>
      <c r="H49" s="12">
        <v>1</v>
      </c>
      <c r="I49" s="12">
        <v>0.95</v>
      </c>
      <c r="J49" s="12" t="s">
        <v>149</v>
      </c>
      <c r="K49" s="12">
        <v>1</v>
      </c>
      <c r="L49" s="12" t="s">
        <v>232</v>
      </c>
      <c r="M49" t="str">
        <f t="shared" si="1"/>
        <v>48 · CALENTADOR DE PASO (208 V 1F)</v>
      </c>
      <c r="N49" s="12" t="s">
        <v>233</v>
      </c>
    </row>
    <row r="50" spans="1:14" x14ac:dyDescent="0.45">
      <c r="A50" s="12">
        <v>49</v>
      </c>
      <c r="B50" s="12">
        <v>5</v>
      </c>
      <c r="C50" s="12" t="s">
        <v>234</v>
      </c>
      <c r="D50" s="12">
        <v>208</v>
      </c>
      <c r="E50" s="12">
        <v>1</v>
      </c>
      <c r="F50" s="12">
        <v>3</v>
      </c>
      <c r="G50" s="12">
        <v>1</v>
      </c>
      <c r="H50" s="12">
        <v>1</v>
      </c>
      <c r="I50" s="12">
        <v>0.95</v>
      </c>
      <c r="J50" s="12" t="s">
        <v>149</v>
      </c>
      <c r="K50" s="12">
        <v>1.25</v>
      </c>
      <c r="L50" s="12" t="s">
        <v>180</v>
      </c>
      <c r="M50" t="str">
        <f t="shared" si="1"/>
        <v>49 · B. AGUA CALIENTE 3x0.75HP (208 V 1F)</v>
      </c>
      <c r="N50" s="12" t="s">
        <v>235</v>
      </c>
    </row>
    <row r="51" spans="1:14" x14ac:dyDescent="0.45">
      <c r="A51" s="12">
        <v>50</v>
      </c>
      <c r="B51" s="12">
        <v>5</v>
      </c>
      <c r="C51" s="12" t="s">
        <v>236</v>
      </c>
      <c r="D51" s="12">
        <v>208</v>
      </c>
      <c r="E51" s="12">
        <v>1</v>
      </c>
      <c r="F51" s="12">
        <v>3</v>
      </c>
      <c r="G51" s="12">
        <v>1</v>
      </c>
      <c r="H51" s="12">
        <v>1</v>
      </c>
      <c r="I51" s="12">
        <v>0.95</v>
      </c>
      <c r="J51" s="12" t="s">
        <v>149</v>
      </c>
      <c r="K51" s="12">
        <v>1.25</v>
      </c>
      <c r="L51" s="12" t="s">
        <v>180</v>
      </c>
      <c r="M51" t="str">
        <f t="shared" si="1"/>
        <v>50 · BOMBA TRASIEGO DIESEL 0.5HP (208 V 1F)</v>
      </c>
      <c r="N51" s="12" t="s">
        <v>237</v>
      </c>
    </row>
    <row r="52" spans="1:14" x14ac:dyDescent="0.45">
      <c r="A52" s="12">
        <v>51</v>
      </c>
      <c r="B52" s="12">
        <v>5</v>
      </c>
      <c r="C52" s="12" t="s">
        <v>238</v>
      </c>
      <c r="D52" s="12">
        <v>208</v>
      </c>
      <c r="E52" s="12">
        <v>1</v>
      </c>
      <c r="F52" s="12">
        <v>3</v>
      </c>
      <c r="G52" s="12">
        <v>1</v>
      </c>
      <c r="H52" s="12">
        <v>1</v>
      </c>
      <c r="I52" s="12">
        <v>0.95</v>
      </c>
      <c r="J52" s="12" t="s">
        <v>149</v>
      </c>
      <c r="K52" s="12">
        <v>1.25</v>
      </c>
      <c r="L52" s="12" t="s">
        <v>180</v>
      </c>
      <c r="M52" t="str">
        <f t="shared" si="1"/>
        <v>51 · BOMBA JOCKEY 1.5HP (208 V 1F)</v>
      </c>
      <c r="N52" s="12" t="s">
        <v>239</v>
      </c>
    </row>
    <row r="53" spans="1:14" x14ac:dyDescent="0.45">
      <c r="A53" s="12">
        <v>52</v>
      </c>
      <c r="B53" s="12">
        <v>5</v>
      </c>
      <c r="C53" s="12" t="s">
        <v>240</v>
      </c>
      <c r="D53" s="12">
        <v>208</v>
      </c>
      <c r="E53" s="12">
        <v>3</v>
      </c>
      <c r="F53" s="12">
        <v>4</v>
      </c>
      <c r="G53" s="12">
        <v>1</v>
      </c>
      <c r="H53" s="12">
        <v>1</v>
      </c>
      <c r="I53" s="12">
        <v>0.95</v>
      </c>
      <c r="J53" s="12" t="s">
        <v>149</v>
      </c>
      <c r="K53" s="12">
        <v>1.25</v>
      </c>
      <c r="L53" s="12" t="s">
        <v>180</v>
      </c>
      <c r="M53" t="str">
        <f t="shared" si="1"/>
        <v>52 · BOMBA PLUVIAL 2HP (208 V 3F)</v>
      </c>
      <c r="N53" s="12" t="s">
        <v>241</v>
      </c>
    </row>
    <row r="54" spans="1:14" x14ac:dyDescent="0.45">
      <c r="A54" s="12">
        <v>53</v>
      </c>
      <c r="B54" s="12">
        <v>5</v>
      </c>
      <c r="C54" s="12" t="s">
        <v>242</v>
      </c>
      <c r="D54" s="12">
        <v>208</v>
      </c>
      <c r="E54" s="12">
        <v>1</v>
      </c>
      <c r="F54" s="12">
        <v>4</v>
      </c>
      <c r="G54" s="12">
        <v>1</v>
      </c>
      <c r="H54" s="12">
        <v>1</v>
      </c>
      <c r="I54" s="12">
        <v>0.95</v>
      </c>
      <c r="J54" s="12" t="s">
        <v>149</v>
      </c>
      <c r="K54" s="12">
        <v>1.25</v>
      </c>
      <c r="L54" s="12" t="s">
        <v>180</v>
      </c>
      <c r="M54" t="str">
        <f t="shared" si="1"/>
        <v>53 · PANEL PTAR (208 V 1F)</v>
      </c>
      <c r="N54" s="12" t="s">
        <v>243</v>
      </c>
    </row>
    <row r="55" spans="1:14" x14ac:dyDescent="0.45">
      <c r="A55" s="12">
        <v>54</v>
      </c>
      <c r="B55" s="12">
        <v>5</v>
      </c>
      <c r="C55" s="12" t="s">
        <v>244</v>
      </c>
      <c r="D55" s="12">
        <v>480</v>
      </c>
      <c r="E55" s="12">
        <v>3</v>
      </c>
      <c r="F55" s="12">
        <v>3</v>
      </c>
      <c r="G55" s="12">
        <v>1</v>
      </c>
      <c r="H55" s="12">
        <v>1</v>
      </c>
      <c r="I55" s="12">
        <v>0.95</v>
      </c>
      <c r="J55" s="12" t="s">
        <v>149</v>
      </c>
      <c r="K55" s="12">
        <v>1.25</v>
      </c>
      <c r="L55" s="12" t="s">
        <v>180</v>
      </c>
      <c r="M55" t="str">
        <f t="shared" si="1"/>
        <v>54 · BOMBAS DE AGUA 3x15HP (480 V 3F)</v>
      </c>
      <c r="N55" s="12" t="s">
        <v>245</v>
      </c>
    </row>
    <row r="56" spans="1:14" x14ac:dyDescent="0.45">
      <c r="A56" s="12">
        <v>55</v>
      </c>
      <c r="B56" s="12">
        <v>5</v>
      </c>
      <c r="C56" s="12" t="s">
        <v>246</v>
      </c>
      <c r="D56" s="12">
        <v>208</v>
      </c>
      <c r="E56" s="12">
        <v>3</v>
      </c>
      <c r="F56" s="12">
        <v>3</v>
      </c>
      <c r="G56" s="12">
        <v>1</v>
      </c>
      <c r="H56" s="12">
        <v>1</v>
      </c>
      <c r="I56" s="12">
        <v>0.95</v>
      </c>
      <c r="J56" s="12" t="s">
        <v>149</v>
      </c>
      <c r="K56" s="12">
        <v>1.25</v>
      </c>
      <c r="L56" s="12" t="s">
        <v>180</v>
      </c>
      <c r="M56" t="str">
        <f t="shared" si="1"/>
        <v>55 · EQUIPOS MECÁNICOS (208 V 3F)</v>
      </c>
      <c r="N56" s="12" t="s">
        <v>247</v>
      </c>
    </row>
    <row r="57" spans="1:14" x14ac:dyDescent="0.45">
      <c r="A57" s="12">
        <v>56</v>
      </c>
      <c r="B57" s="12">
        <v>5</v>
      </c>
      <c r="C57" s="12" t="s">
        <v>248</v>
      </c>
      <c r="D57" s="12">
        <v>480</v>
      </c>
      <c r="E57" s="12">
        <v>3</v>
      </c>
      <c r="F57" s="12">
        <v>4</v>
      </c>
      <c r="G57" s="12">
        <v>1</v>
      </c>
      <c r="H57" s="12">
        <v>1</v>
      </c>
      <c r="I57" s="12">
        <v>0.95</v>
      </c>
      <c r="J57" s="12" t="s">
        <v>149</v>
      </c>
      <c r="K57" s="12">
        <v>1.25</v>
      </c>
      <c r="L57" s="12" t="s">
        <v>180</v>
      </c>
      <c r="M57" t="str">
        <f t="shared" si="1"/>
        <v>56 · ESTERILIZADORA (480 V 3F)</v>
      </c>
      <c r="N57" s="12" t="s">
        <v>249</v>
      </c>
    </row>
    <row r="58" spans="1:14" x14ac:dyDescent="0.45">
      <c r="A58" s="12">
        <v>57</v>
      </c>
      <c r="B58" s="12">
        <v>5</v>
      </c>
      <c r="C58" s="12" t="s">
        <v>250</v>
      </c>
      <c r="D58" s="12">
        <v>208</v>
      </c>
      <c r="E58" s="12">
        <v>3</v>
      </c>
      <c r="F58" s="12">
        <v>3</v>
      </c>
      <c r="G58" s="12">
        <v>1</v>
      </c>
      <c r="H58" s="12">
        <v>1</v>
      </c>
      <c r="I58" s="12">
        <v>0.95</v>
      </c>
      <c r="J58" s="12" t="s">
        <v>149</v>
      </c>
      <c r="K58" s="12">
        <v>1.25</v>
      </c>
      <c r="L58" s="12" t="s">
        <v>180</v>
      </c>
      <c r="M58" t="str">
        <f t="shared" si="1"/>
        <v>57 · LAVADORA INSTRUMENTOS (208 V 3F)</v>
      </c>
      <c r="N58" s="12" t="s">
        <v>251</v>
      </c>
    </row>
    <row r="59" spans="1:14" x14ac:dyDescent="0.45">
      <c r="A59" s="12">
        <v>58</v>
      </c>
      <c r="B59" s="12">
        <v>2</v>
      </c>
      <c r="C59" s="12" t="s">
        <v>252</v>
      </c>
      <c r="D59" s="12">
        <v>120</v>
      </c>
      <c r="E59" s="12">
        <v>1</v>
      </c>
      <c r="F59" s="12">
        <v>3</v>
      </c>
      <c r="G59" s="12">
        <v>1</v>
      </c>
      <c r="H59" s="12">
        <v>1</v>
      </c>
      <c r="I59" s="12">
        <v>0.95</v>
      </c>
      <c r="J59" s="12" t="s">
        <v>149</v>
      </c>
      <c r="K59" s="12">
        <v>1.25</v>
      </c>
      <c r="L59" s="12" t="s">
        <v>150</v>
      </c>
      <c r="M59" t="str">
        <f t="shared" si="1"/>
        <v>58 · EQUIPOS MÉDICOS (120 V 1F)</v>
      </c>
      <c r="N59" s="12" t="s">
        <v>253</v>
      </c>
    </row>
    <row r="60" spans="1:14" x14ac:dyDescent="0.45">
      <c r="A60" s="12">
        <v>59</v>
      </c>
      <c r="B60" s="12">
        <v>5</v>
      </c>
      <c r="C60" s="12" t="s">
        <v>254</v>
      </c>
      <c r="D60" s="12">
        <v>480</v>
      </c>
      <c r="E60" s="12">
        <v>3</v>
      </c>
      <c r="F60" s="12">
        <v>3</v>
      </c>
      <c r="G60" s="12">
        <v>1</v>
      </c>
      <c r="H60" s="12">
        <v>1</v>
      </c>
      <c r="I60" s="12">
        <v>0.95</v>
      </c>
      <c r="J60" s="12" t="s">
        <v>149</v>
      </c>
      <c r="K60" s="12">
        <v>1.25</v>
      </c>
      <c r="L60" s="12" t="s">
        <v>180</v>
      </c>
      <c r="M60" t="str">
        <f t="shared" si="1"/>
        <v>59 · BOMBA VACIO 2x3HP (480 V 3F)</v>
      </c>
      <c r="N60" s="12" t="s">
        <v>255</v>
      </c>
    </row>
    <row r="61" spans="1:14" x14ac:dyDescent="0.45">
      <c r="A61" s="12">
        <v>60</v>
      </c>
      <c r="B61" s="12">
        <v>5</v>
      </c>
      <c r="C61" s="12" t="s">
        <v>256</v>
      </c>
      <c r="D61" s="12">
        <v>480</v>
      </c>
      <c r="E61" s="12">
        <v>3</v>
      </c>
      <c r="F61" s="12">
        <v>3</v>
      </c>
      <c r="G61" s="12">
        <v>1</v>
      </c>
      <c r="H61" s="12">
        <v>1</v>
      </c>
      <c r="I61" s="12">
        <v>0.95</v>
      </c>
      <c r="J61" s="12" t="s">
        <v>149</v>
      </c>
      <c r="K61" s="12">
        <v>1.25</v>
      </c>
      <c r="L61" s="12" t="s">
        <v>180</v>
      </c>
      <c r="M61" t="str">
        <f t="shared" si="1"/>
        <v>60 · BOMBA GASES MEDICOS 2x5HP (480 V 3F)</v>
      </c>
      <c r="N61" s="12" t="s">
        <v>257</v>
      </c>
    </row>
    <row r="62" spans="1:14" x14ac:dyDescent="0.45">
      <c r="A62" s="12">
        <v>61</v>
      </c>
      <c r="B62" s="12">
        <v>5</v>
      </c>
      <c r="C62" s="12" t="s">
        <v>258</v>
      </c>
      <c r="D62" s="12">
        <v>208</v>
      </c>
      <c r="E62" s="12">
        <v>3</v>
      </c>
      <c r="F62" s="12">
        <v>3</v>
      </c>
      <c r="G62" s="12">
        <v>1</v>
      </c>
      <c r="H62" s="12">
        <v>1</v>
      </c>
      <c r="I62" s="12">
        <v>0.95</v>
      </c>
      <c r="J62" s="12" t="s">
        <v>149</v>
      </c>
      <c r="K62" s="12">
        <v>1.25</v>
      </c>
      <c r="L62" s="12" t="s">
        <v>180</v>
      </c>
      <c r="M62" t="str">
        <f t="shared" si="1"/>
        <v>61 · COMPRESOR AIRE INDUSTRIAL (208 V 3F)</v>
      </c>
      <c r="N62" s="12" t="s">
        <v>259</v>
      </c>
    </row>
    <row r="63" spans="1:14" x14ac:dyDescent="0.45">
      <c r="A63" s="12">
        <v>62</v>
      </c>
      <c r="B63" s="12">
        <v>1</v>
      </c>
      <c r="C63" s="12" t="s">
        <v>134</v>
      </c>
      <c r="D63" s="12">
        <v>277</v>
      </c>
      <c r="E63" s="12">
        <v>1</v>
      </c>
      <c r="F63" s="12">
        <v>3</v>
      </c>
      <c r="G63" s="12">
        <v>1</v>
      </c>
      <c r="H63" s="12">
        <v>1</v>
      </c>
      <c r="I63" s="12">
        <v>0.95</v>
      </c>
      <c r="J63" s="12" t="s">
        <v>32</v>
      </c>
      <c r="K63" s="12">
        <v>1.25</v>
      </c>
      <c r="L63" s="12" t="s">
        <v>135</v>
      </c>
      <c r="M63" t="str">
        <f t="shared" si="1"/>
        <v>62 · Iluminación (277 V 1F)</v>
      </c>
      <c r="N63" s="12"/>
    </row>
    <row r="64" spans="1:14" x14ac:dyDescent="0.45">
      <c r="A64" s="12">
        <v>63</v>
      </c>
      <c r="B64" s="12">
        <v>2</v>
      </c>
      <c r="C64" s="12" t="s">
        <v>260</v>
      </c>
      <c r="D64" s="12">
        <v>208</v>
      </c>
      <c r="E64" s="12">
        <v>3</v>
      </c>
      <c r="F64" s="12">
        <v>4</v>
      </c>
      <c r="G64" s="12">
        <v>1</v>
      </c>
      <c r="H64" s="12">
        <v>1</v>
      </c>
      <c r="I64" s="12">
        <v>0.95</v>
      </c>
      <c r="J64" s="12" t="s">
        <v>32</v>
      </c>
      <c r="K64" s="12">
        <v>1.25</v>
      </c>
      <c r="L64" s="12" t="s">
        <v>171</v>
      </c>
      <c r="M64" t="str">
        <f t="shared" si="1"/>
        <v>63 · TABLERO TOMACORRIENTES 3F 208V (208 V 3F)</v>
      </c>
      <c r="N64" s="12"/>
    </row>
    <row r="65" spans="1:14" x14ac:dyDescent="0.45">
      <c r="A65" s="12">
        <v>64</v>
      </c>
      <c r="B65" s="12">
        <v>1</v>
      </c>
      <c r="C65" s="12" t="s">
        <v>261</v>
      </c>
      <c r="D65" s="12">
        <v>208</v>
      </c>
      <c r="E65" s="12">
        <v>3</v>
      </c>
      <c r="F65" s="12">
        <v>4</v>
      </c>
      <c r="G65" s="12">
        <v>1</v>
      </c>
      <c r="H65" s="12">
        <v>1</v>
      </c>
      <c r="I65" s="12">
        <v>0.95</v>
      </c>
      <c r="J65" s="12" t="s">
        <v>32</v>
      </c>
      <c r="K65" s="12">
        <v>1.25</v>
      </c>
      <c r="L65" s="12" t="s">
        <v>135</v>
      </c>
      <c r="M65" t="str">
        <f t="shared" si="1"/>
        <v>64 · TABLERO ILUMINACION 3F 208V (208 V 3F)</v>
      </c>
      <c r="N65" s="12"/>
    </row>
    <row r="66" spans="1:14" x14ac:dyDescent="0.45">
      <c r="A66" s="12">
        <v>65</v>
      </c>
      <c r="B66" s="12">
        <v>5</v>
      </c>
      <c r="C66" s="12" t="s">
        <v>262</v>
      </c>
      <c r="D66" s="12">
        <v>208</v>
      </c>
      <c r="E66" s="12">
        <v>3</v>
      </c>
      <c r="F66" s="12">
        <v>4</v>
      </c>
      <c r="G66" s="12">
        <v>1</v>
      </c>
      <c r="H66" s="12">
        <v>1</v>
      </c>
      <c r="I66" s="12">
        <v>0.95</v>
      </c>
      <c r="J66" s="12" t="s">
        <v>149</v>
      </c>
      <c r="K66" s="12">
        <v>1.25</v>
      </c>
      <c r="L66" s="12" t="s">
        <v>180</v>
      </c>
      <c r="M66" t="str">
        <f t="shared" si="1"/>
        <v>65 · TABLERO EQUPOS MECANICOS 3F 208V (208 V 3F)</v>
      </c>
      <c r="N66" s="12"/>
    </row>
    <row r="67" spans="1:14" x14ac:dyDescent="0.45">
      <c r="A67" s="12">
        <v>66</v>
      </c>
      <c r="B67" s="12">
        <v>13</v>
      </c>
      <c r="C67" s="12" t="s">
        <v>263</v>
      </c>
      <c r="D67" s="12">
        <v>208</v>
      </c>
      <c r="E67" s="12">
        <v>3</v>
      </c>
      <c r="F67" s="12">
        <v>4</v>
      </c>
      <c r="G67" s="12">
        <v>1</v>
      </c>
      <c r="H67" s="12">
        <v>1</v>
      </c>
      <c r="I67" s="12">
        <v>0.95</v>
      </c>
      <c r="J67" s="12" t="s">
        <v>149</v>
      </c>
      <c r="K67" s="12">
        <v>1.25</v>
      </c>
      <c r="L67" s="12" t="s">
        <v>178</v>
      </c>
      <c r="M67" t="str">
        <f t="shared" si="1"/>
        <v>66 · TABLERO COMBINADOS 3F 208V (208 V 3F)</v>
      </c>
      <c r="N67" s="12"/>
    </row>
    <row r="68" spans="1:14" x14ac:dyDescent="0.45">
      <c r="A68" s="12">
        <v>67</v>
      </c>
      <c r="B68" s="12">
        <v>5</v>
      </c>
      <c r="C68" s="12" t="s">
        <v>264</v>
      </c>
      <c r="D68" s="12">
        <v>120</v>
      </c>
      <c r="E68" s="12">
        <v>1</v>
      </c>
      <c r="F68" s="12">
        <v>3</v>
      </c>
      <c r="G68" s="12">
        <v>0.8</v>
      </c>
      <c r="H68" s="12">
        <v>1</v>
      </c>
      <c r="I68" s="12">
        <v>0.9</v>
      </c>
      <c r="J68" s="12" t="s">
        <v>32</v>
      </c>
      <c r="K68" s="12">
        <v>1.25</v>
      </c>
      <c r="L68" s="12" t="s">
        <v>265</v>
      </c>
      <c r="M68" t="str">
        <f t="shared" si="1"/>
        <v>67 · DESHUMIDIFICADOR DH-XX (120 V 1F)</v>
      </c>
      <c r="N68" s="12" t="s">
        <v>266</v>
      </c>
    </row>
    <row r="69" spans="1:14" x14ac:dyDescent="0.45">
      <c r="A69" s="12"/>
      <c r="B69" s="12"/>
      <c r="C69" s="12"/>
      <c r="D69" s="12"/>
      <c r="E69" s="12"/>
      <c r="F69" s="12"/>
      <c r="G69" s="12"/>
      <c r="H69" s="12"/>
      <c r="I69" s="12"/>
      <c r="J69" s="12"/>
      <c r="K69" s="12"/>
      <c r="L69" s="12"/>
      <c r="N69" s="12"/>
    </row>
    <row r="70" spans="1:14" x14ac:dyDescent="0.45">
      <c r="A70" s="12"/>
      <c r="B70" s="12"/>
      <c r="C70" s="12"/>
      <c r="D70" s="12"/>
      <c r="E70" s="12"/>
      <c r="F70" s="12"/>
      <c r="G70" s="12"/>
      <c r="H70" s="12"/>
      <c r="I70" s="12"/>
      <c r="J70" s="12"/>
      <c r="K70" s="12"/>
      <c r="L70" s="12"/>
      <c r="N70" s="12"/>
    </row>
    <row r="71" spans="1:14" x14ac:dyDescent="0.45">
      <c r="A71" s="12"/>
      <c r="B71" s="12"/>
      <c r="C71" s="12"/>
      <c r="D71" s="12"/>
      <c r="E71" s="12"/>
      <c r="F71" s="12"/>
      <c r="G71" s="12"/>
      <c r="H71" s="12"/>
      <c r="I71" s="12"/>
      <c r="J71" s="12"/>
      <c r="K71" s="12"/>
      <c r="L71" s="12"/>
      <c r="N71" s="12"/>
    </row>
    <row r="72" spans="1:14" x14ac:dyDescent="0.45">
      <c r="A72" s="12"/>
      <c r="B72" s="12"/>
      <c r="C72" s="12"/>
      <c r="D72" s="12"/>
      <c r="E72" s="12"/>
      <c r="F72" s="12"/>
      <c r="G72" s="12"/>
      <c r="H72" s="12"/>
      <c r="I72" s="12"/>
      <c r="J72" s="12"/>
      <c r="K72" s="12"/>
      <c r="L72" s="12"/>
      <c r="N72" s="12"/>
    </row>
    <row r="73" spans="1:14" x14ac:dyDescent="0.45">
      <c r="A73" s="12"/>
      <c r="B73" s="12"/>
      <c r="C73" s="12"/>
      <c r="D73" s="12"/>
      <c r="E73" s="12"/>
      <c r="F73" s="12"/>
      <c r="G73" s="12"/>
      <c r="H73" s="12"/>
      <c r="I73" s="12"/>
      <c r="J73" s="12"/>
      <c r="K73" s="12"/>
      <c r="L73" s="12"/>
      <c r="N73" s="12"/>
    </row>
    <row r="74" spans="1:14" x14ac:dyDescent="0.45">
      <c r="A74" s="12"/>
      <c r="B74" s="12"/>
      <c r="C74" s="12"/>
      <c r="D74" s="12"/>
      <c r="E74" s="12"/>
      <c r="F74" s="12"/>
      <c r="G74" s="12"/>
      <c r="H74" s="12"/>
      <c r="I74" s="12"/>
      <c r="J74" s="12"/>
      <c r="K74" s="12"/>
      <c r="L74" s="12"/>
      <c r="N74" s="12"/>
    </row>
    <row r="75" spans="1:14" x14ac:dyDescent="0.45">
      <c r="A75" s="12"/>
      <c r="B75" s="12"/>
      <c r="C75" s="12"/>
      <c r="D75" s="12"/>
      <c r="E75" s="12"/>
      <c r="F75" s="12"/>
      <c r="G75" s="12"/>
      <c r="H75" s="12"/>
      <c r="I75" s="12"/>
      <c r="J75" s="12"/>
      <c r="K75" s="12"/>
      <c r="L75" s="12"/>
      <c r="N75" s="12"/>
    </row>
    <row r="76" spans="1:14" x14ac:dyDescent="0.45">
      <c r="A76" s="12"/>
      <c r="B76" s="12"/>
      <c r="C76" s="12"/>
      <c r="D76" s="12"/>
      <c r="E76" s="12"/>
      <c r="F76" s="12"/>
      <c r="G76" s="12"/>
      <c r="H76" s="12"/>
      <c r="I76" s="12"/>
      <c r="J76" s="12"/>
      <c r="K76" s="12"/>
      <c r="L76" s="12"/>
      <c r="N76" s="12"/>
    </row>
    <row r="77" spans="1:14" x14ac:dyDescent="0.45">
      <c r="A77" s="12"/>
      <c r="B77" s="12"/>
      <c r="C77" s="12"/>
      <c r="D77" s="12"/>
      <c r="E77" s="12"/>
      <c r="F77" s="12"/>
      <c r="G77" s="12"/>
      <c r="H77" s="12"/>
      <c r="I77" s="12"/>
      <c r="J77" s="12"/>
      <c r="K77" s="12"/>
      <c r="L77" s="12"/>
      <c r="N77" s="12"/>
    </row>
    <row r="78" spans="1:14" x14ac:dyDescent="0.45">
      <c r="A78" s="12"/>
      <c r="B78" s="12"/>
      <c r="C78" s="12"/>
      <c r="D78" s="12"/>
      <c r="E78" s="12"/>
      <c r="F78" s="12"/>
      <c r="G78" s="12"/>
      <c r="H78" s="12"/>
      <c r="I78" s="12"/>
      <c r="J78" s="12"/>
      <c r="K78" s="12"/>
      <c r="L78" s="12"/>
      <c r="N78" s="12"/>
    </row>
    <row r="79" spans="1:14" x14ac:dyDescent="0.45">
      <c r="A79" s="12"/>
      <c r="B79" s="12"/>
      <c r="C79" s="12"/>
      <c r="D79" s="12"/>
      <c r="E79" s="12"/>
      <c r="F79" s="12"/>
      <c r="G79" s="12"/>
      <c r="H79" s="12"/>
      <c r="I79" s="12"/>
      <c r="J79" s="12"/>
      <c r="K79" s="12"/>
      <c r="L79" s="12"/>
      <c r="N79" s="12"/>
    </row>
    <row r="80" spans="1:14" x14ac:dyDescent="0.45">
      <c r="A80" s="12"/>
      <c r="B80" s="12"/>
      <c r="C80" s="12"/>
      <c r="D80" s="12"/>
      <c r="E80" s="12"/>
      <c r="F80" s="12"/>
      <c r="G80" s="12"/>
      <c r="H80" s="12"/>
      <c r="I80" s="12"/>
      <c r="J80" s="12"/>
      <c r="K80" s="12"/>
      <c r="L80" s="12"/>
      <c r="N80" s="12"/>
    </row>
    <row r="81" spans="1:14" x14ac:dyDescent="0.45">
      <c r="A81" s="12"/>
      <c r="B81" s="12"/>
      <c r="C81" s="12"/>
      <c r="D81" s="12"/>
      <c r="E81" s="12"/>
      <c r="F81" s="12"/>
      <c r="G81" s="12"/>
      <c r="H81" s="12"/>
      <c r="I81" s="12"/>
      <c r="J81" s="12"/>
      <c r="K81" s="12"/>
      <c r="L81" s="12"/>
      <c r="N81" s="12"/>
    </row>
    <row r="82" spans="1:14" x14ac:dyDescent="0.45">
      <c r="A82" s="12"/>
      <c r="B82" s="12"/>
      <c r="C82" s="12"/>
      <c r="D82" s="12"/>
      <c r="E82" s="12"/>
      <c r="F82" s="12"/>
      <c r="G82" s="12"/>
      <c r="H82" s="12"/>
      <c r="I82" s="12"/>
      <c r="J82" s="12"/>
      <c r="K82" s="12"/>
      <c r="L82" s="12"/>
      <c r="N82" s="12"/>
    </row>
    <row r="83" spans="1:14" x14ac:dyDescent="0.45">
      <c r="A83" s="12"/>
      <c r="B83" s="12"/>
      <c r="C83" s="12"/>
      <c r="D83" s="12"/>
      <c r="E83" s="12"/>
      <c r="F83" s="12"/>
      <c r="G83" s="12"/>
      <c r="H83" s="12"/>
      <c r="I83" s="12"/>
      <c r="J83" s="12"/>
      <c r="K83" s="12"/>
      <c r="L83" s="12"/>
      <c r="N83" s="12"/>
    </row>
    <row r="84" spans="1:14" x14ac:dyDescent="0.45">
      <c r="A84" s="12"/>
      <c r="B84" s="12"/>
      <c r="C84" s="12"/>
      <c r="D84" s="12"/>
      <c r="E84" s="12"/>
      <c r="F84" s="12"/>
      <c r="G84" s="12"/>
      <c r="H84" s="12"/>
      <c r="I84" s="12"/>
      <c r="J84" s="12"/>
      <c r="K84" s="12"/>
      <c r="L84" s="12"/>
      <c r="N84" s="12"/>
    </row>
    <row r="85" spans="1:14" x14ac:dyDescent="0.45">
      <c r="A85" s="12"/>
      <c r="B85" s="12"/>
      <c r="C85" s="12"/>
      <c r="D85" s="12"/>
      <c r="E85" s="12"/>
      <c r="F85" s="12"/>
      <c r="G85" s="12"/>
      <c r="H85" s="12"/>
      <c r="I85" s="12"/>
      <c r="J85" s="12"/>
      <c r="K85" s="12"/>
      <c r="L85" s="12"/>
      <c r="N85" s="12"/>
    </row>
    <row r="86" spans="1:14" x14ac:dyDescent="0.45">
      <c r="A86" s="12"/>
      <c r="B86" s="12"/>
      <c r="C86" s="12"/>
      <c r="D86" s="12"/>
      <c r="E86" s="12"/>
      <c r="F86" s="12"/>
      <c r="G86" s="12"/>
      <c r="H86" s="12"/>
      <c r="I86" s="12"/>
      <c r="J86" s="12"/>
      <c r="K86" s="12"/>
      <c r="L86" s="12"/>
      <c r="N86" s="12"/>
    </row>
    <row r="87" spans="1:14" x14ac:dyDescent="0.45">
      <c r="A87" s="12"/>
      <c r="B87" s="12"/>
      <c r="C87" s="12"/>
      <c r="D87" s="12"/>
      <c r="E87" s="12"/>
      <c r="F87" s="12"/>
      <c r="G87" s="12"/>
      <c r="H87" s="12"/>
      <c r="I87" s="12"/>
      <c r="J87" s="12"/>
      <c r="K87" s="12"/>
      <c r="L87" s="12"/>
      <c r="N87" s="12"/>
    </row>
    <row r="88" spans="1:14" x14ac:dyDescent="0.45">
      <c r="A88" s="12"/>
      <c r="B88" s="12"/>
      <c r="C88" s="12"/>
      <c r="D88" s="12"/>
      <c r="E88" s="12"/>
      <c r="F88" s="12"/>
      <c r="G88" s="12"/>
      <c r="H88" s="12"/>
      <c r="I88" s="12"/>
      <c r="J88" s="12"/>
      <c r="K88" s="12"/>
      <c r="L88" s="12"/>
      <c r="N88" s="12"/>
    </row>
    <row r="89" spans="1:14" x14ac:dyDescent="0.45">
      <c r="A89" s="12"/>
      <c r="B89" s="12"/>
      <c r="C89" s="12"/>
      <c r="D89" s="12"/>
      <c r="E89" s="12"/>
      <c r="F89" s="12"/>
      <c r="G89" s="12"/>
      <c r="H89" s="12"/>
      <c r="I89" s="12"/>
      <c r="J89" s="12"/>
      <c r="K89" s="12"/>
      <c r="L89" s="12"/>
      <c r="N89" s="12"/>
    </row>
    <row r="90" spans="1:14" x14ac:dyDescent="0.45">
      <c r="A90" s="12"/>
      <c r="B90" s="12"/>
      <c r="C90" s="12"/>
      <c r="D90" s="12"/>
      <c r="E90" s="12"/>
      <c r="F90" s="12"/>
      <c r="G90" s="12"/>
      <c r="H90" s="12"/>
      <c r="I90" s="12"/>
      <c r="J90" s="12"/>
      <c r="K90" s="12"/>
      <c r="L90" s="12"/>
      <c r="N90" s="12"/>
    </row>
    <row r="91" spans="1:14" x14ac:dyDescent="0.45">
      <c r="A91" s="12"/>
      <c r="B91" s="12"/>
      <c r="C91" s="12"/>
      <c r="D91" s="12"/>
      <c r="E91" s="12"/>
      <c r="F91" s="12"/>
      <c r="G91" s="12"/>
      <c r="H91" s="12"/>
      <c r="I91" s="12"/>
      <c r="J91" s="12"/>
      <c r="K91" s="12"/>
      <c r="L91" s="12"/>
      <c r="N91" s="12"/>
    </row>
    <row r="92" spans="1:14" x14ac:dyDescent="0.45">
      <c r="A92" s="12"/>
      <c r="B92" s="12"/>
      <c r="C92" s="12"/>
      <c r="D92" s="12"/>
      <c r="E92" s="12"/>
      <c r="F92" s="12"/>
      <c r="G92" s="12"/>
      <c r="H92" s="12"/>
      <c r="I92" s="12"/>
      <c r="J92" s="12"/>
      <c r="K92" s="12"/>
      <c r="L92" s="12"/>
      <c r="N92" s="12"/>
    </row>
    <row r="93" spans="1:14" x14ac:dyDescent="0.45">
      <c r="A93" s="12"/>
      <c r="B93" s="12"/>
      <c r="C93" s="12"/>
      <c r="D93" s="12"/>
      <c r="E93" s="12"/>
      <c r="F93" s="12"/>
      <c r="G93" s="12"/>
      <c r="H93" s="12"/>
      <c r="I93" s="12"/>
      <c r="J93" s="12"/>
      <c r="K93" s="12"/>
      <c r="L93" s="12"/>
      <c r="N93" s="12"/>
    </row>
    <row r="94" spans="1:14" x14ac:dyDescent="0.45">
      <c r="A94" s="12"/>
      <c r="B94" s="12"/>
      <c r="C94" s="12"/>
      <c r="D94" s="12"/>
      <c r="E94" s="12"/>
      <c r="F94" s="12"/>
      <c r="G94" s="12"/>
      <c r="H94" s="12"/>
      <c r="I94" s="12"/>
      <c r="J94" s="12"/>
      <c r="K94" s="12"/>
      <c r="L94" s="12"/>
      <c r="N94" s="12"/>
    </row>
    <row r="95" spans="1:14" x14ac:dyDescent="0.45">
      <c r="A95" s="12"/>
      <c r="B95" s="12"/>
      <c r="C95" s="12"/>
      <c r="D95" s="12"/>
      <c r="E95" s="12"/>
      <c r="F95" s="12"/>
      <c r="G95" s="12"/>
      <c r="H95" s="12"/>
      <c r="I95" s="12"/>
      <c r="J95" s="12"/>
      <c r="K95" s="12"/>
      <c r="L95" s="12"/>
      <c r="N95" s="12"/>
    </row>
    <row r="96" spans="1:14" x14ac:dyDescent="0.45">
      <c r="A96" s="12"/>
      <c r="B96" s="12"/>
      <c r="C96" s="12"/>
      <c r="D96" s="12"/>
      <c r="E96" s="12"/>
      <c r="F96" s="12"/>
      <c r="G96" s="12"/>
      <c r="H96" s="12"/>
      <c r="I96" s="12"/>
      <c r="J96" s="12"/>
      <c r="K96" s="12"/>
      <c r="L96" s="12"/>
      <c r="N96" s="12"/>
    </row>
    <row r="97" spans="1:14" x14ac:dyDescent="0.45">
      <c r="A97" s="12"/>
      <c r="B97" s="12"/>
      <c r="C97" s="12"/>
      <c r="D97" s="12"/>
      <c r="E97" s="12"/>
      <c r="F97" s="12"/>
      <c r="G97" s="12"/>
      <c r="H97" s="12"/>
      <c r="I97" s="12"/>
      <c r="J97" s="12"/>
      <c r="K97" s="12"/>
      <c r="L97" s="12"/>
      <c r="N97" s="12"/>
    </row>
    <row r="98" spans="1:14" x14ac:dyDescent="0.45">
      <c r="A98" s="12"/>
      <c r="B98" s="12"/>
      <c r="C98" s="12"/>
      <c r="D98" s="12"/>
      <c r="E98" s="12"/>
      <c r="F98" s="12"/>
      <c r="G98" s="12"/>
      <c r="H98" s="12"/>
      <c r="I98" s="12"/>
      <c r="J98" s="12"/>
      <c r="K98" s="12"/>
      <c r="L98" s="12"/>
      <c r="N98" s="12"/>
    </row>
    <row r="99" spans="1:14" x14ac:dyDescent="0.45">
      <c r="A99" s="12"/>
      <c r="B99" s="12"/>
      <c r="C99" s="12"/>
      <c r="D99" s="12"/>
      <c r="E99" s="12"/>
      <c r="F99" s="12"/>
      <c r="G99" s="12"/>
      <c r="H99" s="12"/>
      <c r="I99" s="12"/>
      <c r="J99" s="12"/>
      <c r="K99" s="12"/>
      <c r="L99" s="12"/>
      <c r="N99" s="12"/>
    </row>
    <row r="100" spans="1:14" x14ac:dyDescent="0.45">
      <c r="A100" s="12"/>
      <c r="B100" s="12"/>
      <c r="C100" s="12"/>
      <c r="D100" s="12"/>
      <c r="E100" s="12"/>
      <c r="F100" s="12"/>
      <c r="G100" s="12"/>
      <c r="H100" s="12"/>
      <c r="I100" s="12"/>
      <c r="J100" s="12"/>
      <c r="K100" s="12"/>
      <c r="L100" s="12"/>
      <c r="N100" s="12"/>
    </row>
    <row r="101" spans="1:14" x14ac:dyDescent="0.45">
      <c r="A101" s="12"/>
      <c r="B101" s="12"/>
      <c r="C101" s="12"/>
      <c r="D101" s="12"/>
      <c r="E101" s="12"/>
      <c r="F101" s="12"/>
      <c r="G101" s="12"/>
      <c r="H101" s="12"/>
      <c r="I101" s="12"/>
      <c r="J101" s="12"/>
      <c r="K101" s="12"/>
      <c r="L101" s="12"/>
      <c r="N101" s="12"/>
    </row>
    <row r="102" spans="1:14" x14ac:dyDescent="0.45">
      <c r="A102" s="12"/>
      <c r="B102" s="12"/>
      <c r="C102" s="12"/>
      <c r="D102" s="12"/>
      <c r="E102" s="12"/>
      <c r="F102" s="12"/>
      <c r="G102" s="12"/>
      <c r="H102" s="12"/>
      <c r="I102" s="12"/>
      <c r="J102" s="12"/>
      <c r="K102" s="12"/>
      <c r="L102" s="12"/>
      <c r="N102" s="12"/>
    </row>
    <row r="103" spans="1:14" x14ac:dyDescent="0.45">
      <c r="A103" s="12"/>
      <c r="B103" s="12"/>
      <c r="C103" s="12"/>
      <c r="D103" s="12"/>
      <c r="E103" s="12"/>
      <c r="F103" s="12"/>
      <c r="G103" s="12"/>
      <c r="H103" s="12"/>
      <c r="I103" s="12"/>
      <c r="J103" s="12"/>
      <c r="K103" s="12"/>
      <c r="L103" s="12"/>
      <c r="N103" s="12"/>
    </row>
    <row r="104" spans="1:14" x14ac:dyDescent="0.45">
      <c r="A104" s="12"/>
      <c r="B104" s="12"/>
      <c r="C104" s="12"/>
      <c r="D104" s="12"/>
      <c r="E104" s="12"/>
      <c r="F104" s="12"/>
      <c r="G104" s="12"/>
      <c r="H104" s="12"/>
      <c r="I104" s="12"/>
      <c r="J104" s="12"/>
      <c r="K104" s="12"/>
      <c r="L104" s="12"/>
      <c r="N104" s="12"/>
    </row>
    <row r="105" spans="1:14" x14ac:dyDescent="0.45">
      <c r="A105" s="12"/>
      <c r="B105" s="12"/>
      <c r="C105" s="12"/>
      <c r="D105" s="12"/>
      <c r="E105" s="12"/>
      <c r="F105" s="12"/>
      <c r="G105" s="12"/>
      <c r="H105" s="12"/>
      <c r="I105" s="12"/>
      <c r="J105" s="12"/>
      <c r="K105" s="12"/>
      <c r="L105" s="12"/>
      <c r="N105" s="12"/>
    </row>
    <row r="106" spans="1:14" x14ac:dyDescent="0.45">
      <c r="A106" s="12"/>
      <c r="B106" s="12"/>
      <c r="C106" s="12"/>
      <c r="D106" s="12"/>
      <c r="E106" s="12"/>
      <c r="F106" s="12"/>
      <c r="G106" s="12"/>
      <c r="H106" s="12"/>
      <c r="I106" s="12"/>
      <c r="J106" s="12"/>
      <c r="K106" s="12"/>
      <c r="L106" s="12"/>
      <c r="N106" s="12"/>
    </row>
    <row r="107" spans="1:14" x14ac:dyDescent="0.45">
      <c r="A107" s="12"/>
      <c r="B107" s="12"/>
      <c r="C107" s="12"/>
      <c r="D107" s="12"/>
      <c r="E107" s="12"/>
      <c r="F107" s="12"/>
      <c r="G107" s="12"/>
      <c r="H107" s="12"/>
      <c r="I107" s="12"/>
      <c r="J107" s="12"/>
      <c r="K107" s="12"/>
      <c r="L107" s="12"/>
      <c r="N107" s="12"/>
    </row>
    <row r="108" spans="1:14" x14ac:dyDescent="0.45">
      <c r="A108" s="12"/>
      <c r="B108" s="12"/>
      <c r="C108" s="12"/>
      <c r="D108" s="12"/>
      <c r="E108" s="12"/>
      <c r="F108" s="12"/>
      <c r="G108" s="12"/>
      <c r="H108" s="12"/>
      <c r="I108" s="12"/>
      <c r="J108" s="12"/>
      <c r="K108" s="12"/>
      <c r="L108" s="12"/>
      <c r="N108" s="12"/>
    </row>
    <row r="109" spans="1:14" x14ac:dyDescent="0.45">
      <c r="A109" s="12"/>
      <c r="B109" s="12"/>
      <c r="C109" s="12"/>
      <c r="D109" s="12"/>
      <c r="E109" s="12"/>
      <c r="F109" s="12"/>
      <c r="G109" s="12"/>
      <c r="H109" s="12"/>
      <c r="I109" s="12"/>
      <c r="J109" s="12"/>
      <c r="K109" s="12"/>
      <c r="L109" s="12"/>
      <c r="N109" s="12"/>
    </row>
    <row r="110" spans="1:14" x14ac:dyDescent="0.45">
      <c r="A110" s="12"/>
      <c r="B110" s="12"/>
      <c r="C110" s="12"/>
      <c r="D110" s="12"/>
      <c r="E110" s="12"/>
      <c r="F110" s="12"/>
      <c r="G110" s="12"/>
      <c r="H110" s="12"/>
      <c r="I110" s="12"/>
      <c r="J110" s="12"/>
      <c r="K110" s="12"/>
      <c r="L110" s="12"/>
      <c r="N110" s="12"/>
    </row>
    <row r="111" spans="1:14" x14ac:dyDescent="0.45">
      <c r="A111" s="12"/>
      <c r="B111" s="12"/>
      <c r="C111" s="12"/>
      <c r="D111" s="12"/>
      <c r="E111" s="12"/>
      <c r="F111" s="12"/>
      <c r="G111" s="12"/>
      <c r="H111" s="12"/>
      <c r="I111" s="12"/>
      <c r="J111" s="12"/>
      <c r="K111" s="12"/>
      <c r="L111" s="12"/>
      <c r="N111" s="12"/>
    </row>
    <row r="112" spans="1:14" x14ac:dyDescent="0.45">
      <c r="A112" s="12"/>
      <c r="B112" s="12"/>
      <c r="C112" s="12"/>
      <c r="D112" s="12"/>
      <c r="E112" s="12"/>
      <c r="F112" s="12"/>
      <c r="G112" s="12"/>
      <c r="H112" s="12"/>
      <c r="I112" s="12"/>
      <c r="J112" s="12"/>
      <c r="K112" s="12"/>
      <c r="L112" s="12"/>
      <c r="N112" s="12"/>
    </row>
    <row r="113" spans="1:14" x14ac:dyDescent="0.45">
      <c r="A113" s="12"/>
      <c r="B113" s="12"/>
      <c r="C113" s="12"/>
      <c r="D113" s="12"/>
      <c r="E113" s="12"/>
      <c r="F113" s="12"/>
      <c r="G113" s="12"/>
      <c r="H113" s="12"/>
      <c r="I113" s="12"/>
      <c r="J113" s="12"/>
      <c r="K113" s="12"/>
      <c r="L113" s="12"/>
      <c r="N113" s="12"/>
    </row>
    <row r="114" spans="1:14" x14ac:dyDescent="0.45">
      <c r="A114" s="12"/>
      <c r="B114" s="12"/>
      <c r="C114" s="12"/>
      <c r="D114" s="12"/>
      <c r="E114" s="12"/>
      <c r="F114" s="12"/>
      <c r="G114" s="12"/>
      <c r="H114" s="12"/>
      <c r="I114" s="12"/>
      <c r="J114" s="12"/>
      <c r="K114" s="12"/>
      <c r="L114" s="12"/>
      <c r="N114" s="12"/>
    </row>
    <row r="115" spans="1:14" x14ac:dyDescent="0.45">
      <c r="A115" s="12"/>
      <c r="B115" s="12"/>
      <c r="C115" s="12"/>
      <c r="D115" s="12"/>
      <c r="E115" s="12"/>
      <c r="F115" s="12"/>
      <c r="G115" s="12"/>
      <c r="H115" s="12"/>
      <c r="I115" s="12"/>
      <c r="J115" s="12"/>
      <c r="K115" s="12"/>
      <c r="L115" s="12"/>
      <c r="N115" s="12"/>
    </row>
    <row r="116" spans="1:14" x14ac:dyDescent="0.45">
      <c r="A116" s="12"/>
      <c r="B116" s="12"/>
      <c r="C116" s="12"/>
      <c r="D116" s="12"/>
      <c r="E116" s="12"/>
      <c r="F116" s="12"/>
      <c r="G116" s="12"/>
      <c r="H116" s="12"/>
      <c r="I116" s="12"/>
      <c r="J116" s="12"/>
      <c r="K116" s="12"/>
      <c r="L116" s="12"/>
      <c r="N116" s="12"/>
    </row>
    <row r="117" spans="1:14" x14ac:dyDescent="0.45">
      <c r="A117" s="12"/>
      <c r="B117" s="12"/>
      <c r="C117" s="12"/>
      <c r="D117" s="12"/>
      <c r="E117" s="12"/>
      <c r="F117" s="12"/>
      <c r="G117" s="12"/>
      <c r="H117" s="12"/>
      <c r="I117" s="12"/>
      <c r="J117" s="12"/>
      <c r="K117" s="12"/>
      <c r="L117" s="12"/>
      <c r="N117" s="12"/>
    </row>
    <row r="118" spans="1:14" x14ac:dyDescent="0.45">
      <c r="A118" s="12"/>
      <c r="B118" s="12"/>
      <c r="C118" s="12"/>
      <c r="D118" s="12"/>
      <c r="E118" s="12"/>
      <c r="F118" s="12"/>
      <c r="G118" s="12"/>
      <c r="H118" s="12"/>
      <c r="I118" s="12"/>
      <c r="J118" s="12"/>
      <c r="K118" s="12"/>
      <c r="L118" s="12"/>
      <c r="N118" s="12"/>
    </row>
    <row r="119" spans="1:14" x14ac:dyDescent="0.45">
      <c r="A119" s="12"/>
      <c r="B119" s="12"/>
      <c r="C119" s="12"/>
      <c r="D119" s="12"/>
      <c r="E119" s="12"/>
      <c r="F119" s="12"/>
      <c r="G119" s="12"/>
      <c r="H119" s="12"/>
      <c r="I119" s="12"/>
      <c r="J119" s="12"/>
      <c r="K119" s="12"/>
      <c r="L119" s="12"/>
      <c r="N119" s="12"/>
    </row>
    <row r="120" spans="1:14" x14ac:dyDescent="0.45">
      <c r="A120" s="12"/>
      <c r="B120" s="12"/>
      <c r="C120" s="12"/>
      <c r="D120" s="12"/>
      <c r="E120" s="12"/>
      <c r="F120" s="12"/>
      <c r="G120" s="12"/>
      <c r="H120" s="12"/>
      <c r="I120" s="12"/>
      <c r="J120" s="12"/>
      <c r="K120" s="12"/>
      <c r="L120" s="12"/>
      <c r="N120" s="12"/>
    </row>
    <row r="121" spans="1:14" x14ac:dyDescent="0.45">
      <c r="A121" s="12"/>
      <c r="B121" s="12"/>
      <c r="C121" s="12"/>
      <c r="D121" s="12"/>
      <c r="E121" s="12"/>
      <c r="F121" s="12"/>
      <c r="G121" s="12"/>
      <c r="H121" s="12"/>
      <c r="I121" s="12"/>
      <c r="J121" s="12"/>
      <c r="K121" s="12"/>
      <c r="L121" s="12"/>
      <c r="N121" s="12"/>
    </row>
    <row r="122" spans="1:14" x14ac:dyDescent="0.45">
      <c r="A122" s="12"/>
      <c r="B122" s="12"/>
      <c r="C122" s="12"/>
      <c r="D122" s="12"/>
      <c r="E122" s="12"/>
      <c r="F122" s="12"/>
      <c r="G122" s="12"/>
      <c r="H122" s="12"/>
      <c r="I122" s="12"/>
      <c r="J122" s="12"/>
      <c r="K122" s="12"/>
      <c r="L122" s="12"/>
      <c r="N122" s="12"/>
    </row>
    <row r="123" spans="1:14" x14ac:dyDescent="0.45">
      <c r="A123" s="12"/>
      <c r="B123" s="12"/>
      <c r="C123" s="12"/>
      <c r="D123" s="12"/>
      <c r="E123" s="12"/>
      <c r="F123" s="12"/>
      <c r="G123" s="12"/>
      <c r="H123" s="12"/>
      <c r="I123" s="12"/>
      <c r="J123" s="12"/>
      <c r="K123" s="12"/>
      <c r="L123" s="12"/>
      <c r="N123" s="12"/>
    </row>
    <row r="124" spans="1:14" x14ac:dyDescent="0.45">
      <c r="A124" s="12"/>
      <c r="B124" s="12"/>
      <c r="C124" s="12"/>
      <c r="D124" s="12"/>
      <c r="E124" s="12"/>
      <c r="F124" s="12"/>
      <c r="G124" s="12"/>
      <c r="H124" s="12"/>
      <c r="I124" s="12"/>
      <c r="J124" s="12"/>
      <c r="K124" s="12"/>
      <c r="L124" s="12"/>
      <c r="N124" s="12"/>
    </row>
    <row r="125" spans="1:14" x14ac:dyDescent="0.45">
      <c r="A125" s="12"/>
      <c r="B125" s="12"/>
      <c r="C125" s="12"/>
      <c r="D125" s="12"/>
      <c r="E125" s="12"/>
      <c r="F125" s="12"/>
      <c r="G125" s="12"/>
      <c r="H125" s="12"/>
      <c r="I125" s="12"/>
      <c r="J125" s="12"/>
      <c r="K125" s="12"/>
      <c r="L125" s="12"/>
      <c r="N125" s="12"/>
    </row>
    <row r="126" spans="1:14" x14ac:dyDescent="0.45">
      <c r="A126" s="12"/>
      <c r="B126" s="12"/>
      <c r="C126" s="12"/>
      <c r="D126" s="12"/>
      <c r="E126" s="12"/>
      <c r="F126" s="12"/>
      <c r="G126" s="12"/>
      <c r="H126" s="12"/>
      <c r="I126" s="12"/>
      <c r="J126" s="12"/>
      <c r="K126" s="12"/>
      <c r="L126" s="12"/>
      <c r="N126" s="12"/>
    </row>
    <row r="127" spans="1:14" x14ac:dyDescent="0.45">
      <c r="A127" s="12"/>
      <c r="B127" s="12"/>
      <c r="C127" s="12"/>
      <c r="D127" s="12"/>
      <c r="E127" s="12"/>
      <c r="F127" s="12"/>
      <c r="G127" s="12"/>
      <c r="H127" s="12"/>
      <c r="I127" s="12"/>
      <c r="J127" s="12"/>
      <c r="K127" s="12"/>
      <c r="L127" s="12"/>
      <c r="N127" s="12"/>
    </row>
    <row r="128" spans="1:14" x14ac:dyDescent="0.45">
      <c r="A128" s="12"/>
      <c r="B128" s="12"/>
      <c r="C128" s="12"/>
      <c r="D128" s="12"/>
      <c r="E128" s="12"/>
      <c r="F128" s="12"/>
      <c r="G128" s="12"/>
      <c r="H128" s="12"/>
      <c r="I128" s="12"/>
      <c r="J128" s="12"/>
      <c r="K128" s="12"/>
      <c r="L128" s="12"/>
      <c r="N128" s="12"/>
    </row>
    <row r="129" spans="1:14" x14ac:dyDescent="0.45">
      <c r="A129" s="12"/>
      <c r="B129" s="12"/>
      <c r="C129" s="12"/>
      <c r="D129" s="12"/>
      <c r="E129" s="12"/>
      <c r="F129" s="12"/>
      <c r="G129" s="12"/>
      <c r="H129" s="12"/>
      <c r="I129" s="12"/>
      <c r="J129" s="12"/>
      <c r="K129" s="12"/>
      <c r="L129" s="12"/>
      <c r="N129" s="12"/>
    </row>
    <row r="130" spans="1:14" x14ac:dyDescent="0.45">
      <c r="A130" s="12"/>
      <c r="B130" s="12"/>
      <c r="C130" s="12"/>
      <c r="D130" s="12"/>
      <c r="E130" s="12"/>
      <c r="F130" s="12"/>
      <c r="G130" s="12"/>
      <c r="H130" s="12"/>
      <c r="I130" s="12"/>
      <c r="J130" s="12"/>
      <c r="K130" s="12"/>
      <c r="L130" s="12"/>
      <c r="N130" s="12"/>
    </row>
    <row r="131" spans="1:14" x14ac:dyDescent="0.45">
      <c r="A131" s="12"/>
      <c r="B131" s="12"/>
      <c r="C131" s="12"/>
      <c r="D131" s="12"/>
      <c r="E131" s="12"/>
      <c r="F131" s="12"/>
      <c r="G131" s="12"/>
      <c r="H131" s="12"/>
      <c r="I131" s="12"/>
      <c r="J131" s="12"/>
      <c r="K131" s="12"/>
      <c r="L131" s="12"/>
      <c r="N131" s="12"/>
    </row>
    <row r="132" spans="1:14" x14ac:dyDescent="0.45">
      <c r="A132" s="12"/>
      <c r="B132" s="12"/>
      <c r="C132" s="12"/>
      <c r="D132" s="12"/>
      <c r="E132" s="12"/>
      <c r="F132" s="12"/>
      <c r="G132" s="12"/>
      <c r="H132" s="12"/>
      <c r="I132" s="12"/>
      <c r="J132" s="12"/>
      <c r="K132" s="12"/>
      <c r="L132" s="12"/>
      <c r="N132" s="12"/>
    </row>
    <row r="133" spans="1:14" x14ac:dyDescent="0.45">
      <c r="A133" s="12"/>
      <c r="B133" s="12"/>
      <c r="C133" s="12"/>
      <c r="D133" s="12"/>
      <c r="E133" s="12"/>
      <c r="F133" s="12"/>
      <c r="G133" s="12"/>
      <c r="H133" s="12"/>
      <c r="I133" s="12"/>
      <c r="J133" s="12"/>
      <c r="K133" s="12"/>
      <c r="L133" s="12"/>
      <c r="N133" s="12"/>
    </row>
    <row r="134" spans="1:14" x14ac:dyDescent="0.45">
      <c r="A134" s="12"/>
      <c r="B134" s="12"/>
      <c r="C134" s="12"/>
      <c r="D134" s="12"/>
      <c r="E134" s="12"/>
      <c r="F134" s="12"/>
      <c r="G134" s="12"/>
      <c r="H134" s="12"/>
      <c r="I134" s="12"/>
      <c r="J134" s="12"/>
      <c r="K134" s="12"/>
      <c r="L134" s="12"/>
      <c r="N134" s="12"/>
    </row>
    <row r="135" spans="1:14" x14ac:dyDescent="0.45">
      <c r="A135" s="12"/>
      <c r="B135" s="12"/>
      <c r="C135" s="12"/>
      <c r="D135" s="12"/>
      <c r="E135" s="12"/>
      <c r="F135" s="12"/>
      <c r="G135" s="12"/>
      <c r="H135" s="12"/>
      <c r="I135" s="12"/>
      <c r="J135" s="12"/>
      <c r="K135" s="12"/>
      <c r="L135" s="12"/>
      <c r="N135" s="12"/>
    </row>
    <row r="136" spans="1:14" x14ac:dyDescent="0.45">
      <c r="A136" s="12"/>
      <c r="B136" s="12"/>
      <c r="C136" s="12"/>
      <c r="D136" s="12"/>
      <c r="E136" s="12"/>
      <c r="F136" s="12"/>
      <c r="G136" s="12"/>
      <c r="H136" s="12"/>
      <c r="I136" s="12"/>
      <c r="J136" s="12"/>
      <c r="K136" s="12"/>
      <c r="L136" s="12"/>
      <c r="N136" s="12"/>
    </row>
    <row r="137" spans="1:14" x14ac:dyDescent="0.45">
      <c r="A137" s="12"/>
      <c r="B137" s="12"/>
      <c r="C137" s="12"/>
      <c r="D137" s="12"/>
      <c r="E137" s="12"/>
      <c r="F137" s="12"/>
      <c r="G137" s="12"/>
      <c r="H137" s="12"/>
      <c r="I137" s="12"/>
      <c r="J137" s="12"/>
      <c r="K137" s="12"/>
      <c r="L137" s="12"/>
      <c r="N137" s="12"/>
    </row>
    <row r="138" spans="1:14" x14ac:dyDescent="0.45">
      <c r="A138" s="12"/>
      <c r="B138" s="12"/>
      <c r="C138" s="12"/>
      <c r="D138" s="12"/>
      <c r="E138" s="12"/>
      <c r="F138" s="12"/>
      <c r="G138" s="12"/>
      <c r="H138" s="12"/>
      <c r="I138" s="12"/>
      <c r="J138" s="12"/>
      <c r="K138" s="12"/>
      <c r="L138" s="12"/>
      <c r="N138" s="12"/>
    </row>
    <row r="139" spans="1:14" x14ac:dyDescent="0.45">
      <c r="A139" s="12"/>
      <c r="B139" s="12"/>
      <c r="C139" s="12"/>
      <c r="D139" s="12"/>
      <c r="E139" s="12"/>
      <c r="F139" s="12"/>
      <c r="G139" s="12"/>
      <c r="H139" s="12"/>
      <c r="I139" s="12"/>
      <c r="J139" s="12"/>
      <c r="K139" s="12"/>
      <c r="L139" s="12"/>
      <c r="N139" s="12"/>
    </row>
    <row r="140" spans="1:14" x14ac:dyDescent="0.45">
      <c r="A140" s="12"/>
      <c r="B140" s="12"/>
      <c r="C140" s="12"/>
      <c r="D140" s="12"/>
      <c r="E140" s="12"/>
      <c r="F140" s="12"/>
      <c r="G140" s="12"/>
      <c r="H140" s="12"/>
      <c r="I140" s="12"/>
      <c r="J140" s="12"/>
      <c r="K140" s="12"/>
      <c r="L140" s="12"/>
      <c r="N140" s="12"/>
    </row>
    <row r="141" spans="1:14" x14ac:dyDescent="0.45">
      <c r="A141" s="12"/>
      <c r="B141" s="12"/>
      <c r="C141" s="12"/>
      <c r="D141" s="12"/>
      <c r="E141" s="12"/>
      <c r="F141" s="12"/>
      <c r="G141" s="12"/>
      <c r="H141" s="12"/>
      <c r="I141" s="12"/>
      <c r="J141" s="12"/>
      <c r="K141" s="12"/>
      <c r="L141" s="12"/>
      <c r="N141" s="12"/>
    </row>
    <row r="142" spans="1:14" x14ac:dyDescent="0.45">
      <c r="A142" s="12"/>
      <c r="B142" s="12"/>
      <c r="C142" s="12"/>
      <c r="D142" s="12"/>
      <c r="E142" s="12"/>
      <c r="F142" s="12"/>
      <c r="G142" s="12"/>
      <c r="H142" s="12"/>
      <c r="I142" s="12"/>
      <c r="J142" s="12"/>
      <c r="K142" s="12"/>
      <c r="L142" s="12"/>
      <c r="N142" s="12"/>
    </row>
    <row r="143" spans="1:14" x14ac:dyDescent="0.45">
      <c r="A143" s="12"/>
      <c r="B143" s="12"/>
      <c r="C143" s="12"/>
      <c r="D143" s="12"/>
      <c r="E143" s="12"/>
      <c r="F143" s="12"/>
      <c r="G143" s="12"/>
      <c r="H143" s="12"/>
      <c r="I143" s="12"/>
      <c r="J143" s="12"/>
      <c r="K143" s="12"/>
      <c r="L143" s="12"/>
      <c r="N143" s="12"/>
    </row>
    <row r="144" spans="1:14" x14ac:dyDescent="0.45">
      <c r="A144" s="12"/>
      <c r="B144" s="12"/>
      <c r="C144" s="12"/>
      <c r="D144" s="12"/>
      <c r="E144" s="12"/>
      <c r="F144" s="12"/>
      <c r="G144" s="12"/>
      <c r="H144" s="12"/>
      <c r="I144" s="12"/>
      <c r="J144" s="12"/>
      <c r="K144" s="12"/>
      <c r="L144" s="12"/>
      <c r="N144" s="12"/>
    </row>
    <row r="145" spans="1:14" x14ac:dyDescent="0.45">
      <c r="A145" s="12"/>
      <c r="B145" s="12"/>
      <c r="C145" s="12"/>
      <c r="D145" s="12"/>
      <c r="E145" s="12"/>
      <c r="F145" s="12"/>
      <c r="G145" s="12"/>
      <c r="H145" s="12"/>
      <c r="I145" s="12"/>
      <c r="J145" s="12"/>
      <c r="K145" s="12"/>
      <c r="L145" s="12"/>
      <c r="N145" s="12"/>
    </row>
    <row r="146" spans="1:14" x14ac:dyDescent="0.45">
      <c r="A146" s="12"/>
      <c r="B146" s="12"/>
      <c r="C146" s="12"/>
      <c r="D146" s="12"/>
      <c r="E146" s="12"/>
      <c r="F146" s="12"/>
      <c r="G146" s="12"/>
      <c r="H146" s="12"/>
      <c r="I146" s="12"/>
      <c r="J146" s="12"/>
      <c r="K146" s="12"/>
      <c r="L146" s="12"/>
      <c r="N146" s="12"/>
    </row>
    <row r="147" spans="1:14" x14ac:dyDescent="0.45">
      <c r="A147" s="12"/>
      <c r="B147" s="12"/>
      <c r="C147" s="12"/>
      <c r="D147" s="12"/>
      <c r="E147" s="12"/>
      <c r="F147" s="12"/>
      <c r="G147" s="12"/>
      <c r="H147" s="12"/>
      <c r="I147" s="12"/>
      <c r="J147" s="12"/>
      <c r="K147" s="12"/>
      <c r="L147" s="12"/>
      <c r="N147" s="12"/>
    </row>
    <row r="148" spans="1:14" x14ac:dyDescent="0.45">
      <c r="A148" s="12"/>
      <c r="B148" s="12"/>
      <c r="C148" s="12"/>
      <c r="D148" s="12"/>
      <c r="E148" s="12"/>
      <c r="F148" s="12"/>
      <c r="G148" s="12"/>
      <c r="H148" s="12"/>
      <c r="I148" s="12"/>
      <c r="J148" s="12"/>
      <c r="K148" s="12"/>
      <c r="L148" s="12"/>
      <c r="N148" s="12"/>
    </row>
    <row r="149" spans="1:14" x14ac:dyDescent="0.45">
      <c r="A149" s="12"/>
      <c r="B149" s="12"/>
      <c r="C149" s="12"/>
      <c r="D149" s="12"/>
      <c r="E149" s="12"/>
      <c r="F149" s="12"/>
      <c r="G149" s="12"/>
      <c r="H149" s="12"/>
      <c r="I149" s="12"/>
      <c r="J149" s="12"/>
      <c r="K149" s="12"/>
      <c r="L149" s="12"/>
      <c r="N149" s="12"/>
    </row>
    <row r="150" spans="1:14" x14ac:dyDescent="0.45">
      <c r="A150" s="12"/>
      <c r="B150" s="12"/>
      <c r="C150" s="12"/>
      <c r="D150" s="12"/>
      <c r="E150" s="12"/>
      <c r="F150" s="12"/>
      <c r="G150" s="12"/>
      <c r="H150" s="12"/>
      <c r="I150" s="12"/>
      <c r="J150" s="12"/>
      <c r="K150" s="12"/>
      <c r="L150" s="12"/>
      <c r="N150" s="12"/>
    </row>
    <row r="151" spans="1:14" x14ac:dyDescent="0.45">
      <c r="A151" s="12"/>
      <c r="B151" s="12"/>
      <c r="C151" s="12"/>
      <c r="D151" s="12"/>
      <c r="E151" s="12"/>
      <c r="F151" s="12"/>
      <c r="G151" s="12"/>
      <c r="H151" s="12"/>
      <c r="I151" s="12"/>
      <c r="J151" s="12"/>
      <c r="K151" s="12"/>
      <c r="L151" s="12"/>
      <c r="N151" s="12"/>
    </row>
    <row r="152" spans="1:14" x14ac:dyDescent="0.45">
      <c r="A152" s="12"/>
      <c r="B152" s="12"/>
      <c r="C152" s="12"/>
      <c r="D152" s="12"/>
      <c r="E152" s="12"/>
      <c r="F152" s="12"/>
      <c r="G152" s="12"/>
      <c r="H152" s="12"/>
      <c r="I152" s="12"/>
      <c r="J152" s="12"/>
      <c r="K152" s="12"/>
      <c r="L152" s="12"/>
      <c r="N152" s="12"/>
    </row>
    <row r="153" spans="1:14" x14ac:dyDescent="0.45">
      <c r="A153" s="12"/>
      <c r="B153" s="12"/>
      <c r="C153" s="12"/>
      <c r="D153" s="12"/>
      <c r="E153" s="12"/>
      <c r="F153" s="12"/>
      <c r="G153" s="12"/>
      <c r="H153" s="12"/>
      <c r="I153" s="12"/>
      <c r="J153" s="12"/>
      <c r="K153" s="12"/>
      <c r="L153" s="12"/>
      <c r="N153" s="12"/>
    </row>
    <row r="154" spans="1:14" x14ac:dyDescent="0.45">
      <c r="A154" s="12"/>
      <c r="B154" s="12"/>
      <c r="C154" s="12"/>
      <c r="D154" s="12"/>
      <c r="E154" s="12"/>
      <c r="F154" s="12"/>
      <c r="G154" s="12"/>
      <c r="H154" s="12"/>
      <c r="I154" s="12"/>
      <c r="J154" s="12"/>
      <c r="K154" s="12"/>
      <c r="L154" s="12"/>
      <c r="N154" s="12"/>
    </row>
    <row r="155" spans="1:14" x14ac:dyDescent="0.45">
      <c r="A155" s="12"/>
      <c r="B155" s="12"/>
      <c r="C155" s="12"/>
      <c r="D155" s="12"/>
      <c r="E155" s="12"/>
      <c r="F155" s="12"/>
      <c r="G155" s="12"/>
      <c r="H155" s="12"/>
      <c r="I155" s="12"/>
      <c r="J155" s="12"/>
      <c r="K155" s="12"/>
      <c r="L155" s="12"/>
      <c r="N155" s="12"/>
    </row>
    <row r="156" spans="1:14" x14ac:dyDescent="0.45">
      <c r="A156" s="12"/>
      <c r="B156" s="12"/>
      <c r="C156" s="12"/>
      <c r="D156" s="12"/>
      <c r="E156" s="12"/>
      <c r="F156" s="12"/>
      <c r="G156" s="12"/>
      <c r="H156" s="12"/>
      <c r="I156" s="12"/>
      <c r="J156" s="12"/>
      <c r="K156" s="12"/>
      <c r="L156" s="12"/>
      <c r="N156" s="12"/>
    </row>
    <row r="157" spans="1:14" x14ac:dyDescent="0.45">
      <c r="A157" s="12"/>
      <c r="B157" s="12"/>
      <c r="C157" s="12"/>
      <c r="D157" s="12"/>
      <c r="E157" s="12"/>
      <c r="F157" s="12"/>
      <c r="G157" s="12"/>
      <c r="H157" s="12"/>
      <c r="I157" s="12"/>
      <c r="J157" s="12"/>
      <c r="K157" s="12"/>
      <c r="L157" s="12"/>
      <c r="N157" s="12"/>
    </row>
    <row r="158" spans="1:14" x14ac:dyDescent="0.45">
      <c r="A158" s="12"/>
      <c r="B158" s="12"/>
      <c r="C158" s="12"/>
      <c r="D158" s="12"/>
      <c r="E158" s="12"/>
      <c r="F158" s="12"/>
      <c r="G158" s="12"/>
      <c r="H158" s="12"/>
      <c r="I158" s="12"/>
      <c r="J158" s="12"/>
      <c r="K158" s="12"/>
      <c r="L158" s="12"/>
      <c r="N158" s="12"/>
    </row>
    <row r="159" spans="1:14" x14ac:dyDescent="0.45">
      <c r="A159" s="12"/>
      <c r="B159" s="12"/>
      <c r="C159" s="12"/>
      <c r="D159" s="12"/>
      <c r="E159" s="12"/>
      <c r="F159" s="12"/>
      <c r="G159" s="12"/>
      <c r="H159" s="12"/>
      <c r="I159" s="12"/>
      <c r="J159" s="12"/>
      <c r="K159" s="12"/>
      <c r="L159" s="12"/>
      <c r="N159" s="12"/>
    </row>
    <row r="160" spans="1:14" x14ac:dyDescent="0.45">
      <c r="A160" s="12"/>
      <c r="B160" s="12"/>
      <c r="C160" s="12"/>
      <c r="D160" s="12"/>
      <c r="E160" s="12"/>
      <c r="F160" s="12"/>
      <c r="G160" s="12"/>
      <c r="H160" s="12"/>
      <c r="I160" s="12"/>
      <c r="J160" s="12"/>
      <c r="K160" s="12"/>
      <c r="L160" s="12"/>
      <c r="N160" s="12"/>
    </row>
    <row r="161" spans="1:14" x14ac:dyDescent="0.45">
      <c r="A161" s="12"/>
      <c r="B161" s="12"/>
      <c r="C161" s="12"/>
      <c r="D161" s="12"/>
      <c r="E161" s="12"/>
      <c r="F161" s="12"/>
      <c r="G161" s="12"/>
      <c r="H161" s="12"/>
      <c r="I161" s="12"/>
      <c r="J161" s="12"/>
      <c r="K161" s="12"/>
      <c r="L161" s="12"/>
      <c r="N161" s="12"/>
    </row>
    <row r="162" spans="1:14" x14ac:dyDescent="0.45">
      <c r="A162" s="12"/>
      <c r="B162" s="12"/>
      <c r="C162" s="12"/>
      <c r="D162" s="12"/>
      <c r="E162" s="12"/>
      <c r="F162" s="12"/>
      <c r="G162" s="12"/>
      <c r="H162" s="12"/>
      <c r="I162" s="12"/>
      <c r="J162" s="12"/>
      <c r="K162" s="12"/>
      <c r="L162" s="12"/>
      <c r="N162" s="12"/>
    </row>
    <row r="163" spans="1:14" x14ac:dyDescent="0.45">
      <c r="A163" s="12"/>
      <c r="B163" s="12"/>
      <c r="C163" s="12"/>
      <c r="D163" s="12"/>
      <c r="E163" s="12"/>
      <c r="F163" s="12"/>
      <c r="G163" s="12"/>
      <c r="H163" s="12"/>
      <c r="I163" s="12"/>
      <c r="J163" s="12"/>
      <c r="K163" s="12"/>
      <c r="L163" s="12"/>
      <c r="N163" s="12"/>
    </row>
    <row r="164" spans="1:14" x14ac:dyDescent="0.45">
      <c r="A164" s="12"/>
      <c r="B164" s="12"/>
      <c r="C164" s="12"/>
      <c r="D164" s="12"/>
      <c r="E164" s="12"/>
      <c r="F164" s="12"/>
      <c r="G164" s="12"/>
      <c r="H164" s="12"/>
      <c r="I164" s="12"/>
      <c r="J164" s="12"/>
      <c r="K164" s="12"/>
      <c r="L164" s="12"/>
      <c r="N164" s="12"/>
    </row>
    <row r="165" spans="1:14" x14ac:dyDescent="0.45">
      <c r="A165" s="12"/>
      <c r="B165" s="12"/>
      <c r="C165" s="12"/>
      <c r="D165" s="12"/>
      <c r="E165" s="12"/>
      <c r="F165" s="12"/>
      <c r="G165" s="12"/>
      <c r="H165" s="12"/>
      <c r="I165" s="12"/>
      <c r="J165" s="12"/>
      <c r="K165" s="12"/>
      <c r="L165" s="12"/>
      <c r="N165" s="12"/>
    </row>
    <row r="166" spans="1:14" x14ac:dyDescent="0.45">
      <c r="A166" s="12"/>
      <c r="B166" s="12"/>
      <c r="C166" s="12"/>
      <c r="D166" s="12"/>
      <c r="E166" s="12"/>
      <c r="F166" s="12"/>
      <c r="G166" s="12"/>
      <c r="H166" s="12"/>
      <c r="I166" s="12"/>
      <c r="J166" s="12"/>
      <c r="K166" s="12"/>
      <c r="L166" s="12"/>
      <c r="N166" s="12"/>
    </row>
    <row r="167" spans="1:14" x14ac:dyDescent="0.45">
      <c r="A167" s="12"/>
      <c r="B167" s="12"/>
      <c r="C167" s="12"/>
      <c r="D167" s="12"/>
      <c r="E167" s="12"/>
      <c r="F167" s="12"/>
      <c r="G167" s="12"/>
      <c r="H167" s="12"/>
      <c r="I167" s="12"/>
      <c r="J167" s="12"/>
      <c r="K167" s="12"/>
      <c r="L167" s="12"/>
      <c r="N167" s="12"/>
    </row>
    <row r="168" spans="1:14" x14ac:dyDescent="0.45">
      <c r="A168" s="12"/>
      <c r="B168" s="12"/>
      <c r="C168" s="12"/>
      <c r="D168" s="12"/>
      <c r="E168" s="12"/>
      <c r="F168" s="12"/>
      <c r="G168" s="12"/>
      <c r="H168" s="12"/>
      <c r="I168" s="12"/>
      <c r="J168" s="12"/>
      <c r="K168" s="12"/>
      <c r="L168" s="12"/>
      <c r="N168" s="12"/>
    </row>
    <row r="169" spans="1:14" x14ac:dyDescent="0.45">
      <c r="A169" s="12"/>
      <c r="B169" s="12"/>
      <c r="C169" s="12"/>
      <c r="D169" s="12"/>
      <c r="E169" s="12"/>
      <c r="F169" s="12"/>
      <c r="G169" s="12"/>
      <c r="H169" s="12"/>
      <c r="I169" s="12"/>
      <c r="J169" s="12"/>
      <c r="K169" s="12"/>
      <c r="L169" s="12"/>
      <c r="N169" s="12"/>
    </row>
    <row r="170" spans="1:14" x14ac:dyDescent="0.45">
      <c r="A170" s="12"/>
      <c r="B170" s="12"/>
      <c r="C170" s="12"/>
      <c r="D170" s="12"/>
      <c r="E170" s="12"/>
      <c r="F170" s="12"/>
      <c r="G170" s="12"/>
      <c r="H170" s="12"/>
      <c r="I170" s="12"/>
      <c r="J170" s="12"/>
      <c r="K170" s="12"/>
      <c r="L170" s="12"/>
      <c r="N170" s="12"/>
    </row>
    <row r="171" spans="1:14" x14ac:dyDescent="0.45">
      <c r="A171" s="12"/>
      <c r="B171" s="12"/>
      <c r="C171" s="12"/>
      <c r="D171" s="12"/>
      <c r="E171" s="12"/>
      <c r="F171" s="12"/>
      <c r="G171" s="12"/>
      <c r="H171" s="12"/>
      <c r="I171" s="12"/>
      <c r="J171" s="12"/>
      <c r="K171" s="12"/>
      <c r="L171" s="12"/>
      <c r="N171" s="12"/>
    </row>
    <row r="172" spans="1:14" x14ac:dyDescent="0.45">
      <c r="A172" s="12"/>
      <c r="B172" s="12"/>
      <c r="C172" s="12"/>
      <c r="D172" s="12"/>
      <c r="E172" s="12"/>
      <c r="F172" s="12"/>
      <c r="G172" s="12"/>
      <c r="H172" s="12"/>
      <c r="I172" s="12"/>
      <c r="J172" s="12"/>
      <c r="K172" s="12"/>
      <c r="L172" s="12"/>
      <c r="N172" s="12"/>
    </row>
    <row r="173" spans="1:14" x14ac:dyDescent="0.45">
      <c r="A173" s="12"/>
      <c r="B173" s="12"/>
      <c r="C173" s="12"/>
      <c r="D173" s="12"/>
      <c r="E173" s="12"/>
      <c r="F173" s="12"/>
      <c r="G173" s="12"/>
      <c r="H173" s="12"/>
      <c r="I173" s="12"/>
      <c r="J173" s="12"/>
      <c r="K173" s="12"/>
      <c r="L173" s="12"/>
      <c r="N173" s="12"/>
    </row>
    <row r="174" spans="1:14" x14ac:dyDescent="0.45">
      <c r="A174" s="12"/>
      <c r="B174" s="12"/>
      <c r="C174" s="12"/>
      <c r="D174" s="12"/>
      <c r="E174" s="12"/>
      <c r="F174" s="12"/>
      <c r="G174" s="12"/>
      <c r="H174" s="12"/>
      <c r="I174" s="12"/>
      <c r="J174" s="12"/>
      <c r="K174" s="12"/>
      <c r="L174" s="12"/>
      <c r="N174" s="12"/>
    </row>
    <row r="175" spans="1:14" x14ac:dyDescent="0.45">
      <c r="A175" s="12"/>
      <c r="B175" s="12"/>
      <c r="C175" s="12"/>
      <c r="D175" s="12"/>
      <c r="E175" s="12"/>
      <c r="F175" s="12"/>
      <c r="G175" s="12"/>
      <c r="H175" s="12"/>
      <c r="I175" s="12"/>
      <c r="J175" s="12"/>
      <c r="K175" s="12"/>
      <c r="L175" s="12"/>
      <c r="N175" s="12"/>
    </row>
    <row r="176" spans="1:14" x14ac:dyDescent="0.45">
      <c r="A176" s="12"/>
      <c r="B176" s="12"/>
      <c r="C176" s="12"/>
      <c r="D176" s="12"/>
      <c r="E176" s="12"/>
      <c r="F176" s="12"/>
      <c r="G176" s="12"/>
      <c r="H176" s="12"/>
      <c r="I176" s="12"/>
      <c r="J176" s="12"/>
      <c r="K176" s="12"/>
      <c r="L176" s="12"/>
      <c r="N176" s="12"/>
    </row>
    <row r="177" spans="1:14" x14ac:dyDescent="0.45">
      <c r="A177" s="12"/>
      <c r="B177" s="12"/>
      <c r="C177" s="12"/>
      <c r="D177" s="12"/>
      <c r="E177" s="12"/>
      <c r="F177" s="12"/>
      <c r="G177" s="12"/>
      <c r="H177" s="12"/>
      <c r="I177" s="12"/>
      <c r="J177" s="12"/>
      <c r="K177" s="12"/>
      <c r="L177" s="12"/>
      <c r="N177" s="12"/>
    </row>
    <row r="178" spans="1:14" x14ac:dyDescent="0.45">
      <c r="A178" s="12"/>
      <c r="B178" s="12"/>
      <c r="C178" s="12"/>
      <c r="D178" s="12"/>
      <c r="E178" s="12"/>
      <c r="F178" s="12"/>
      <c r="G178" s="12"/>
      <c r="H178" s="12"/>
      <c r="I178" s="12"/>
      <c r="J178" s="12"/>
      <c r="K178" s="12"/>
      <c r="L178" s="12"/>
      <c r="N178" s="12"/>
    </row>
    <row r="179" spans="1:14" x14ac:dyDescent="0.45">
      <c r="A179" s="12"/>
      <c r="B179" s="12"/>
      <c r="C179" s="12"/>
      <c r="D179" s="12"/>
      <c r="E179" s="12"/>
      <c r="F179" s="12"/>
      <c r="G179" s="12"/>
      <c r="H179" s="12"/>
      <c r="I179" s="12"/>
      <c r="J179" s="12"/>
      <c r="K179" s="12"/>
      <c r="L179" s="12"/>
      <c r="N179" s="12"/>
    </row>
    <row r="180" spans="1:14" x14ac:dyDescent="0.45">
      <c r="A180" s="12"/>
      <c r="B180" s="12"/>
      <c r="C180" s="12"/>
      <c r="D180" s="12"/>
      <c r="E180" s="12"/>
      <c r="F180" s="12"/>
      <c r="G180" s="12"/>
      <c r="H180" s="12"/>
      <c r="I180" s="12"/>
      <c r="J180" s="12"/>
      <c r="K180" s="12"/>
      <c r="L180" s="12"/>
      <c r="N180" s="12"/>
    </row>
    <row r="181" spans="1:14" x14ac:dyDescent="0.45">
      <c r="A181" s="12"/>
      <c r="B181" s="12"/>
      <c r="C181" s="12"/>
      <c r="D181" s="12"/>
      <c r="E181" s="12"/>
      <c r="F181" s="12"/>
      <c r="G181" s="12"/>
      <c r="H181" s="12"/>
      <c r="I181" s="12"/>
      <c r="J181" s="12"/>
      <c r="K181" s="12"/>
      <c r="L181" s="12"/>
      <c r="N181" s="12"/>
    </row>
    <row r="182" spans="1:14" x14ac:dyDescent="0.45">
      <c r="A182" s="12"/>
      <c r="B182" s="12"/>
      <c r="C182" s="12"/>
      <c r="D182" s="12"/>
      <c r="E182" s="12"/>
      <c r="F182" s="12"/>
      <c r="G182" s="12"/>
      <c r="H182" s="12"/>
      <c r="I182" s="12"/>
      <c r="J182" s="12"/>
      <c r="K182" s="12"/>
      <c r="L182" s="12"/>
      <c r="N182" s="12"/>
    </row>
    <row r="183" spans="1:14" x14ac:dyDescent="0.45">
      <c r="A183" s="12"/>
      <c r="B183" s="12"/>
      <c r="C183" s="12"/>
      <c r="D183" s="12"/>
      <c r="E183" s="12"/>
      <c r="F183" s="12"/>
      <c r="G183" s="12"/>
      <c r="H183" s="12"/>
      <c r="I183" s="12"/>
      <c r="J183" s="12"/>
      <c r="K183" s="12"/>
      <c r="L183" s="12"/>
      <c r="N183" s="12"/>
    </row>
    <row r="184" spans="1:14" x14ac:dyDescent="0.45">
      <c r="A184" s="12"/>
      <c r="B184" s="12"/>
      <c r="C184" s="12"/>
      <c r="D184" s="12"/>
      <c r="E184" s="12"/>
      <c r="F184" s="12"/>
      <c r="G184" s="12"/>
      <c r="H184" s="12"/>
      <c r="I184" s="12"/>
      <c r="J184" s="12"/>
      <c r="K184" s="12"/>
      <c r="L184" s="12"/>
      <c r="N184" s="12"/>
    </row>
    <row r="185" spans="1:14" x14ac:dyDescent="0.45">
      <c r="A185" s="12"/>
      <c r="B185" s="12"/>
      <c r="C185" s="12"/>
      <c r="D185" s="12"/>
      <c r="E185" s="12"/>
      <c r="F185" s="12"/>
      <c r="G185" s="12"/>
      <c r="H185" s="12"/>
      <c r="I185" s="12"/>
      <c r="J185" s="12"/>
      <c r="K185" s="12"/>
      <c r="L185" s="12"/>
      <c r="N185" s="12"/>
    </row>
    <row r="186" spans="1:14" x14ac:dyDescent="0.45">
      <c r="A186" s="12"/>
      <c r="B186" s="12"/>
      <c r="C186" s="12"/>
      <c r="D186" s="12"/>
      <c r="E186" s="12"/>
      <c r="F186" s="12"/>
      <c r="G186" s="12"/>
      <c r="H186" s="12"/>
      <c r="I186" s="12"/>
      <c r="J186" s="12"/>
      <c r="K186" s="12"/>
      <c r="L186" s="12"/>
      <c r="N186" s="12"/>
    </row>
    <row r="187" spans="1:14" x14ac:dyDescent="0.45">
      <c r="A187" s="12"/>
      <c r="B187" s="12"/>
      <c r="C187" s="12"/>
      <c r="D187" s="12"/>
      <c r="E187" s="12"/>
      <c r="F187" s="12"/>
      <c r="G187" s="12"/>
      <c r="H187" s="12"/>
      <c r="I187" s="12"/>
      <c r="J187" s="12"/>
      <c r="K187" s="12"/>
      <c r="L187" s="12"/>
      <c r="N187" s="12"/>
    </row>
    <row r="188" spans="1:14" x14ac:dyDescent="0.45">
      <c r="A188" s="12"/>
      <c r="B188" s="12"/>
      <c r="C188" s="12"/>
      <c r="D188" s="12"/>
      <c r="E188" s="12"/>
      <c r="F188" s="12"/>
      <c r="G188" s="12"/>
      <c r="H188" s="12"/>
      <c r="I188" s="12"/>
      <c r="J188" s="12"/>
      <c r="K188" s="12"/>
      <c r="L188" s="12"/>
      <c r="N188" s="12"/>
    </row>
    <row r="189" spans="1:14" x14ac:dyDescent="0.45">
      <c r="A189" s="12"/>
      <c r="B189" s="12"/>
      <c r="C189" s="12"/>
      <c r="D189" s="12"/>
      <c r="E189" s="12"/>
      <c r="F189" s="12"/>
      <c r="G189" s="12"/>
      <c r="H189" s="12"/>
      <c r="I189" s="12"/>
      <c r="J189" s="12"/>
      <c r="K189" s="12"/>
      <c r="L189" s="12"/>
      <c r="N189" s="12"/>
    </row>
    <row r="190" spans="1:14" x14ac:dyDescent="0.45">
      <c r="A190" s="12"/>
      <c r="B190" s="12"/>
      <c r="C190" s="12"/>
      <c r="D190" s="12"/>
      <c r="E190" s="12"/>
      <c r="F190" s="12"/>
      <c r="G190" s="12"/>
      <c r="H190" s="12"/>
      <c r="I190" s="12"/>
      <c r="J190" s="12"/>
      <c r="K190" s="12"/>
      <c r="L190" s="12"/>
      <c r="N190" s="12"/>
    </row>
    <row r="191" spans="1:14" x14ac:dyDescent="0.45">
      <c r="A191" s="12"/>
      <c r="B191" s="12"/>
      <c r="C191" s="12"/>
      <c r="D191" s="12"/>
      <c r="E191" s="12"/>
      <c r="F191" s="12"/>
      <c r="G191" s="12"/>
      <c r="H191" s="12"/>
      <c r="I191" s="12"/>
      <c r="J191" s="12"/>
      <c r="K191" s="12"/>
      <c r="L191" s="12"/>
      <c r="N191" s="12"/>
    </row>
    <row r="192" spans="1:14" x14ac:dyDescent="0.45">
      <c r="A192" s="12"/>
      <c r="B192" s="12"/>
      <c r="C192" s="12"/>
      <c r="D192" s="12"/>
      <c r="E192" s="12"/>
      <c r="F192" s="12"/>
      <c r="G192" s="12"/>
      <c r="H192" s="12"/>
      <c r="I192" s="12"/>
      <c r="J192" s="12"/>
      <c r="K192" s="12"/>
      <c r="L192" s="12"/>
      <c r="N192" s="12"/>
    </row>
    <row r="193" spans="1:14" x14ac:dyDescent="0.45">
      <c r="A193" s="12"/>
      <c r="B193" s="12"/>
      <c r="C193" s="12"/>
      <c r="D193" s="12"/>
      <c r="E193" s="12"/>
      <c r="F193" s="12"/>
      <c r="G193" s="12"/>
      <c r="H193" s="12"/>
      <c r="I193" s="12"/>
      <c r="J193" s="12"/>
      <c r="K193" s="12"/>
      <c r="L193" s="12"/>
      <c r="N193" s="12"/>
    </row>
    <row r="194" spans="1:14" x14ac:dyDescent="0.45">
      <c r="A194" s="12"/>
      <c r="B194" s="12"/>
      <c r="C194" s="12"/>
      <c r="D194" s="12"/>
      <c r="E194" s="12"/>
      <c r="F194" s="12"/>
      <c r="G194" s="12"/>
      <c r="H194" s="12"/>
      <c r="I194" s="12"/>
      <c r="J194" s="12"/>
      <c r="K194" s="12"/>
      <c r="L194" s="12"/>
      <c r="N194" s="12"/>
    </row>
    <row r="195" spans="1:14" x14ac:dyDescent="0.45">
      <c r="A195" s="12"/>
      <c r="B195" s="12"/>
      <c r="C195" s="12"/>
      <c r="D195" s="12"/>
      <c r="E195" s="12"/>
      <c r="F195" s="12"/>
      <c r="G195" s="12"/>
      <c r="H195" s="12"/>
      <c r="I195" s="12"/>
      <c r="J195" s="12"/>
      <c r="K195" s="12"/>
      <c r="L195" s="12"/>
      <c r="N195" s="12"/>
    </row>
    <row r="196" spans="1:14" x14ac:dyDescent="0.45">
      <c r="A196" s="12"/>
      <c r="B196" s="12"/>
      <c r="C196" s="12"/>
      <c r="D196" s="12"/>
      <c r="E196" s="12"/>
      <c r="F196" s="12"/>
      <c r="G196" s="12"/>
      <c r="H196" s="12"/>
      <c r="I196" s="12"/>
      <c r="J196" s="12"/>
      <c r="K196" s="12"/>
      <c r="L196" s="12"/>
      <c r="N196" s="12"/>
    </row>
    <row r="197" spans="1:14" x14ac:dyDescent="0.45">
      <c r="A197" s="12"/>
      <c r="B197" s="12"/>
      <c r="C197" s="12"/>
      <c r="D197" s="12"/>
      <c r="E197" s="12"/>
      <c r="F197" s="12"/>
      <c r="G197" s="12"/>
      <c r="H197" s="12"/>
      <c r="I197" s="12"/>
      <c r="J197" s="12"/>
      <c r="K197" s="12"/>
      <c r="L197" s="12"/>
      <c r="N197" s="12"/>
    </row>
    <row r="198" spans="1:14" x14ac:dyDescent="0.45">
      <c r="A198" s="12"/>
      <c r="B198" s="12"/>
      <c r="C198" s="12"/>
      <c r="D198" s="12"/>
      <c r="E198" s="12"/>
      <c r="F198" s="12"/>
      <c r="G198" s="12"/>
      <c r="H198" s="12"/>
      <c r="I198" s="12"/>
      <c r="J198" s="12"/>
      <c r="K198" s="12"/>
      <c r="L198" s="12"/>
      <c r="N198" s="12"/>
    </row>
    <row r="199" spans="1:14" x14ac:dyDescent="0.45">
      <c r="A199" s="12"/>
      <c r="B199" s="12"/>
      <c r="C199" s="12"/>
      <c r="D199" s="12"/>
      <c r="E199" s="12"/>
      <c r="F199" s="12"/>
      <c r="G199" s="12"/>
      <c r="H199" s="12"/>
      <c r="I199" s="12"/>
      <c r="J199" s="12"/>
      <c r="K199" s="12"/>
      <c r="L199" s="12"/>
      <c r="N199" s="12"/>
    </row>
    <row r="200" spans="1:14" x14ac:dyDescent="0.45">
      <c r="A200" s="12"/>
      <c r="B200" s="12"/>
      <c r="C200" s="12"/>
      <c r="D200" s="12"/>
      <c r="E200" s="12"/>
      <c r="F200" s="12"/>
      <c r="G200" s="12"/>
      <c r="H200" s="12"/>
      <c r="I200" s="12"/>
      <c r="J200" s="12"/>
      <c r="K200" s="12"/>
      <c r="L200" s="12"/>
      <c r="N200" s="12"/>
    </row>
    <row r="201" spans="1:14" x14ac:dyDescent="0.45">
      <c r="A201" s="12"/>
      <c r="B201" s="12"/>
      <c r="C201" s="12"/>
      <c r="D201" s="12"/>
      <c r="E201" s="12"/>
      <c r="F201" s="12"/>
      <c r="G201" s="12"/>
      <c r="H201" s="12"/>
      <c r="I201" s="12"/>
      <c r="J201" s="12"/>
      <c r="K201" s="12"/>
      <c r="L201" s="12"/>
      <c r="N201" s="12"/>
    </row>
    <row r="202" spans="1:14" x14ac:dyDescent="0.45">
      <c r="A202" s="12"/>
      <c r="B202" s="12"/>
      <c r="C202" s="12"/>
      <c r="D202" s="12"/>
      <c r="E202" s="12"/>
      <c r="F202" s="12"/>
      <c r="G202" s="12"/>
      <c r="H202" s="12"/>
      <c r="I202" s="12"/>
      <c r="J202" s="12"/>
      <c r="K202" s="12"/>
      <c r="L202" s="12"/>
      <c r="N202" s="12"/>
    </row>
    <row r="203" spans="1:14" x14ac:dyDescent="0.45">
      <c r="A203" s="12"/>
      <c r="B203" s="12"/>
      <c r="C203" s="12"/>
      <c r="D203" s="12"/>
      <c r="E203" s="12"/>
      <c r="F203" s="12"/>
      <c r="G203" s="12"/>
      <c r="H203" s="12"/>
      <c r="I203" s="12"/>
      <c r="J203" s="12"/>
      <c r="K203" s="12"/>
      <c r="L203" s="12"/>
      <c r="N203" s="12"/>
    </row>
    <row r="204" spans="1:14" x14ac:dyDescent="0.45">
      <c r="A204" s="12"/>
      <c r="B204" s="12"/>
      <c r="C204" s="12"/>
      <c r="D204" s="12"/>
      <c r="E204" s="12"/>
      <c r="F204" s="12"/>
      <c r="G204" s="12"/>
      <c r="H204" s="12"/>
      <c r="I204" s="12"/>
      <c r="J204" s="12"/>
      <c r="K204" s="12"/>
      <c r="L204" s="12"/>
      <c r="N204" s="12"/>
    </row>
    <row r="205" spans="1:14" x14ac:dyDescent="0.45">
      <c r="A205" s="12"/>
      <c r="B205" s="12"/>
      <c r="C205" s="12"/>
      <c r="D205" s="12"/>
      <c r="E205" s="12"/>
      <c r="F205" s="12"/>
      <c r="G205" s="12"/>
      <c r="H205" s="12"/>
      <c r="I205" s="12"/>
      <c r="J205" s="12"/>
      <c r="K205" s="12"/>
      <c r="L205" s="12"/>
      <c r="N205" s="12"/>
    </row>
    <row r="206" spans="1:14" x14ac:dyDescent="0.45">
      <c r="A206" s="12"/>
      <c r="B206" s="12"/>
      <c r="C206" s="12"/>
      <c r="D206" s="12"/>
      <c r="E206" s="12"/>
      <c r="F206" s="12"/>
      <c r="G206" s="12"/>
      <c r="H206" s="12"/>
      <c r="I206" s="12"/>
      <c r="J206" s="12"/>
      <c r="K206" s="12"/>
      <c r="L206" s="12"/>
      <c r="N206" s="12"/>
    </row>
    <row r="207" spans="1:14" x14ac:dyDescent="0.45">
      <c r="A207" s="12"/>
      <c r="B207" s="12"/>
      <c r="C207" s="12"/>
      <c r="D207" s="12"/>
      <c r="E207" s="12"/>
      <c r="F207" s="12"/>
      <c r="G207" s="12"/>
      <c r="H207" s="12"/>
      <c r="I207" s="12"/>
      <c r="J207" s="12"/>
      <c r="K207" s="12"/>
      <c r="L207" s="12"/>
      <c r="N207" s="12"/>
    </row>
    <row r="208" spans="1:14" x14ac:dyDescent="0.45">
      <c r="A208" s="12"/>
      <c r="B208" s="12"/>
      <c r="C208" s="12"/>
      <c r="D208" s="12"/>
      <c r="E208" s="12"/>
      <c r="F208" s="12"/>
      <c r="G208" s="12"/>
      <c r="H208" s="12"/>
      <c r="I208" s="12"/>
      <c r="J208" s="12"/>
      <c r="K208" s="12"/>
      <c r="L208" s="12"/>
      <c r="N208" s="12"/>
    </row>
    <row r="209" spans="1:14" x14ac:dyDescent="0.45">
      <c r="A209" s="12"/>
      <c r="B209" s="12"/>
      <c r="C209" s="12"/>
      <c r="D209" s="12"/>
      <c r="E209" s="12"/>
      <c r="F209" s="12"/>
      <c r="G209" s="12"/>
      <c r="H209" s="12"/>
      <c r="I209" s="12"/>
      <c r="J209" s="12"/>
      <c r="K209" s="12"/>
      <c r="L209" s="12"/>
      <c r="N209" s="12"/>
    </row>
    <row r="210" spans="1:14" x14ac:dyDescent="0.45">
      <c r="A210" s="12"/>
      <c r="B210" s="12"/>
      <c r="C210" s="12"/>
      <c r="D210" s="12"/>
      <c r="E210" s="12"/>
      <c r="F210" s="12"/>
      <c r="G210" s="12"/>
      <c r="H210" s="12"/>
      <c r="I210" s="12"/>
      <c r="J210" s="12"/>
      <c r="K210" s="12"/>
      <c r="L210" s="12"/>
      <c r="N210" s="12"/>
    </row>
    <row r="211" spans="1:14" x14ac:dyDescent="0.45">
      <c r="A211" s="12"/>
      <c r="B211" s="12"/>
      <c r="C211" s="12"/>
      <c r="D211" s="12"/>
      <c r="E211" s="12"/>
      <c r="F211" s="12"/>
      <c r="G211" s="12"/>
      <c r="H211" s="12"/>
      <c r="I211" s="12"/>
      <c r="J211" s="12"/>
      <c r="K211" s="12"/>
      <c r="L211" s="12"/>
      <c r="N211" s="12"/>
    </row>
    <row r="212" spans="1:14" x14ac:dyDescent="0.45">
      <c r="A212" s="12"/>
      <c r="B212" s="12"/>
      <c r="C212" s="12"/>
      <c r="D212" s="12"/>
      <c r="E212" s="12"/>
      <c r="F212" s="12"/>
      <c r="G212" s="12"/>
      <c r="H212" s="12"/>
      <c r="I212" s="12"/>
      <c r="J212" s="12"/>
      <c r="K212" s="12"/>
      <c r="L212" s="12"/>
      <c r="N212" s="12"/>
    </row>
    <row r="213" spans="1:14" x14ac:dyDescent="0.45">
      <c r="A213" s="12"/>
      <c r="B213" s="12"/>
      <c r="C213" s="12"/>
      <c r="D213" s="12"/>
      <c r="E213" s="12"/>
      <c r="F213" s="12"/>
      <c r="G213" s="12"/>
      <c r="H213" s="12"/>
      <c r="I213" s="12"/>
      <c r="J213" s="12"/>
      <c r="K213" s="12"/>
      <c r="L213" s="12"/>
      <c r="N213" s="12"/>
    </row>
    <row r="214" spans="1:14" x14ac:dyDescent="0.45">
      <c r="A214" s="12"/>
      <c r="B214" s="12"/>
      <c r="C214" s="12"/>
      <c r="D214" s="12"/>
      <c r="E214" s="12"/>
      <c r="F214" s="12"/>
      <c r="G214" s="12"/>
      <c r="H214" s="12"/>
      <c r="I214" s="12"/>
      <c r="J214" s="12"/>
      <c r="K214" s="12"/>
      <c r="L214" s="12"/>
      <c r="N214" s="12"/>
    </row>
    <row r="215" spans="1:14" x14ac:dyDescent="0.45">
      <c r="A215" s="12"/>
      <c r="B215" s="12"/>
      <c r="C215" s="12"/>
      <c r="D215" s="12"/>
      <c r="E215" s="12"/>
      <c r="F215" s="12"/>
      <c r="G215" s="12"/>
      <c r="H215" s="12"/>
      <c r="I215" s="12"/>
      <c r="J215" s="12"/>
      <c r="K215" s="12"/>
      <c r="L215" s="12"/>
      <c r="N215" s="12"/>
    </row>
    <row r="216" spans="1:14" x14ac:dyDescent="0.45">
      <c r="A216" s="12"/>
      <c r="B216" s="12"/>
      <c r="C216" s="12"/>
      <c r="D216" s="12"/>
      <c r="E216" s="12"/>
      <c r="F216" s="12"/>
      <c r="G216" s="12"/>
      <c r="H216" s="12"/>
      <c r="I216" s="12"/>
      <c r="J216" s="12"/>
      <c r="K216" s="12"/>
      <c r="L216" s="12"/>
      <c r="N216" s="12"/>
    </row>
    <row r="217" spans="1:14" x14ac:dyDescent="0.45">
      <c r="A217" s="12"/>
      <c r="B217" s="12"/>
      <c r="C217" s="12"/>
      <c r="D217" s="12"/>
      <c r="E217" s="12"/>
      <c r="F217" s="12"/>
      <c r="G217" s="12"/>
      <c r="H217" s="12"/>
      <c r="I217" s="12"/>
      <c r="J217" s="12"/>
      <c r="K217" s="12"/>
      <c r="L217" s="12"/>
      <c r="N217" s="12"/>
    </row>
    <row r="218" spans="1:14" x14ac:dyDescent="0.45">
      <c r="A218" s="12"/>
      <c r="B218" s="12"/>
      <c r="C218" s="12"/>
      <c r="D218" s="12"/>
      <c r="E218" s="12"/>
      <c r="F218" s="12"/>
      <c r="G218" s="12"/>
      <c r="H218" s="12"/>
      <c r="I218" s="12"/>
      <c r="J218" s="12"/>
      <c r="K218" s="12"/>
      <c r="L218" s="12"/>
      <c r="N218" s="12"/>
    </row>
    <row r="219" spans="1:14" x14ac:dyDescent="0.45">
      <c r="A219" s="12"/>
      <c r="B219" s="12"/>
      <c r="C219" s="12"/>
      <c r="D219" s="12"/>
      <c r="E219" s="12"/>
      <c r="F219" s="12"/>
      <c r="G219" s="12"/>
      <c r="H219" s="12"/>
      <c r="I219" s="12"/>
      <c r="J219" s="12"/>
      <c r="K219" s="12"/>
      <c r="L219" s="12"/>
      <c r="N219" s="12"/>
    </row>
    <row r="220" spans="1:14" x14ac:dyDescent="0.45">
      <c r="A220" s="12"/>
      <c r="B220" s="12"/>
      <c r="C220" s="12"/>
      <c r="D220" s="12"/>
      <c r="E220" s="12"/>
      <c r="F220" s="12"/>
      <c r="G220" s="12"/>
      <c r="H220" s="12"/>
      <c r="I220" s="12"/>
      <c r="J220" s="12"/>
      <c r="K220" s="12"/>
      <c r="L220" s="12"/>
      <c r="N220" s="12"/>
    </row>
    <row r="221" spans="1:14" x14ac:dyDescent="0.45">
      <c r="A221" s="12"/>
      <c r="B221" s="12"/>
      <c r="C221" s="12"/>
      <c r="D221" s="12"/>
      <c r="E221" s="12"/>
      <c r="F221" s="12"/>
      <c r="G221" s="12"/>
      <c r="H221" s="12"/>
      <c r="I221" s="12"/>
      <c r="J221" s="12"/>
      <c r="K221" s="12"/>
      <c r="L221" s="12"/>
      <c r="N221" s="12"/>
    </row>
    <row r="222" spans="1:14" x14ac:dyDescent="0.45">
      <c r="A222" s="12"/>
      <c r="B222" s="12"/>
      <c r="C222" s="12"/>
      <c r="D222" s="12"/>
      <c r="E222" s="12"/>
      <c r="F222" s="12"/>
      <c r="G222" s="12"/>
      <c r="H222" s="12"/>
      <c r="I222" s="12"/>
      <c r="J222" s="12"/>
      <c r="K222" s="12"/>
      <c r="L222" s="12"/>
      <c r="N222" s="12"/>
    </row>
    <row r="223" spans="1:14" x14ac:dyDescent="0.45">
      <c r="A223" s="12"/>
      <c r="B223" s="12"/>
      <c r="C223" s="12"/>
      <c r="D223" s="12"/>
      <c r="E223" s="12"/>
      <c r="F223" s="12"/>
      <c r="G223" s="12"/>
      <c r="H223" s="12"/>
      <c r="I223" s="12"/>
      <c r="J223" s="12"/>
      <c r="K223" s="12"/>
      <c r="L223" s="12"/>
      <c r="N223" s="12"/>
    </row>
    <row r="224" spans="1:14" x14ac:dyDescent="0.45">
      <c r="A224" s="12"/>
      <c r="B224" s="12"/>
      <c r="C224" s="12"/>
      <c r="D224" s="12"/>
      <c r="E224" s="12"/>
      <c r="F224" s="12"/>
      <c r="G224" s="12"/>
      <c r="H224" s="12"/>
      <c r="I224" s="12"/>
      <c r="J224" s="12"/>
      <c r="K224" s="12"/>
      <c r="L224" s="12"/>
      <c r="N224" s="12"/>
    </row>
    <row r="225" spans="1:14" x14ac:dyDescent="0.45">
      <c r="A225" s="12"/>
      <c r="B225" s="12"/>
      <c r="C225" s="12"/>
      <c r="D225" s="12"/>
      <c r="E225" s="12"/>
      <c r="F225" s="12"/>
      <c r="G225" s="12"/>
      <c r="H225" s="12"/>
      <c r="I225" s="12"/>
      <c r="J225" s="12"/>
      <c r="K225" s="12"/>
      <c r="L225" s="12"/>
      <c r="N225" s="12"/>
    </row>
    <row r="226" spans="1:14" x14ac:dyDescent="0.45">
      <c r="A226" s="12"/>
      <c r="B226" s="12"/>
      <c r="C226" s="12"/>
      <c r="D226" s="12"/>
      <c r="E226" s="12"/>
      <c r="F226" s="12"/>
      <c r="G226" s="12"/>
      <c r="H226" s="12"/>
      <c r="I226" s="12"/>
      <c r="J226" s="12"/>
      <c r="K226" s="12"/>
      <c r="L226" s="12"/>
      <c r="N226" s="12"/>
    </row>
    <row r="227" spans="1:14" x14ac:dyDescent="0.45">
      <c r="A227" s="12"/>
      <c r="B227" s="12"/>
      <c r="C227" s="12"/>
      <c r="D227" s="12"/>
      <c r="E227" s="12"/>
      <c r="F227" s="12"/>
      <c r="G227" s="12"/>
      <c r="H227" s="12"/>
      <c r="I227" s="12"/>
      <c r="J227" s="12"/>
      <c r="K227" s="12"/>
      <c r="L227" s="12"/>
      <c r="N227" s="12"/>
    </row>
    <row r="228" spans="1:14" x14ac:dyDescent="0.45">
      <c r="A228" s="12"/>
      <c r="B228" s="12"/>
      <c r="C228" s="12"/>
      <c r="D228" s="12"/>
      <c r="E228" s="12"/>
      <c r="F228" s="12"/>
      <c r="G228" s="12"/>
      <c r="H228" s="12"/>
      <c r="I228" s="12"/>
      <c r="J228" s="12"/>
      <c r="K228" s="12"/>
      <c r="L228" s="12"/>
      <c r="N228" s="12"/>
    </row>
    <row r="229" spans="1:14" x14ac:dyDescent="0.45">
      <c r="A229" s="12"/>
      <c r="B229" s="12"/>
      <c r="C229" s="12"/>
      <c r="D229" s="12"/>
      <c r="E229" s="12"/>
      <c r="F229" s="12"/>
      <c r="G229" s="12"/>
      <c r="H229" s="12"/>
      <c r="I229" s="12"/>
      <c r="J229" s="12"/>
      <c r="K229" s="12"/>
      <c r="L229" s="12"/>
      <c r="N229" s="12"/>
    </row>
    <row r="230" spans="1:14" x14ac:dyDescent="0.45">
      <c r="A230" s="12"/>
      <c r="B230" s="12"/>
      <c r="C230" s="12"/>
      <c r="D230" s="12"/>
      <c r="E230" s="12"/>
      <c r="F230" s="12"/>
      <c r="G230" s="12"/>
      <c r="H230" s="12"/>
      <c r="I230" s="12"/>
      <c r="J230" s="12"/>
      <c r="K230" s="12"/>
      <c r="L230" s="12"/>
      <c r="N230" s="12"/>
    </row>
    <row r="231" spans="1:14" x14ac:dyDescent="0.45">
      <c r="A231" s="12"/>
      <c r="B231" s="12"/>
      <c r="C231" s="12"/>
      <c r="D231" s="12"/>
      <c r="E231" s="12"/>
      <c r="F231" s="12"/>
      <c r="G231" s="12"/>
      <c r="H231" s="12"/>
      <c r="I231" s="12"/>
      <c r="J231" s="12"/>
      <c r="K231" s="12"/>
      <c r="L231" s="12"/>
      <c r="N231" s="12"/>
    </row>
    <row r="232" spans="1:14" x14ac:dyDescent="0.45">
      <c r="A232" s="12"/>
      <c r="B232" s="12"/>
      <c r="C232" s="12"/>
      <c r="D232" s="12"/>
      <c r="E232" s="12"/>
      <c r="F232" s="12"/>
      <c r="G232" s="12"/>
      <c r="H232" s="12"/>
      <c r="I232" s="12"/>
      <c r="J232" s="12"/>
      <c r="K232" s="12"/>
      <c r="L232" s="12"/>
      <c r="N232" s="12"/>
    </row>
    <row r="233" spans="1:14" x14ac:dyDescent="0.45">
      <c r="A233" s="12"/>
      <c r="B233" s="12"/>
      <c r="C233" s="12"/>
      <c r="D233" s="12"/>
      <c r="E233" s="12"/>
      <c r="F233" s="12"/>
      <c r="G233" s="12"/>
      <c r="H233" s="12"/>
      <c r="I233" s="12"/>
      <c r="J233" s="12"/>
      <c r="K233" s="12"/>
      <c r="L233" s="12"/>
      <c r="N233" s="12"/>
    </row>
    <row r="234" spans="1:14" x14ac:dyDescent="0.45">
      <c r="A234" s="12"/>
      <c r="B234" s="12"/>
      <c r="C234" s="12"/>
      <c r="D234" s="12"/>
      <c r="E234" s="12"/>
      <c r="F234" s="12"/>
      <c r="G234" s="12"/>
      <c r="H234" s="12"/>
      <c r="I234" s="12"/>
      <c r="J234" s="12"/>
      <c r="K234" s="12"/>
      <c r="L234" s="12"/>
      <c r="N234" s="12"/>
    </row>
    <row r="235" spans="1:14" x14ac:dyDescent="0.45">
      <c r="A235" s="12"/>
      <c r="B235" s="12"/>
      <c r="C235" s="12"/>
      <c r="D235" s="12"/>
      <c r="E235" s="12"/>
      <c r="F235" s="12"/>
      <c r="G235" s="12"/>
      <c r="H235" s="12"/>
      <c r="I235" s="12"/>
      <c r="J235" s="12"/>
      <c r="K235" s="12"/>
      <c r="L235" s="12"/>
      <c r="N235" s="12"/>
    </row>
    <row r="236" spans="1:14" x14ac:dyDescent="0.45">
      <c r="A236" s="12"/>
      <c r="B236" s="12"/>
      <c r="C236" s="12"/>
      <c r="D236" s="12"/>
      <c r="E236" s="12"/>
      <c r="F236" s="12"/>
      <c r="G236" s="12"/>
      <c r="H236" s="12"/>
      <c r="I236" s="12"/>
      <c r="J236" s="12"/>
      <c r="K236" s="12"/>
      <c r="L236" s="12"/>
      <c r="N236" s="12"/>
    </row>
    <row r="237" spans="1:14" x14ac:dyDescent="0.45">
      <c r="A237" s="12"/>
      <c r="B237" s="12"/>
      <c r="C237" s="12"/>
      <c r="D237" s="12"/>
      <c r="E237" s="12"/>
      <c r="F237" s="12"/>
      <c r="G237" s="12"/>
      <c r="H237" s="12"/>
      <c r="I237" s="12"/>
      <c r="J237" s="12"/>
      <c r="K237" s="12"/>
      <c r="L237" s="12"/>
      <c r="N237" s="12"/>
    </row>
    <row r="238" spans="1:14" x14ac:dyDescent="0.45">
      <c r="A238" s="12"/>
      <c r="B238" s="12"/>
      <c r="C238" s="12"/>
      <c r="D238" s="12"/>
      <c r="E238" s="12"/>
      <c r="F238" s="12"/>
      <c r="G238" s="12"/>
      <c r="H238" s="12"/>
      <c r="I238" s="12"/>
      <c r="J238" s="12"/>
      <c r="K238" s="12"/>
      <c r="L238" s="12"/>
      <c r="N238" s="12"/>
    </row>
    <row r="239" spans="1:14" x14ac:dyDescent="0.45">
      <c r="A239" s="12"/>
      <c r="B239" s="12"/>
      <c r="C239" s="12"/>
      <c r="D239" s="12"/>
      <c r="E239" s="12"/>
      <c r="F239" s="12"/>
      <c r="G239" s="12"/>
      <c r="H239" s="12"/>
      <c r="I239" s="12"/>
      <c r="J239" s="12"/>
      <c r="K239" s="12"/>
      <c r="L239" s="12"/>
      <c r="N239" s="12"/>
    </row>
    <row r="240" spans="1:14" x14ac:dyDescent="0.45">
      <c r="A240" s="12"/>
      <c r="B240" s="12"/>
      <c r="C240" s="12"/>
      <c r="D240" s="12"/>
      <c r="E240" s="12"/>
      <c r="F240" s="12"/>
      <c r="G240" s="12"/>
      <c r="H240" s="12"/>
      <c r="I240" s="12"/>
      <c r="J240" s="12"/>
      <c r="K240" s="12"/>
      <c r="L240" s="12"/>
      <c r="N240" s="12"/>
    </row>
    <row r="241" spans="1:14" x14ac:dyDescent="0.45">
      <c r="A241" s="12"/>
      <c r="B241" s="12"/>
      <c r="C241" s="12"/>
      <c r="D241" s="12"/>
      <c r="E241" s="12"/>
      <c r="F241" s="12"/>
      <c r="G241" s="12"/>
      <c r="H241" s="12"/>
      <c r="I241" s="12"/>
      <c r="J241" s="12"/>
      <c r="K241" s="12"/>
      <c r="L241" s="12"/>
      <c r="N241" s="12"/>
    </row>
    <row r="242" spans="1:14" x14ac:dyDescent="0.45">
      <c r="A242" s="12"/>
      <c r="B242" s="12"/>
      <c r="C242" s="12"/>
      <c r="D242" s="12"/>
      <c r="E242" s="12"/>
      <c r="F242" s="12"/>
      <c r="G242" s="12"/>
      <c r="H242" s="12"/>
      <c r="I242" s="12"/>
      <c r="J242" s="12"/>
      <c r="K242" s="12"/>
      <c r="L242" s="12"/>
      <c r="N242" s="12"/>
    </row>
    <row r="243" spans="1:14" x14ac:dyDescent="0.45">
      <c r="A243" s="12"/>
      <c r="B243" s="12"/>
      <c r="C243" s="12"/>
      <c r="D243" s="12"/>
      <c r="E243" s="12"/>
      <c r="F243" s="12"/>
      <c r="G243" s="12"/>
      <c r="H243" s="12"/>
      <c r="I243" s="12"/>
      <c r="J243" s="12"/>
      <c r="K243" s="12"/>
      <c r="L243" s="12"/>
      <c r="N243" s="12"/>
    </row>
    <row r="244" spans="1:14" x14ac:dyDescent="0.45">
      <c r="A244" s="12"/>
      <c r="B244" s="12"/>
      <c r="C244" s="12"/>
      <c r="D244" s="12"/>
      <c r="E244" s="12"/>
      <c r="F244" s="12"/>
      <c r="G244" s="12"/>
      <c r="H244" s="12"/>
      <c r="I244" s="12"/>
      <c r="J244" s="12"/>
      <c r="K244" s="12"/>
      <c r="L244" s="12"/>
      <c r="N244" s="12"/>
    </row>
    <row r="245" spans="1:14" x14ac:dyDescent="0.45">
      <c r="A245" s="12"/>
      <c r="B245" s="12"/>
      <c r="C245" s="12"/>
      <c r="D245" s="12"/>
      <c r="E245" s="12"/>
      <c r="F245" s="12"/>
      <c r="G245" s="12"/>
      <c r="H245" s="12"/>
      <c r="I245" s="12"/>
      <c r="J245" s="12"/>
      <c r="K245" s="12"/>
      <c r="L245" s="12"/>
      <c r="N245" s="12"/>
    </row>
    <row r="246" spans="1:14" x14ac:dyDescent="0.45">
      <c r="A246" s="12"/>
      <c r="B246" s="12"/>
      <c r="C246" s="12"/>
      <c r="D246" s="12"/>
      <c r="E246" s="12"/>
      <c r="F246" s="12"/>
      <c r="G246" s="12"/>
      <c r="H246" s="12"/>
      <c r="I246" s="12"/>
      <c r="J246" s="12"/>
      <c r="K246" s="12"/>
      <c r="L246" s="12"/>
      <c r="N246" s="12"/>
    </row>
    <row r="247" spans="1:14" x14ac:dyDescent="0.45">
      <c r="A247" s="12"/>
      <c r="B247" s="12"/>
      <c r="C247" s="12"/>
      <c r="D247" s="12"/>
      <c r="E247" s="12"/>
      <c r="F247" s="12"/>
      <c r="G247" s="12"/>
      <c r="H247" s="12"/>
      <c r="I247" s="12"/>
      <c r="J247" s="12"/>
      <c r="K247" s="12"/>
      <c r="L247" s="12"/>
      <c r="N247" s="12"/>
    </row>
    <row r="248" spans="1:14" x14ac:dyDescent="0.45">
      <c r="A248" s="12"/>
      <c r="B248" s="12"/>
      <c r="C248" s="12"/>
      <c r="D248" s="12"/>
      <c r="E248" s="12"/>
      <c r="F248" s="12"/>
      <c r="G248" s="12"/>
      <c r="H248" s="12"/>
      <c r="I248" s="12"/>
      <c r="J248" s="12"/>
      <c r="K248" s="12"/>
      <c r="L248" s="12"/>
      <c r="N248" s="12"/>
    </row>
    <row r="249" spans="1:14" x14ac:dyDescent="0.45">
      <c r="A249" s="12"/>
      <c r="B249" s="12"/>
      <c r="C249" s="12"/>
      <c r="D249" s="12"/>
      <c r="E249" s="12"/>
      <c r="F249" s="12"/>
      <c r="G249" s="12"/>
      <c r="H249" s="12"/>
      <c r="I249" s="12"/>
      <c r="J249" s="12"/>
      <c r="K249" s="12"/>
      <c r="L249" s="12"/>
      <c r="N249" s="12"/>
    </row>
    <row r="250" spans="1:14" x14ac:dyDescent="0.45">
      <c r="A250" s="12"/>
      <c r="B250" s="12"/>
      <c r="C250" s="12"/>
      <c r="D250" s="12"/>
      <c r="E250" s="12"/>
      <c r="F250" s="12"/>
      <c r="G250" s="12"/>
      <c r="H250" s="12"/>
      <c r="I250" s="12"/>
      <c r="J250" s="12"/>
      <c r="K250" s="12"/>
      <c r="L250" s="12"/>
      <c r="N250" s="12"/>
    </row>
    <row r="251" spans="1:14" x14ac:dyDescent="0.45">
      <c r="A251" s="12"/>
      <c r="B251" s="12"/>
      <c r="C251" s="12"/>
      <c r="D251" s="12"/>
      <c r="E251" s="12"/>
      <c r="F251" s="12"/>
      <c r="G251" s="12"/>
      <c r="H251" s="12"/>
      <c r="I251" s="12"/>
      <c r="J251" s="12"/>
      <c r="K251" s="12"/>
      <c r="L251" s="12"/>
      <c r="N251" s="12"/>
    </row>
    <row r="252" spans="1:14" x14ac:dyDescent="0.45">
      <c r="A252" s="12"/>
      <c r="B252" s="12"/>
      <c r="C252" s="12"/>
      <c r="D252" s="12"/>
      <c r="E252" s="12"/>
      <c r="F252" s="12"/>
      <c r="G252" s="12"/>
      <c r="H252" s="12"/>
      <c r="I252" s="12"/>
      <c r="J252" s="12"/>
      <c r="K252" s="12"/>
      <c r="L252" s="12"/>
      <c r="N252" s="12"/>
    </row>
    <row r="253" spans="1:14" x14ac:dyDescent="0.45">
      <c r="A253" s="12"/>
      <c r="B253" s="12"/>
      <c r="C253" s="12"/>
      <c r="D253" s="12"/>
      <c r="E253" s="12"/>
      <c r="F253" s="12"/>
      <c r="G253" s="12"/>
      <c r="H253" s="12"/>
      <c r="I253" s="12"/>
      <c r="J253" s="12"/>
      <c r="K253" s="12"/>
      <c r="L253" s="12"/>
      <c r="N253" s="12"/>
    </row>
    <row r="254" spans="1:14" x14ac:dyDescent="0.45">
      <c r="A254" s="12"/>
      <c r="B254" s="12"/>
      <c r="C254" s="12"/>
      <c r="D254" s="12"/>
      <c r="E254" s="12"/>
      <c r="F254" s="12"/>
      <c r="G254" s="12"/>
      <c r="H254" s="12"/>
      <c r="I254" s="12"/>
      <c r="J254" s="12"/>
      <c r="K254" s="12"/>
      <c r="L254" s="12"/>
      <c r="N254" s="12"/>
    </row>
    <row r="255" spans="1:14" x14ac:dyDescent="0.45">
      <c r="A255" s="12"/>
      <c r="B255" s="12"/>
      <c r="C255" s="12"/>
      <c r="D255" s="12"/>
      <c r="E255" s="12"/>
      <c r="F255" s="12"/>
      <c r="G255" s="12"/>
      <c r="H255" s="12"/>
      <c r="I255" s="12"/>
      <c r="J255" s="12"/>
      <c r="K255" s="12"/>
      <c r="L255" s="12"/>
      <c r="N255" s="12"/>
    </row>
    <row r="256" spans="1:14" x14ac:dyDescent="0.45">
      <c r="A256" s="12"/>
      <c r="B256" s="12"/>
      <c r="C256" s="12"/>
      <c r="D256" s="12"/>
      <c r="E256" s="12"/>
      <c r="F256" s="12"/>
      <c r="G256" s="12"/>
      <c r="H256" s="12"/>
      <c r="I256" s="12"/>
      <c r="J256" s="12"/>
      <c r="K256" s="12"/>
      <c r="L256" s="12"/>
      <c r="N256" s="12"/>
    </row>
    <row r="257" spans="1:14" x14ac:dyDescent="0.45">
      <c r="A257" s="12"/>
      <c r="B257" s="12"/>
      <c r="C257" s="12"/>
      <c r="D257" s="12"/>
      <c r="E257" s="12"/>
      <c r="F257" s="12"/>
      <c r="G257" s="12"/>
      <c r="H257" s="12"/>
      <c r="I257" s="12"/>
      <c r="J257" s="12"/>
      <c r="K257" s="12"/>
      <c r="L257" s="12"/>
      <c r="N257" s="12"/>
    </row>
    <row r="258" spans="1:14" x14ac:dyDescent="0.45">
      <c r="A258" s="12"/>
      <c r="B258" s="12"/>
      <c r="C258" s="12"/>
      <c r="D258" s="12"/>
      <c r="E258" s="12"/>
      <c r="F258" s="12"/>
      <c r="G258" s="12"/>
      <c r="H258" s="12"/>
      <c r="I258" s="12"/>
      <c r="J258" s="12"/>
      <c r="K258" s="12"/>
      <c r="L258" s="12"/>
      <c r="N258" s="12"/>
    </row>
    <row r="259" spans="1:14" x14ac:dyDescent="0.45">
      <c r="A259" s="12"/>
      <c r="B259" s="12"/>
      <c r="C259" s="12"/>
      <c r="D259" s="12"/>
      <c r="E259" s="12"/>
      <c r="F259" s="12"/>
      <c r="G259" s="12"/>
      <c r="H259" s="12"/>
      <c r="I259" s="12"/>
      <c r="J259" s="12"/>
      <c r="K259" s="12"/>
      <c r="L259" s="12"/>
      <c r="N259" s="12"/>
    </row>
    <row r="260" spans="1:14" x14ac:dyDescent="0.45">
      <c r="A260" s="12"/>
      <c r="B260" s="12"/>
      <c r="C260" s="12"/>
      <c r="D260" s="12"/>
      <c r="E260" s="12"/>
      <c r="F260" s="12"/>
      <c r="G260" s="12"/>
      <c r="H260" s="12"/>
      <c r="I260" s="12"/>
      <c r="J260" s="12"/>
      <c r="K260" s="12"/>
      <c r="L260" s="12"/>
      <c r="N260" s="12"/>
    </row>
    <row r="261" spans="1:14" x14ac:dyDescent="0.45">
      <c r="A261" s="12"/>
      <c r="B261" s="12"/>
      <c r="C261" s="12"/>
      <c r="D261" s="12"/>
      <c r="E261" s="12"/>
      <c r="F261" s="12"/>
      <c r="G261" s="12"/>
      <c r="H261" s="12"/>
      <c r="I261" s="12"/>
      <c r="J261" s="12"/>
      <c r="K261" s="12"/>
      <c r="L261" s="12"/>
      <c r="N261" s="12"/>
    </row>
    <row r="262" spans="1:14" x14ac:dyDescent="0.45">
      <c r="A262" s="12"/>
      <c r="B262" s="12"/>
      <c r="C262" s="12"/>
      <c r="D262" s="12"/>
      <c r="E262" s="12"/>
      <c r="F262" s="12"/>
      <c r="G262" s="12"/>
      <c r="H262" s="12"/>
      <c r="I262" s="12"/>
      <c r="J262" s="12"/>
      <c r="K262" s="12"/>
      <c r="L262" s="12"/>
      <c r="N262" s="12"/>
    </row>
    <row r="263" spans="1:14" x14ac:dyDescent="0.45">
      <c r="A263" s="12"/>
      <c r="B263" s="12"/>
      <c r="C263" s="12"/>
      <c r="D263" s="12"/>
      <c r="E263" s="12"/>
      <c r="F263" s="12"/>
      <c r="G263" s="12"/>
      <c r="H263" s="12"/>
      <c r="I263" s="12"/>
      <c r="J263" s="12"/>
      <c r="K263" s="12"/>
      <c r="L263" s="12"/>
      <c r="N263" s="12"/>
    </row>
    <row r="264" spans="1:14" x14ac:dyDescent="0.45">
      <c r="A264" s="12"/>
      <c r="B264" s="12"/>
      <c r="C264" s="12"/>
      <c r="D264" s="12"/>
      <c r="E264" s="12"/>
      <c r="F264" s="12"/>
      <c r="G264" s="12"/>
      <c r="H264" s="12"/>
      <c r="I264" s="12"/>
      <c r="J264" s="12"/>
      <c r="K264" s="12"/>
      <c r="L264" s="12"/>
      <c r="N264" s="12"/>
    </row>
    <row r="265" spans="1:14" x14ac:dyDescent="0.45">
      <c r="A265" s="12"/>
      <c r="B265" s="12"/>
      <c r="C265" s="12"/>
      <c r="D265" s="12"/>
      <c r="E265" s="12"/>
      <c r="F265" s="12"/>
      <c r="G265" s="12"/>
      <c r="H265" s="12"/>
      <c r="I265" s="12"/>
      <c r="J265" s="12"/>
      <c r="K265" s="12"/>
      <c r="L265" s="12"/>
      <c r="N265" s="12"/>
    </row>
    <row r="266" spans="1:14" x14ac:dyDescent="0.45">
      <c r="A266" s="12"/>
      <c r="B266" s="12"/>
      <c r="C266" s="12"/>
      <c r="D266" s="12"/>
      <c r="E266" s="12"/>
      <c r="F266" s="12"/>
      <c r="G266" s="12"/>
      <c r="H266" s="12"/>
      <c r="I266" s="12"/>
      <c r="J266" s="12"/>
      <c r="K266" s="12"/>
      <c r="L266" s="12"/>
      <c r="N266" s="12"/>
    </row>
    <row r="267" spans="1:14" x14ac:dyDescent="0.45">
      <c r="A267" s="12"/>
      <c r="B267" s="12"/>
      <c r="C267" s="12"/>
      <c r="D267" s="12"/>
      <c r="E267" s="12"/>
      <c r="F267" s="12"/>
      <c r="G267" s="12"/>
      <c r="H267" s="12"/>
      <c r="I267" s="12"/>
      <c r="J267" s="12"/>
      <c r="K267" s="12"/>
      <c r="L267" s="12"/>
      <c r="N267" s="12"/>
    </row>
    <row r="268" spans="1:14" x14ac:dyDescent="0.45">
      <c r="A268" s="12"/>
      <c r="B268" s="12"/>
      <c r="C268" s="12"/>
      <c r="D268" s="12"/>
      <c r="E268" s="12"/>
      <c r="F268" s="12"/>
      <c r="G268" s="12"/>
      <c r="H268" s="12"/>
      <c r="I268" s="12"/>
      <c r="J268" s="12"/>
      <c r="K268" s="12"/>
      <c r="L268" s="12"/>
      <c r="N268" s="12"/>
    </row>
    <row r="269" spans="1:14" x14ac:dyDescent="0.45">
      <c r="A269" s="12"/>
      <c r="B269" s="12"/>
      <c r="C269" s="12"/>
      <c r="D269" s="12"/>
      <c r="E269" s="12"/>
      <c r="F269" s="12"/>
      <c r="G269" s="12"/>
      <c r="H269" s="12"/>
      <c r="I269" s="12"/>
      <c r="J269" s="12"/>
      <c r="K269" s="12"/>
      <c r="L269" s="12"/>
      <c r="N269" s="12"/>
    </row>
    <row r="270" spans="1:14" x14ac:dyDescent="0.45">
      <c r="A270" s="12"/>
      <c r="B270" s="12"/>
      <c r="C270" s="12"/>
      <c r="D270" s="12"/>
      <c r="E270" s="12"/>
      <c r="F270" s="12"/>
      <c r="G270" s="12"/>
      <c r="H270" s="12"/>
      <c r="I270" s="12"/>
      <c r="J270" s="12"/>
      <c r="K270" s="12"/>
      <c r="L270" s="12"/>
      <c r="N270" s="12"/>
    </row>
    <row r="271" spans="1:14" x14ac:dyDescent="0.45">
      <c r="A271" s="12"/>
      <c r="B271" s="12"/>
      <c r="C271" s="12"/>
      <c r="D271" s="12"/>
      <c r="E271" s="12"/>
      <c r="F271" s="12"/>
      <c r="G271" s="12"/>
      <c r="H271" s="12"/>
      <c r="I271" s="12"/>
      <c r="J271" s="12"/>
      <c r="K271" s="12"/>
      <c r="L271" s="12"/>
      <c r="N271" s="12"/>
    </row>
    <row r="272" spans="1:14" x14ac:dyDescent="0.45">
      <c r="A272" s="12"/>
      <c r="B272" s="12"/>
      <c r="C272" s="12"/>
      <c r="D272" s="12"/>
      <c r="E272" s="12"/>
      <c r="F272" s="12"/>
      <c r="G272" s="12"/>
      <c r="H272" s="12"/>
      <c r="I272" s="12"/>
      <c r="J272" s="12"/>
      <c r="K272" s="12"/>
      <c r="L272" s="12"/>
      <c r="N272" s="12"/>
    </row>
    <row r="273" spans="1:14" x14ac:dyDescent="0.45">
      <c r="A273" s="12"/>
      <c r="B273" s="12"/>
      <c r="C273" s="12"/>
      <c r="D273" s="12"/>
      <c r="E273" s="12"/>
      <c r="F273" s="12"/>
      <c r="G273" s="12"/>
      <c r="H273" s="12"/>
      <c r="I273" s="12"/>
      <c r="J273" s="12"/>
      <c r="K273" s="12"/>
      <c r="L273" s="12"/>
      <c r="N273" s="12"/>
    </row>
    <row r="274" spans="1:14" x14ac:dyDescent="0.45">
      <c r="A274" s="12"/>
      <c r="B274" s="12"/>
      <c r="C274" s="12"/>
      <c r="D274" s="12"/>
      <c r="E274" s="12"/>
      <c r="F274" s="12"/>
      <c r="G274" s="12"/>
      <c r="H274" s="12"/>
      <c r="I274" s="12"/>
      <c r="J274" s="12"/>
      <c r="K274" s="12"/>
      <c r="L274" s="12"/>
      <c r="N274" s="12"/>
    </row>
    <row r="275" spans="1:14" x14ac:dyDescent="0.45">
      <c r="A275" s="12"/>
      <c r="B275" s="12"/>
      <c r="C275" s="12"/>
      <c r="D275" s="12"/>
      <c r="E275" s="12"/>
      <c r="F275" s="12"/>
      <c r="G275" s="12"/>
      <c r="H275" s="12"/>
      <c r="I275" s="12"/>
      <c r="J275" s="12"/>
      <c r="K275" s="12"/>
      <c r="L275" s="12"/>
      <c r="N275" s="12"/>
    </row>
    <row r="276" spans="1:14" x14ac:dyDescent="0.45">
      <c r="A276" s="12"/>
      <c r="B276" s="12"/>
      <c r="C276" s="12"/>
      <c r="D276" s="12"/>
      <c r="E276" s="12"/>
      <c r="F276" s="12"/>
      <c r="G276" s="12"/>
      <c r="H276" s="12"/>
      <c r="I276" s="12"/>
      <c r="J276" s="12"/>
      <c r="K276" s="12"/>
      <c r="L276" s="12"/>
      <c r="N276" s="12"/>
    </row>
    <row r="277" spans="1:14" x14ac:dyDescent="0.45">
      <c r="A277" s="12"/>
      <c r="B277" s="12"/>
      <c r="C277" s="12"/>
      <c r="D277" s="12"/>
      <c r="E277" s="12"/>
      <c r="F277" s="12"/>
      <c r="G277" s="12"/>
      <c r="H277" s="12"/>
      <c r="I277" s="12"/>
      <c r="J277" s="12"/>
      <c r="K277" s="12"/>
      <c r="L277" s="12"/>
      <c r="N277" s="12"/>
    </row>
    <row r="278" spans="1:14" x14ac:dyDescent="0.45">
      <c r="A278" s="12"/>
      <c r="B278" s="12"/>
      <c r="C278" s="12"/>
      <c r="D278" s="12"/>
      <c r="E278" s="12"/>
      <c r="F278" s="12"/>
      <c r="G278" s="12"/>
      <c r="H278" s="12"/>
      <c r="I278" s="12"/>
      <c r="J278" s="12"/>
      <c r="K278" s="12"/>
      <c r="L278" s="12"/>
      <c r="N278" s="12"/>
    </row>
    <row r="279" spans="1:14" x14ac:dyDescent="0.45">
      <c r="A279" s="12"/>
      <c r="B279" s="12"/>
      <c r="C279" s="12"/>
      <c r="D279" s="12"/>
      <c r="E279" s="12"/>
      <c r="F279" s="12"/>
      <c r="G279" s="12"/>
      <c r="H279" s="12"/>
      <c r="I279" s="12"/>
      <c r="J279" s="12"/>
      <c r="K279" s="12"/>
      <c r="L279" s="12"/>
      <c r="N279" s="12"/>
    </row>
    <row r="280" spans="1:14" x14ac:dyDescent="0.45">
      <c r="A280" s="12"/>
      <c r="B280" s="12"/>
      <c r="C280" s="12"/>
      <c r="D280" s="12"/>
      <c r="E280" s="12"/>
      <c r="F280" s="12"/>
      <c r="G280" s="12"/>
      <c r="H280" s="12"/>
      <c r="I280" s="12"/>
      <c r="J280" s="12"/>
      <c r="K280" s="12"/>
      <c r="L280" s="12"/>
      <c r="N280" s="12"/>
    </row>
    <row r="281" spans="1:14" x14ac:dyDescent="0.45">
      <c r="A281" s="12"/>
      <c r="B281" s="12"/>
      <c r="C281" s="12"/>
      <c r="D281" s="12"/>
      <c r="E281" s="12"/>
      <c r="F281" s="12"/>
      <c r="G281" s="12"/>
      <c r="H281" s="12"/>
      <c r="I281" s="12"/>
      <c r="J281" s="12"/>
      <c r="K281" s="12"/>
      <c r="L281" s="12"/>
      <c r="N281" s="12"/>
    </row>
    <row r="282" spans="1:14" x14ac:dyDescent="0.45">
      <c r="A282" s="12"/>
      <c r="B282" s="12"/>
      <c r="C282" s="12"/>
      <c r="D282" s="12"/>
      <c r="E282" s="12"/>
      <c r="F282" s="12"/>
      <c r="G282" s="12"/>
      <c r="H282" s="12"/>
      <c r="I282" s="12"/>
      <c r="J282" s="12"/>
      <c r="K282" s="12"/>
      <c r="L282" s="12"/>
      <c r="N282" s="12"/>
    </row>
    <row r="283" spans="1:14" x14ac:dyDescent="0.45">
      <c r="A283" s="12"/>
      <c r="B283" s="12"/>
      <c r="C283" s="12"/>
      <c r="D283" s="12"/>
      <c r="E283" s="12"/>
      <c r="F283" s="12"/>
      <c r="G283" s="12"/>
      <c r="H283" s="12"/>
      <c r="I283" s="12"/>
      <c r="J283" s="12"/>
      <c r="K283" s="12"/>
      <c r="L283" s="12"/>
      <c r="N283" s="12"/>
    </row>
    <row r="284" spans="1:14" x14ac:dyDescent="0.45">
      <c r="A284" s="12"/>
      <c r="B284" s="12"/>
      <c r="C284" s="12"/>
      <c r="D284" s="12"/>
      <c r="E284" s="12"/>
      <c r="F284" s="12"/>
      <c r="G284" s="12"/>
      <c r="H284" s="12"/>
      <c r="I284" s="12"/>
      <c r="J284" s="12"/>
      <c r="K284" s="12"/>
      <c r="L284" s="12"/>
      <c r="N284" s="12"/>
    </row>
    <row r="285" spans="1:14" x14ac:dyDescent="0.45">
      <c r="A285" s="12"/>
      <c r="B285" s="12"/>
      <c r="C285" s="12"/>
      <c r="D285" s="12"/>
      <c r="E285" s="12"/>
      <c r="F285" s="12"/>
      <c r="G285" s="12"/>
      <c r="H285" s="12"/>
      <c r="I285" s="12"/>
      <c r="J285" s="12"/>
      <c r="K285" s="12"/>
      <c r="L285" s="12"/>
      <c r="N285" s="12"/>
    </row>
    <row r="286" spans="1:14" x14ac:dyDescent="0.45">
      <c r="A286" s="12"/>
      <c r="B286" s="12"/>
      <c r="C286" s="12"/>
      <c r="D286" s="12"/>
      <c r="E286" s="12"/>
      <c r="F286" s="12"/>
      <c r="G286" s="12"/>
      <c r="H286" s="12"/>
      <c r="I286" s="12"/>
      <c r="J286" s="12"/>
      <c r="K286" s="12"/>
      <c r="L286" s="12"/>
      <c r="N286" s="12"/>
    </row>
    <row r="287" spans="1:14" x14ac:dyDescent="0.45">
      <c r="A287" s="12"/>
      <c r="B287" s="12"/>
      <c r="C287" s="12"/>
      <c r="D287" s="12"/>
      <c r="E287" s="12"/>
      <c r="F287" s="12"/>
      <c r="G287" s="12"/>
      <c r="H287" s="12"/>
      <c r="I287" s="12"/>
      <c r="J287" s="12"/>
      <c r="K287" s="12"/>
      <c r="L287" s="12"/>
      <c r="N287" s="12"/>
    </row>
    <row r="288" spans="1:14" x14ac:dyDescent="0.45">
      <c r="A288" s="12"/>
      <c r="B288" s="12"/>
      <c r="C288" s="12"/>
      <c r="D288" s="12"/>
      <c r="E288" s="12"/>
      <c r="F288" s="12"/>
      <c r="G288" s="12"/>
      <c r="H288" s="12"/>
      <c r="I288" s="12"/>
      <c r="J288" s="12"/>
      <c r="K288" s="12"/>
      <c r="L288" s="12"/>
      <c r="N288" s="12"/>
    </row>
    <row r="289" spans="1:14" x14ac:dyDescent="0.45">
      <c r="A289" s="12"/>
      <c r="B289" s="12"/>
      <c r="C289" s="12"/>
      <c r="D289" s="12"/>
      <c r="E289" s="12"/>
      <c r="F289" s="12"/>
      <c r="G289" s="12"/>
      <c r="H289" s="12"/>
      <c r="I289" s="12"/>
      <c r="J289" s="12"/>
      <c r="K289" s="12"/>
      <c r="L289" s="12"/>
      <c r="N289" s="12"/>
    </row>
    <row r="290" spans="1:14" x14ac:dyDescent="0.45">
      <c r="A290" s="12"/>
      <c r="B290" s="12"/>
      <c r="C290" s="12"/>
      <c r="D290" s="12"/>
      <c r="E290" s="12"/>
      <c r="F290" s="12"/>
      <c r="G290" s="12"/>
      <c r="H290" s="12"/>
      <c r="I290" s="12"/>
      <c r="J290" s="12"/>
      <c r="K290" s="12"/>
      <c r="L290" s="12"/>
      <c r="N290" s="12"/>
    </row>
    <row r="291" spans="1:14" x14ac:dyDescent="0.45">
      <c r="A291" s="12"/>
      <c r="B291" s="12"/>
      <c r="C291" s="12"/>
      <c r="D291" s="12"/>
      <c r="E291" s="12"/>
      <c r="F291" s="12"/>
      <c r="G291" s="12"/>
      <c r="H291" s="12"/>
      <c r="I291" s="12"/>
      <c r="J291" s="12"/>
      <c r="K291" s="12"/>
      <c r="L291" s="12"/>
      <c r="N291" s="12"/>
    </row>
    <row r="292" spans="1:14" x14ac:dyDescent="0.45">
      <c r="A292" s="12"/>
      <c r="B292" s="12"/>
      <c r="C292" s="12"/>
      <c r="D292" s="12"/>
      <c r="E292" s="12"/>
      <c r="F292" s="12"/>
      <c r="G292" s="12"/>
      <c r="H292" s="12"/>
      <c r="I292" s="12"/>
      <c r="J292" s="12"/>
      <c r="K292" s="12"/>
      <c r="L292" s="12"/>
      <c r="N292" s="12"/>
    </row>
    <row r="293" spans="1:14" x14ac:dyDescent="0.45">
      <c r="A293" s="12"/>
      <c r="B293" s="12"/>
      <c r="C293" s="12"/>
      <c r="D293" s="12"/>
      <c r="E293" s="12"/>
      <c r="F293" s="12"/>
      <c r="G293" s="12"/>
      <c r="H293" s="12"/>
      <c r="I293" s="12"/>
      <c r="J293" s="12"/>
      <c r="K293" s="12"/>
      <c r="L293" s="12"/>
      <c r="N293" s="12"/>
    </row>
    <row r="294" spans="1:14" x14ac:dyDescent="0.45">
      <c r="A294" s="12"/>
      <c r="B294" s="12"/>
      <c r="C294" s="12"/>
      <c r="D294" s="12"/>
      <c r="E294" s="12"/>
      <c r="F294" s="12"/>
      <c r="G294" s="12"/>
      <c r="H294" s="12"/>
      <c r="I294" s="12"/>
      <c r="J294" s="12"/>
      <c r="K294" s="12"/>
      <c r="L294" s="12"/>
      <c r="N294" s="12"/>
    </row>
    <row r="295" spans="1:14" x14ac:dyDescent="0.45">
      <c r="A295" s="12"/>
      <c r="B295" s="12"/>
      <c r="C295" s="12"/>
      <c r="D295" s="12"/>
      <c r="E295" s="12"/>
      <c r="F295" s="12"/>
      <c r="G295" s="12"/>
      <c r="H295" s="12"/>
      <c r="I295" s="12"/>
      <c r="J295" s="12"/>
      <c r="K295" s="12"/>
      <c r="L295" s="12"/>
      <c r="N295" s="12"/>
    </row>
    <row r="296" spans="1:14" x14ac:dyDescent="0.45">
      <c r="A296" s="12"/>
      <c r="B296" s="12"/>
      <c r="C296" s="12"/>
      <c r="D296" s="12"/>
      <c r="E296" s="12"/>
      <c r="F296" s="12"/>
      <c r="G296" s="12"/>
      <c r="H296" s="12"/>
      <c r="I296" s="12"/>
      <c r="J296" s="12"/>
      <c r="K296" s="12"/>
      <c r="L296" s="12"/>
      <c r="N296" s="12"/>
    </row>
    <row r="297" spans="1:14" x14ac:dyDescent="0.45">
      <c r="A297" s="12"/>
      <c r="B297" s="12"/>
      <c r="C297" s="12"/>
      <c r="D297" s="12"/>
      <c r="E297" s="12"/>
      <c r="F297" s="12"/>
      <c r="G297" s="12"/>
      <c r="H297" s="12"/>
      <c r="I297" s="12"/>
      <c r="J297" s="12"/>
      <c r="K297" s="12"/>
      <c r="L297" s="12"/>
      <c r="N297" s="12"/>
    </row>
    <row r="298" spans="1:14" x14ac:dyDescent="0.45">
      <c r="A298" s="12"/>
      <c r="B298" s="12"/>
      <c r="C298" s="12"/>
      <c r="D298" s="12"/>
      <c r="E298" s="12"/>
      <c r="F298" s="12"/>
      <c r="G298" s="12"/>
      <c r="H298" s="12"/>
      <c r="I298" s="12"/>
      <c r="J298" s="12"/>
      <c r="K298" s="12"/>
      <c r="L298" s="12"/>
      <c r="N298" s="12"/>
    </row>
    <row r="299" spans="1:14" x14ac:dyDescent="0.45">
      <c r="A299" s="12"/>
      <c r="B299" s="12"/>
      <c r="C299" s="12"/>
      <c r="D299" s="12"/>
      <c r="E299" s="12"/>
      <c r="F299" s="12"/>
      <c r="G299" s="12"/>
      <c r="H299" s="12"/>
      <c r="I299" s="12"/>
      <c r="J299" s="12"/>
      <c r="K299" s="12"/>
      <c r="L299" s="12"/>
      <c r="N299" s="12"/>
    </row>
    <row r="300" spans="1:14" x14ac:dyDescent="0.45">
      <c r="A300" s="12"/>
      <c r="B300" s="12"/>
      <c r="C300" s="12"/>
      <c r="D300" s="12"/>
      <c r="E300" s="12"/>
      <c r="F300" s="12"/>
      <c r="G300" s="12"/>
      <c r="H300" s="12"/>
      <c r="I300" s="12"/>
      <c r="J300" s="12"/>
      <c r="K300" s="12"/>
      <c r="L300" s="12"/>
      <c r="N300" s="12"/>
    </row>
    <row r="301" spans="1:14" x14ac:dyDescent="0.45">
      <c r="A301" s="12"/>
      <c r="B301" s="12"/>
      <c r="C301" s="12"/>
      <c r="D301" s="12"/>
      <c r="E301" s="12"/>
      <c r="F301" s="12"/>
      <c r="G301" s="12"/>
      <c r="H301" s="12"/>
      <c r="I301" s="12"/>
      <c r="J301" s="12"/>
      <c r="K301" s="12"/>
      <c r="L301" s="12"/>
      <c r="N301" s="12"/>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B1:I763"/>
  <sheetViews>
    <sheetView showGridLines="0" workbookViewId="0"/>
  </sheetViews>
  <sheetFormatPr defaultRowHeight="14.25" x14ac:dyDescent="0.45"/>
  <cols>
    <col min="1" max="1" width="2" customWidth="1"/>
    <col min="2" max="2" width="30" customWidth="1"/>
    <col min="3" max="3" width="34" customWidth="1"/>
    <col min="4" max="4" width="18" customWidth="1"/>
    <col min="5" max="7" width="16" customWidth="1"/>
    <col min="8" max="8" width="3" customWidth="1"/>
    <col min="9" max="9" width="36" customWidth="1"/>
  </cols>
  <sheetData>
    <row r="1" spans="2:9" ht="24.4" x14ac:dyDescent="0.6">
      <c r="B1" s="20" t="s">
        <v>267</v>
      </c>
    </row>
    <row r="3" spans="2:9" ht="16.5" x14ac:dyDescent="0.45">
      <c r="B3" s="21" t="s">
        <v>268</v>
      </c>
    </row>
    <row r="4" spans="2:9" x14ac:dyDescent="0.45">
      <c r="B4" s="5" t="s">
        <v>269</v>
      </c>
      <c r="C4" s="22" t="s">
        <v>270</v>
      </c>
      <c r="D4" s="11" t="s">
        <v>271</v>
      </c>
    </row>
    <row r="6" spans="2:9" ht="30" customHeight="1" x14ac:dyDescent="0.45">
      <c r="B6" s="23" t="s">
        <v>272</v>
      </c>
      <c r="C6" s="62" t="s">
        <v>273</v>
      </c>
      <c r="D6" s="56"/>
      <c r="E6" s="56"/>
      <c r="F6" s="56"/>
      <c r="G6" s="56"/>
      <c r="H6" s="56"/>
      <c r="I6" s="56"/>
    </row>
    <row r="7" spans="2:9" ht="45" customHeight="1" x14ac:dyDescent="0.45">
      <c r="B7" s="23" t="s">
        <v>274</v>
      </c>
      <c r="C7" s="62" t="s">
        <v>275</v>
      </c>
      <c r="D7" s="56"/>
      <c r="E7" s="56"/>
      <c r="F7" s="56"/>
      <c r="G7" s="56"/>
      <c r="H7" s="56"/>
      <c r="I7" s="56"/>
    </row>
    <row r="8" spans="2:9" ht="45" customHeight="1" x14ac:dyDescent="0.45">
      <c r="B8" s="23" t="s">
        <v>276</v>
      </c>
      <c r="C8" s="62" t="s">
        <v>277</v>
      </c>
      <c r="D8" s="56"/>
      <c r="E8" s="56"/>
      <c r="F8" s="56"/>
      <c r="G8" s="56"/>
      <c r="H8" s="56"/>
      <c r="I8" s="56"/>
    </row>
    <row r="9" spans="2:9" ht="30" customHeight="1" x14ac:dyDescent="0.45">
      <c r="B9" s="23" t="s">
        <v>278</v>
      </c>
      <c r="C9" s="62" t="s">
        <v>279</v>
      </c>
      <c r="D9" s="56"/>
      <c r="E9" s="56"/>
      <c r="F9" s="56"/>
      <c r="G9" s="56"/>
      <c r="H9" s="56"/>
      <c r="I9" s="56"/>
    </row>
    <row r="10" spans="2:9" ht="30" customHeight="1" x14ac:dyDescent="0.45">
      <c r="B10" s="23" t="s">
        <v>280</v>
      </c>
      <c r="C10" s="62" t="s">
        <v>281</v>
      </c>
      <c r="D10" s="56"/>
      <c r="E10" s="56"/>
      <c r="F10" s="56"/>
      <c r="G10" s="56"/>
      <c r="H10" s="56"/>
      <c r="I10" s="56"/>
    </row>
    <row r="11" spans="2:9" ht="30" customHeight="1" x14ac:dyDescent="0.45">
      <c r="B11" s="23" t="s">
        <v>282</v>
      </c>
      <c r="C11" s="62" t="s">
        <v>283</v>
      </c>
      <c r="D11" s="56"/>
      <c r="E11" s="56"/>
      <c r="F11" s="56"/>
      <c r="G11" s="56"/>
      <c r="H11" s="56"/>
      <c r="I11" s="56"/>
    </row>
    <row r="12" spans="2:9" ht="30" customHeight="1" x14ac:dyDescent="0.45">
      <c r="B12" s="23" t="s">
        <v>284</v>
      </c>
      <c r="C12" s="62" t="s">
        <v>285</v>
      </c>
      <c r="D12" s="56"/>
      <c r="E12" s="56"/>
      <c r="F12" s="56"/>
      <c r="G12" s="56"/>
      <c r="H12" s="56"/>
      <c r="I12" s="56"/>
    </row>
    <row r="13" spans="2:9" ht="45" customHeight="1" x14ac:dyDescent="0.45">
      <c r="B13" s="23" t="s">
        <v>286</v>
      </c>
      <c r="C13" s="62" t="s">
        <v>287</v>
      </c>
      <c r="D13" s="56"/>
      <c r="E13" s="56"/>
      <c r="F13" s="56"/>
      <c r="G13" s="56"/>
      <c r="H13" s="56"/>
      <c r="I13" s="56"/>
    </row>
    <row r="15" spans="2:9" ht="16.5" x14ac:dyDescent="0.45">
      <c r="B15" s="21" t="s">
        <v>288</v>
      </c>
    </row>
    <row r="16" spans="2:9" ht="15.5" customHeight="1" x14ac:dyDescent="0.45">
      <c r="B16" s="24" t="s">
        <v>289</v>
      </c>
    </row>
    <row r="17" spans="2:7" ht="15.5" customHeight="1" x14ac:dyDescent="0.45">
      <c r="B17" s="62" t="s">
        <v>290</v>
      </c>
      <c r="C17" s="56"/>
      <c r="D17" s="56"/>
      <c r="E17" s="56"/>
      <c r="F17" s="56"/>
      <c r="G17" s="56"/>
    </row>
    <row r="18" spans="2:7" ht="15.5" customHeight="1" x14ac:dyDescent="0.45">
      <c r="B18" s="56"/>
      <c r="C18" s="56"/>
      <c r="D18" s="56"/>
      <c r="E18" s="56"/>
      <c r="F18" s="56"/>
      <c r="G18" s="56"/>
    </row>
    <row r="19" spans="2:7" ht="15.5" customHeight="1" x14ac:dyDescent="0.45">
      <c r="B19" s="56"/>
      <c r="C19" s="56"/>
      <c r="D19" s="56"/>
      <c r="E19" s="56"/>
      <c r="F19" s="56"/>
      <c r="G19" s="56"/>
    </row>
    <row r="20" spans="2:7" ht="15.5" customHeight="1" x14ac:dyDescent="0.45">
      <c r="B20" s="56"/>
      <c r="C20" s="56"/>
      <c r="D20" s="56"/>
      <c r="E20" s="56"/>
      <c r="F20" s="56"/>
      <c r="G20" s="56"/>
    </row>
    <row r="21" spans="2:7" ht="15.5" customHeight="1" x14ac:dyDescent="0.45">
      <c r="B21" s="56"/>
      <c r="C21" s="56"/>
      <c r="D21" s="56"/>
      <c r="E21" s="56"/>
      <c r="F21" s="56"/>
      <c r="G21" s="56"/>
    </row>
    <row r="22" spans="2:7" ht="15.5" customHeight="1" x14ac:dyDescent="0.45">
      <c r="B22" s="56"/>
      <c r="C22" s="56"/>
      <c r="D22" s="56"/>
      <c r="E22" s="56"/>
      <c r="F22" s="56"/>
      <c r="G22" s="56"/>
    </row>
    <row r="23" spans="2:7" ht="15.5" customHeight="1" x14ac:dyDescent="0.45">
      <c r="B23" s="56"/>
      <c r="C23" s="56"/>
      <c r="D23" s="56"/>
      <c r="E23" s="56"/>
      <c r="F23" s="56"/>
      <c r="G23" s="56"/>
    </row>
    <row r="24" spans="2:7" ht="15.5" customHeight="1" x14ac:dyDescent="0.45">
      <c r="B24" s="56"/>
      <c r="C24" s="56"/>
      <c r="D24" s="56"/>
      <c r="E24" s="56"/>
      <c r="F24" s="56"/>
      <c r="G24" s="56"/>
    </row>
    <row r="25" spans="2:7" ht="15.5" customHeight="1" x14ac:dyDescent="0.45">
      <c r="B25" s="56"/>
      <c r="C25" s="56"/>
      <c r="D25" s="56"/>
      <c r="E25" s="56"/>
      <c r="F25" s="56"/>
      <c r="G25" s="56"/>
    </row>
    <row r="26" spans="2:7" ht="15.5" customHeight="1" x14ac:dyDescent="0.45">
      <c r="B26" s="56"/>
      <c r="C26" s="56"/>
      <c r="D26" s="56"/>
      <c r="E26" s="56"/>
      <c r="F26" s="56"/>
      <c r="G26" s="56"/>
    </row>
    <row r="27" spans="2:7" ht="15.5" customHeight="1" x14ac:dyDescent="0.45"/>
    <row r="29" spans="2:7" ht="15.5" customHeight="1" x14ac:dyDescent="0.45">
      <c r="B29" s="24" t="s">
        <v>291</v>
      </c>
    </row>
    <row r="30" spans="2:7" ht="15.5" customHeight="1" x14ac:dyDescent="0.45">
      <c r="B30" s="62" t="s">
        <v>292</v>
      </c>
      <c r="C30" s="56"/>
      <c r="D30" s="56"/>
      <c r="E30" s="56"/>
      <c r="F30" s="56"/>
      <c r="G30" s="56"/>
    </row>
    <row r="31" spans="2:7" ht="15.5" customHeight="1" x14ac:dyDescent="0.45">
      <c r="B31" s="56"/>
      <c r="C31" s="56"/>
      <c r="D31" s="56"/>
      <c r="E31" s="56"/>
      <c r="F31" s="56"/>
      <c r="G31" s="56"/>
    </row>
    <row r="32" spans="2:7" ht="15.5" customHeight="1" x14ac:dyDescent="0.45">
      <c r="B32" s="56"/>
      <c r="C32" s="56"/>
      <c r="D32" s="56"/>
      <c r="E32" s="56"/>
      <c r="F32" s="56"/>
      <c r="G32" s="56"/>
    </row>
    <row r="33" spans="2:7" ht="15.5" customHeight="1" x14ac:dyDescent="0.45">
      <c r="B33" s="56"/>
      <c r="C33" s="56"/>
      <c r="D33" s="56"/>
      <c r="E33" s="56"/>
      <c r="F33" s="56"/>
      <c r="G33" s="56"/>
    </row>
    <row r="34" spans="2:7" ht="15.5" customHeight="1" x14ac:dyDescent="0.45">
      <c r="B34" s="56"/>
      <c r="C34" s="56"/>
      <c r="D34" s="56"/>
      <c r="E34" s="56"/>
      <c r="F34" s="56"/>
      <c r="G34" s="56"/>
    </row>
    <row r="35" spans="2:7" ht="15.5" customHeight="1" x14ac:dyDescent="0.45">
      <c r="B35" s="56"/>
      <c r="C35" s="56"/>
      <c r="D35" s="56"/>
      <c r="E35" s="56"/>
      <c r="F35" s="56"/>
      <c r="G35" s="56"/>
    </row>
    <row r="36" spans="2:7" ht="15.5" customHeight="1" x14ac:dyDescent="0.45">
      <c r="B36" s="56"/>
      <c r="C36" s="56"/>
      <c r="D36" s="56"/>
      <c r="E36" s="56"/>
      <c r="F36" s="56"/>
      <c r="G36" s="56"/>
    </row>
    <row r="37" spans="2:7" ht="15.5" customHeight="1" x14ac:dyDescent="0.45">
      <c r="B37" s="56"/>
      <c r="C37" s="56"/>
      <c r="D37" s="56"/>
      <c r="E37" s="56"/>
      <c r="F37" s="56"/>
      <c r="G37" s="56"/>
    </row>
    <row r="38" spans="2:7" ht="15.5" customHeight="1" x14ac:dyDescent="0.45">
      <c r="B38" s="56"/>
      <c r="C38" s="56"/>
      <c r="D38" s="56"/>
      <c r="E38" s="56"/>
      <c r="F38" s="56"/>
      <c r="G38" s="56"/>
    </row>
    <row r="39" spans="2:7" ht="15.5" customHeight="1" x14ac:dyDescent="0.45">
      <c r="B39" s="56"/>
      <c r="C39" s="56"/>
      <c r="D39" s="56"/>
      <c r="E39" s="56"/>
      <c r="F39" s="56"/>
      <c r="G39" s="56"/>
    </row>
    <row r="40" spans="2:7" ht="15.5" customHeight="1" x14ac:dyDescent="0.45"/>
    <row r="42" spans="2:7" ht="15.5" customHeight="1" x14ac:dyDescent="0.45">
      <c r="B42" s="24" t="s">
        <v>293</v>
      </c>
    </row>
    <row r="43" spans="2:7" ht="15.5" customHeight="1" x14ac:dyDescent="0.45">
      <c r="B43" s="62" t="s">
        <v>294</v>
      </c>
      <c r="C43" s="56"/>
      <c r="D43" s="56"/>
      <c r="E43" s="56"/>
      <c r="F43" s="56"/>
      <c r="G43" s="56"/>
    </row>
    <row r="44" spans="2:7" ht="15.5" customHeight="1" x14ac:dyDescent="0.45">
      <c r="B44" s="56"/>
      <c r="C44" s="56"/>
      <c r="D44" s="56"/>
      <c r="E44" s="56"/>
      <c r="F44" s="56"/>
      <c r="G44" s="56"/>
    </row>
    <row r="45" spans="2:7" ht="15.5" customHeight="1" x14ac:dyDescent="0.45">
      <c r="B45" s="56"/>
      <c r="C45" s="56"/>
      <c r="D45" s="56"/>
      <c r="E45" s="56"/>
      <c r="F45" s="56"/>
      <c r="G45" s="56"/>
    </row>
    <row r="46" spans="2:7" ht="15.5" customHeight="1" x14ac:dyDescent="0.45">
      <c r="B46" s="56"/>
      <c r="C46" s="56"/>
      <c r="D46" s="56"/>
      <c r="E46" s="56"/>
      <c r="F46" s="56"/>
      <c r="G46" s="56"/>
    </row>
    <row r="47" spans="2:7" ht="15.5" customHeight="1" x14ac:dyDescent="0.45">
      <c r="B47" s="56"/>
      <c r="C47" s="56"/>
      <c r="D47" s="56"/>
      <c r="E47" s="56"/>
      <c r="F47" s="56"/>
      <c r="G47" s="56"/>
    </row>
    <row r="48" spans="2:7" ht="15.5" customHeight="1" x14ac:dyDescent="0.45">
      <c r="B48" s="56"/>
      <c r="C48" s="56"/>
      <c r="D48" s="56"/>
      <c r="E48" s="56"/>
      <c r="F48" s="56"/>
      <c r="G48" s="56"/>
    </row>
    <row r="49" spans="2:7" ht="15.5" customHeight="1" x14ac:dyDescent="0.45">
      <c r="B49" s="56"/>
      <c r="C49" s="56"/>
      <c r="D49" s="56"/>
      <c r="E49" s="56"/>
      <c r="F49" s="56"/>
      <c r="G49" s="56"/>
    </row>
    <row r="50" spans="2:7" ht="15.5" customHeight="1" x14ac:dyDescent="0.45">
      <c r="B50" s="56"/>
      <c r="C50" s="56"/>
      <c r="D50" s="56"/>
      <c r="E50" s="56"/>
      <c r="F50" s="56"/>
      <c r="G50" s="56"/>
    </row>
    <row r="51" spans="2:7" ht="15.5" customHeight="1" x14ac:dyDescent="0.45">
      <c r="B51" s="56"/>
      <c r="C51" s="56"/>
      <c r="D51" s="56"/>
      <c r="E51" s="56"/>
      <c r="F51" s="56"/>
      <c r="G51" s="56"/>
    </row>
    <row r="52" spans="2:7" ht="15.5" customHeight="1" x14ac:dyDescent="0.45">
      <c r="B52" s="56"/>
      <c r="C52" s="56"/>
      <c r="D52" s="56"/>
      <c r="E52" s="56"/>
      <c r="F52" s="56"/>
      <c r="G52" s="56"/>
    </row>
    <row r="53" spans="2:7" ht="15.5" customHeight="1" x14ac:dyDescent="0.45"/>
    <row r="55" spans="2:7" ht="15.5" customHeight="1" x14ac:dyDescent="0.45">
      <c r="B55" s="24" t="s">
        <v>295</v>
      </c>
    </row>
    <row r="56" spans="2:7" ht="15.5" customHeight="1" x14ac:dyDescent="0.45">
      <c r="B56" s="62" t="s">
        <v>296</v>
      </c>
      <c r="C56" s="56"/>
      <c r="D56" s="56"/>
      <c r="E56" s="56"/>
      <c r="F56" s="56"/>
      <c r="G56" s="56"/>
    </row>
    <row r="57" spans="2:7" ht="15.5" customHeight="1" x14ac:dyDescent="0.45">
      <c r="B57" s="56"/>
      <c r="C57" s="56"/>
      <c r="D57" s="56"/>
      <c r="E57" s="56"/>
      <c r="F57" s="56"/>
      <c r="G57" s="56"/>
    </row>
    <row r="58" spans="2:7" ht="15.5" customHeight="1" x14ac:dyDescent="0.45">
      <c r="B58" s="56"/>
      <c r="C58" s="56"/>
      <c r="D58" s="56"/>
      <c r="E58" s="56"/>
      <c r="F58" s="56"/>
      <c r="G58" s="56"/>
    </row>
    <row r="59" spans="2:7" ht="15.5" customHeight="1" x14ac:dyDescent="0.45">
      <c r="B59" s="56"/>
      <c r="C59" s="56"/>
      <c r="D59" s="56"/>
      <c r="E59" s="56"/>
      <c r="F59" s="56"/>
      <c r="G59" s="56"/>
    </row>
    <row r="60" spans="2:7" ht="15.5" customHeight="1" x14ac:dyDescent="0.45">
      <c r="B60" s="56"/>
      <c r="C60" s="56"/>
      <c r="D60" s="56"/>
      <c r="E60" s="56"/>
      <c r="F60" s="56"/>
      <c r="G60" s="56"/>
    </row>
    <row r="61" spans="2:7" ht="15.5" customHeight="1" x14ac:dyDescent="0.45">
      <c r="B61" s="56"/>
      <c r="C61" s="56"/>
      <c r="D61" s="56"/>
      <c r="E61" s="56"/>
      <c r="F61" s="56"/>
      <c r="G61" s="56"/>
    </row>
    <row r="62" spans="2:7" ht="15.5" customHeight="1" x14ac:dyDescent="0.45">
      <c r="B62" s="56"/>
      <c r="C62" s="56"/>
      <c r="D62" s="56"/>
      <c r="E62" s="56"/>
      <c r="F62" s="56"/>
      <c r="G62" s="56"/>
    </row>
    <row r="63" spans="2:7" ht="15.5" customHeight="1" x14ac:dyDescent="0.45">
      <c r="B63" s="56"/>
      <c r="C63" s="56"/>
      <c r="D63" s="56"/>
      <c r="E63" s="56"/>
      <c r="F63" s="56"/>
      <c r="G63" s="56"/>
    </row>
    <row r="64" spans="2:7" ht="15.5" customHeight="1" x14ac:dyDescent="0.45">
      <c r="B64" s="56"/>
      <c r="C64" s="56"/>
      <c r="D64" s="56"/>
      <c r="E64" s="56"/>
      <c r="F64" s="56"/>
      <c r="G64" s="56"/>
    </row>
    <row r="65" spans="2:7" ht="15.5" customHeight="1" x14ac:dyDescent="0.45">
      <c r="B65" s="56"/>
      <c r="C65" s="56"/>
      <c r="D65" s="56"/>
      <c r="E65" s="56"/>
      <c r="F65" s="56"/>
      <c r="G65" s="56"/>
    </row>
    <row r="66" spans="2:7" ht="15.5" customHeight="1" x14ac:dyDescent="0.45"/>
    <row r="68" spans="2:7" ht="15.5" customHeight="1" x14ac:dyDescent="0.45">
      <c r="B68" s="24" t="s">
        <v>297</v>
      </c>
    </row>
    <row r="69" spans="2:7" ht="15.5" customHeight="1" x14ac:dyDescent="0.45">
      <c r="B69" s="62" t="s">
        <v>298</v>
      </c>
      <c r="C69" s="56"/>
      <c r="D69" s="56"/>
      <c r="E69" s="56"/>
      <c r="F69" s="56"/>
      <c r="G69" s="56"/>
    </row>
    <row r="70" spans="2:7" ht="15.5" customHeight="1" x14ac:dyDescent="0.45">
      <c r="B70" s="56"/>
      <c r="C70" s="56"/>
      <c r="D70" s="56"/>
      <c r="E70" s="56"/>
      <c r="F70" s="56"/>
      <c r="G70" s="56"/>
    </row>
    <row r="71" spans="2:7" ht="15.5" customHeight="1" x14ac:dyDescent="0.45">
      <c r="B71" s="56"/>
      <c r="C71" s="56"/>
      <c r="D71" s="56"/>
      <c r="E71" s="56"/>
      <c r="F71" s="56"/>
      <c r="G71" s="56"/>
    </row>
    <row r="72" spans="2:7" ht="15.5" customHeight="1" x14ac:dyDescent="0.45">
      <c r="B72" s="56"/>
      <c r="C72" s="56"/>
      <c r="D72" s="56"/>
      <c r="E72" s="56"/>
      <c r="F72" s="56"/>
      <c r="G72" s="56"/>
    </row>
    <row r="73" spans="2:7" ht="15.5" customHeight="1" x14ac:dyDescent="0.45">
      <c r="B73" s="56"/>
      <c r="C73" s="56"/>
      <c r="D73" s="56"/>
      <c r="E73" s="56"/>
      <c r="F73" s="56"/>
      <c r="G73" s="56"/>
    </row>
    <row r="74" spans="2:7" ht="15.5" customHeight="1" x14ac:dyDescent="0.45">
      <c r="B74" s="56"/>
      <c r="C74" s="56"/>
      <c r="D74" s="56"/>
      <c r="E74" s="56"/>
      <c r="F74" s="56"/>
      <c r="G74" s="56"/>
    </row>
    <row r="75" spans="2:7" ht="15.5" customHeight="1" x14ac:dyDescent="0.45">
      <c r="B75" s="56"/>
      <c r="C75" s="56"/>
      <c r="D75" s="56"/>
      <c r="E75" s="56"/>
      <c r="F75" s="56"/>
      <c r="G75" s="56"/>
    </row>
    <row r="76" spans="2:7" ht="15.5" customHeight="1" x14ac:dyDescent="0.45">
      <c r="B76" s="56"/>
      <c r="C76" s="56"/>
      <c r="D76" s="56"/>
      <c r="E76" s="56"/>
      <c r="F76" s="56"/>
      <c r="G76" s="56"/>
    </row>
    <row r="77" spans="2:7" ht="15.5" customHeight="1" x14ac:dyDescent="0.45">
      <c r="B77" s="56"/>
      <c r="C77" s="56"/>
      <c r="D77" s="56"/>
      <c r="E77" s="56"/>
      <c r="F77" s="56"/>
      <c r="G77" s="56"/>
    </row>
    <row r="78" spans="2:7" ht="15.5" customHeight="1" x14ac:dyDescent="0.45">
      <c r="B78" s="56"/>
      <c r="C78" s="56"/>
      <c r="D78" s="56"/>
      <c r="E78" s="56"/>
      <c r="F78" s="56"/>
      <c r="G78" s="56"/>
    </row>
    <row r="79" spans="2:7" ht="15.5" customHeight="1" x14ac:dyDescent="0.45"/>
    <row r="81" spans="2:7" ht="15.5" customHeight="1" x14ac:dyDescent="0.45">
      <c r="B81" s="24" t="s">
        <v>299</v>
      </c>
    </row>
    <row r="82" spans="2:7" ht="15.5" customHeight="1" x14ac:dyDescent="0.45">
      <c r="B82" s="62" t="s">
        <v>300</v>
      </c>
      <c r="C82" s="56"/>
      <c r="D82" s="56"/>
      <c r="E82" s="56"/>
      <c r="F82" s="56"/>
      <c r="G82" s="56"/>
    </row>
    <row r="83" spans="2:7" ht="15.5" customHeight="1" x14ac:dyDescent="0.45">
      <c r="B83" s="56"/>
      <c r="C83" s="56"/>
      <c r="D83" s="56"/>
      <c r="E83" s="56"/>
      <c r="F83" s="56"/>
      <c r="G83" s="56"/>
    </row>
    <row r="84" spans="2:7" ht="15.5" customHeight="1" x14ac:dyDescent="0.45">
      <c r="B84" s="56"/>
      <c r="C84" s="56"/>
      <c r="D84" s="56"/>
      <c r="E84" s="56"/>
      <c r="F84" s="56"/>
      <c r="G84" s="56"/>
    </row>
    <row r="85" spans="2:7" ht="15.5" customHeight="1" x14ac:dyDescent="0.45">
      <c r="B85" s="56"/>
      <c r="C85" s="56"/>
      <c r="D85" s="56"/>
      <c r="E85" s="56"/>
      <c r="F85" s="56"/>
      <c r="G85" s="56"/>
    </row>
    <row r="86" spans="2:7" ht="15.5" customHeight="1" x14ac:dyDescent="0.45">
      <c r="B86" s="56"/>
      <c r="C86" s="56"/>
      <c r="D86" s="56"/>
      <c r="E86" s="56"/>
      <c r="F86" s="56"/>
      <c r="G86" s="56"/>
    </row>
    <row r="87" spans="2:7" ht="15.5" customHeight="1" x14ac:dyDescent="0.45">
      <c r="B87" s="56"/>
      <c r="C87" s="56"/>
      <c r="D87" s="56"/>
      <c r="E87" s="56"/>
      <c r="F87" s="56"/>
      <c r="G87" s="56"/>
    </row>
    <row r="88" spans="2:7" ht="15.5" customHeight="1" x14ac:dyDescent="0.45">
      <c r="B88" s="56"/>
      <c r="C88" s="56"/>
      <c r="D88" s="56"/>
      <c r="E88" s="56"/>
      <c r="F88" s="56"/>
      <c r="G88" s="56"/>
    </row>
    <row r="89" spans="2:7" ht="15.5" customHeight="1" x14ac:dyDescent="0.45">
      <c r="B89" s="56"/>
      <c r="C89" s="56"/>
      <c r="D89" s="56"/>
      <c r="E89" s="56"/>
      <c r="F89" s="56"/>
      <c r="G89" s="56"/>
    </row>
    <row r="90" spans="2:7" ht="15.5" customHeight="1" x14ac:dyDescent="0.45">
      <c r="B90" s="56"/>
      <c r="C90" s="56"/>
      <c r="D90" s="56"/>
      <c r="E90" s="56"/>
      <c r="F90" s="56"/>
      <c r="G90" s="56"/>
    </row>
    <row r="91" spans="2:7" ht="15.5" customHeight="1" x14ac:dyDescent="0.45">
      <c r="B91" s="56"/>
      <c r="C91" s="56"/>
      <c r="D91" s="56"/>
      <c r="E91" s="56"/>
      <c r="F91" s="56"/>
      <c r="G91" s="56"/>
    </row>
    <row r="92" spans="2:7" ht="15.5" customHeight="1" x14ac:dyDescent="0.45"/>
    <row r="94" spans="2:7" ht="15.5" customHeight="1" x14ac:dyDescent="0.45">
      <c r="B94" s="24" t="s">
        <v>301</v>
      </c>
    </row>
    <row r="95" spans="2:7" ht="15.5" customHeight="1" x14ac:dyDescent="0.45">
      <c r="B95" s="62" t="s">
        <v>302</v>
      </c>
      <c r="C95" s="56"/>
      <c r="D95" s="56"/>
      <c r="E95" s="56"/>
      <c r="F95" s="56"/>
      <c r="G95" s="56"/>
    </row>
    <row r="96" spans="2:7" ht="15.5" customHeight="1" x14ac:dyDescent="0.45">
      <c r="B96" s="56"/>
      <c r="C96" s="56"/>
      <c r="D96" s="56"/>
      <c r="E96" s="56"/>
      <c r="F96" s="56"/>
      <c r="G96" s="56"/>
    </row>
    <row r="97" spans="2:7" ht="15.5" customHeight="1" x14ac:dyDescent="0.45">
      <c r="B97" s="56"/>
      <c r="C97" s="56"/>
      <c r="D97" s="56"/>
      <c r="E97" s="56"/>
      <c r="F97" s="56"/>
      <c r="G97" s="56"/>
    </row>
    <row r="98" spans="2:7" ht="15.5" customHeight="1" x14ac:dyDescent="0.45">
      <c r="B98" s="56"/>
      <c r="C98" s="56"/>
      <c r="D98" s="56"/>
      <c r="E98" s="56"/>
      <c r="F98" s="56"/>
      <c r="G98" s="56"/>
    </row>
    <row r="99" spans="2:7" ht="15.5" customHeight="1" x14ac:dyDescent="0.45">
      <c r="B99" s="56"/>
      <c r="C99" s="56"/>
      <c r="D99" s="56"/>
      <c r="E99" s="56"/>
      <c r="F99" s="56"/>
      <c r="G99" s="56"/>
    </row>
    <row r="100" spans="2:7" ht="15.5" customHeight="1" x14ac:dyDescent="0.45">
      <c r="B100" s="56"/>
      <c r="C100" s="56"/>
      <c r="D100" s="56"/>
      <c r="E100" s="56"/>
      <c r="F100" s="56"/>
      <c r="G100" s="56"/>
    </row>
    <row r="101" spans="2:7" ht="15.5" customHeight="1" x14ac:dyDescent="0.45">
      <c r="B101" s="56"/>
      <c r="C101" s="56"/>
      <c r="D101" s="56"/>
      <c r="E101" s="56"/>
      <c r="F101" s="56"/>
      <c r="G101" s="56"/>
    </row>
    <row r="102" spans="2:7" ht="15.5" customHeight="1" x14ac:dyDescent="0.45">
      <c r="B102" s="56"/>
      <c r="C102" s="56"/>
      <c r="D102" s="56"/>
      <c r="E102" s="56"/>
      <c r="F102" s="56"/>
      <c r="G102" s="56"/>
    </row>
    <row r="103" spans="2:7" ht="15.5" customHeight="1" x14ac:dyDescent="0.45">
      <c r="B103" s="56"/>
      <c r="C103" s="56"/>
      <c r="D103" s="56"/>
      <c r="E103" s="56"/>
      <c r="F103" s="56"/>
      <c r="G103" s="56"/>
    </row>
    <row r="104" spans="2:7" ht="15.5" customHeight="1" x14ac:dyDescent="0.45">
      <c r="B104" s="56"/>
      <c r="C104" s="56"/>
      <c r="D104" s="56"/>
      <c r="E104" s="56"/>
      <c r="F104" s="56"/>
      <c r="G104" s="56"/>
    </row>
    <row r="105" spans="2:7" ht="15.5" customHeight="1" x14ac:dyDescent="0.45"/>
    <row r="107" spans="2:7" ht="15.5" customHeight="1" x14ac:dyDescent="0.45">
      <c r="B107" s="24" t="s">
        <v>303</v>
      </c>
    </row>
    <row r="108" spans="2:7" ht="15.5" customHeight="1" x14ac:dyDescent="0.45">
      <c r="B108" s="62" t="s">
        <v>304</v>
      </c>
      <c r="C108" s="56"/>
      <c r="D108" s="56"/>
      <c r="E108" s="56"/>
      <c r="F108" s="56"/>
      <c r="G108" s="56"/>
    </row>
    <row r="109" spans="2:7" ht="15.5" customHeight="1" x14ac:dyDescent="0.45">
      <c r="B109" s="56"/>
      <c r="C109" s="56"/>
      <c r="D109" s="56"/>
      <c r="E109" s="56"/>
      <c r="F109" s="56"/>
      <c r="G109" s="56"/>
    </row>
    <row r="110" spans="2:7" ht="15.5" customHeight="1" x14ac:dyDescent="0.45">
      <c r="B110" s="56"/>
      <c r="C110" s="56"/>
      <c r="D110" s="56"/>
      <c r="E110" s="56"/>
      <c r="F110" s="56"/>
      <c r="G110" s="56"/>
    </row>
    <row r="111" spans="2:7" ht="15.5" customHeight="1" x14ac:dyDescent="0.45">
      <c r="B111" s="56"/>
      <c r="C111" s="56"/>
      <c r="D111" s="56"/>
      <c r="E111" s="56"/>
      <c r="F111" s="56"/>
      <c r="G111" s="56"/>
    </row>
    <row r="112" spans="2:7" ht="15.5" customHeight="1" x14ac:dyDescent="0.45">
      <c r="B112" s="56"/>
      <c r="C112" s="56"/>
      <c r="D112" s="56"/>
      <c r="E112" s="56"/>
      <c r="F112" s="56"/>
      <c r="G112" s="56"/>
    </row>
    <row r="113" spans="2:7" ht="15.5" customHeight="1" x14ac:dyDescent="0.45">
      <c r="B113" s="56"/>
      <c r="C113" s="56"/>
      <c r="D113" s="56"/>
      <c r="E113" s="56"/>
      <c r="F113" s="56"/>
      <c r="G113" s="56"/>
    </row>
    <row r="114" spans="2:7" ht="15.5" customHeight="1" x14ac:dyDescent="0.45">
      <c r="B114" s="56"/>
      <c r="C114" s="56"/>
      <c r="D114" s="56"/>
      <c r="E114" s="56"/>
      <c r="F114" s="56"/>
      <c r="G114" s="56"/>
    </row>
    <row r="115" spans="2:7" ht="15.5" customHeight="1" x14ac:dyDescent="0.45">
      <c r="B115" s="56"/>
      <c r="C115" s="56"/>
      <c r="D115" s="56"/>
      <c r="E115" s="56"/>
      <c r="F115" s="56"/>
      <c r="G115" s="56"/>
    </row>
    <row r="116" spans="2:7" ht="15.5" customHeight="1" x14ac:dyDescent="0.45">
      <c r="B116" s="56"/>
      <c r="C116" s="56"/>
      <c r="D116" s="56"/>
      <c r="E116" s="56"/>
      <c r="F116" s="56"/>
      <c r="G116" s="56"/>
    </row>
    <row r="117" spans="2:7" ht="15.5" customHeight="1" x14ac:dyDescent="0.45">
      <c r="B117" s="56"/>
      <c r="C117" s="56"/>
      <c r="D117" s="56"/>
      <c r="E117" s="56"/>
      <c r="F117" s="56"/>
      <c r="G117" s="56"/>
    </row>
    <row r="118" spans="2:7" ht="15.5" customHeight="1" x14ac:dyDescent="0.45"/>
    <row r="120" spans="2:7" ht="15.5" customHeight="1" x14ac:dyDescent="0.45">
      <c r="B120" s="24" t="s">
        <v>305</v>
      </c>
    </row>
    <row r="121" spans="2:7" ht="15.5" customHeight="1" x14ac:dyDescent="0.45">
      <c r="B121" s="62" t="s">
        <v>306</v>
      </c>
      <c r="C121" s="56"/>
      <c r="D121" s="56"/>
      <c r="E121" s="56"/>
      <c r="F121" s="56"/>
      <c r="G121" s="56"/>
    </row>
    <row r="122" spans="2:7" ht="15.5" customHeight="1" x14ac:dyDescent="0.45">
      <c r="B122" s="56"/>
      <c r="C122" s="56"/>
      <c r="D122" s="56"/>
      <c r="E122" s="56"/>
      <c r="F122" s="56"/>
      <c r="G122" s="56"/>
    </row>
    <row r="123" spans="2:7" ht="15.5" customHeight="1" x14ac:dyDescent="0.45">
      <c r="B123" s="56"/>
      <c r="C123" s="56"/>
      <c r="D123" s="56"/>
      <c r="E123" s="56"/>
      <c r="F123" s="56"/>
      <c r="G123" s="56"/>
    </row>
    <row r="124" spans="2:7" ht="15.5" customHeight="1" x14ac:dyDescent="0.45">
      <c r="B124" s="56"/>
      <c r="C124" s="56"/>
      <c r="D124" s="56"/>
      <c r="E124" s="56"/>
      <c r="F124" s="56"/>
      <c r="G124" s="56"/>
    </row>
    <row r="125" spans="2:7" ht="15.5" customHeight="1" x14ac:dyDescent="0.45">
      <c r="B125" s="56"/>
      <c r="C125" s="56"/>
      <c r="D125" s="56"/>
      <c r="E125" s="56"/>
      <c r="F125" s="56"/>
      <c r="G125" s="56"/>
    </row>
    <row r="126" spans="2:7" ht="15.5" customHeight="1" x14ac:dyDescent="0.45">
      <c r="B126" s="56"/>
      <c r="C126" s="56"/>
      <c r="D126" s="56"/>
      <c r="E126" s="56"/>
      <c r="F126" s="56"/>
      <c r="G126" s="56"/>
    </row>
    <row r="127" spans="2:7" ht="15.5" customHeight="1" x14ac:dyDescent="0.45">
      <c r="B127" s="56"/>
      <c r="C127" s="56"/>
      <c r="D127" s="56"/>
      <c r="E127" s="56"/>
      <c r="F127" s="56"/>
      <c r="G127" s="56"/>
    </row>
    <row r="128" spans="2:7" ht="15.5" customHeight="1" x14ac:dyDescent="0.45">
      <c r="B128" s="56"/>
      <c r="C128" s="56"/>
      <c r="D128" s="56"/>
      <c r="E128" s="56"/>
      <c r="F128" s="56"/>
      <c r="G128" s="56"/>
    </row>
    <row r="129" spans="2:7" ht="15.5" customHeight="1" x14ac:dyDescent="0.45">
      <c r="B129" s="56"/>
      <c r="C129" s="56"/>
      <c r="D129" s="56"/>
      <c r="E129" s="56"/>
      <c r="F129" s="56"/>
      <c r="G129" s="56"/>
    </row>
    <row r="130" spans="2:7" ht="15.5" customHeight="1" x14ac:dyDescent="0.45">
      <c r="B130" s="56"/>
      <c r="C130" s="56"/>
      <c r="D130" s="56"/>
      <c r="E130" s="56"/>
      <c r="F130" s="56"/>
      <c r="G130" s="56"/>
    </row>
    <row r="131" spans="2:7" ht="15.5" customHeight="1" x14ac:dyDescent="0.45"/>
    <row r="133" spans="2:7" ht="15.5" customHeight="1" x14ac:dyDescent="0.45">
      <c r="B133" s="24" t="s">
        <v>307</v>
      </c>
    </row>
    <row r="134" spans="2:7" ht="15.5" customHeight="1" x14ac:dyDescent="0.45">
      <c r="B134" s="62" t="s">
        <v>308</v>
      </c>
      <c r="C134" s="56"/>
      <c r="D134" s="56"/>
      <c r="E134" s="56"/>
      <c r="F134" s="56"/>
      <c r="G134" s="56"/>
    </row>
    <row r="135" spans="2:7" ht="15.5" customHeight="1" x14ac:dyDescent="0.45">
      <c r="B135" s="56"/>
      <c r="C135" s="56"/>
      <c r="D135" s="56"/>
      <c r="E135" s="56"/>
      <c r="F135" s="56"/>
      <c r="G135" s="56"/>
    </row>
    <row r="136" spans="2:7" ht="15.5" customHeight="1" x14ac:dyDescent="0.45">
      <c r="B136" s="56"/>
      <c r="C136" s="56"/>
      <c r="D136" s="56"/>
      <c r="E136" s="56"/>
      <c r="F136" s="56"/>
      <c r="G136" s="56"/>
    </row>
    <row r="137" spans="2:7" ht="15.5" customHeight="1" x14ac:dyDescent="0.45">
      <c r="B137" s="56"/>
      <c r="C137" s="56"/>
      <c r="D137" s="56"/>
      <c r="E137" s="56"/>
      <c r="F137" s="56"/>
      <c r="G137" s="56"/>
    </row>
    <row r="138" spans="2:7" ht="15.5" customHeight="1" x14ac:dyDescent="0.45">
      <c r="B138" s="56"/>
      <c r="C138" s="56"/>
      <c r="D138" s="56"/>
      <c r="E138" s="56"/>
      <c r="F138" s="56"/>
      <c r="G138" s="56"/>
    </row>
    <row r="139" spans="2:7" ht="15.5" customHeight="1" x14ac:dyDescent="0.45">
      <c r="B139" s="56"/>
      <c r="C139" s="56"/>
      <c r="D139" s="56"/>
      <c r="E139" s="56"/>
      <c r="F139" s="56"/>
      <c r="G139" s="56"/>
    </row>
    <row r="140" spans="2:7" ht="15.5" customHeight="1" x14ac:dyDescent="0.45">
      <c r="B140" s="56"/>
      <c r="C140" s="56"/>
      <c r="D140" s="56"/>
      <c r="E140" s="56"/>
      <c r="F140" s="56"/>
      <c r="G140" s="56"/>
    </row>
    <row r="141" spans="2:7" ht="15.5" customHeight="1" x14ac:dyDescent="0.45">
      <c r="B141" s="56"/>
      <c r="C141" s="56"/>
      <c r="D141" s="56"/>
      <c r="E141" s="56"/>
      <c r="F141" s="56"/>
      <c r="G141" s="56"/>
    </row>
    <row r="142" spans="2:7" ht="15.5" customHeight="1" x14ac:dyDescent="0.45">
      <c r="B142" s="56"/>
      <c r="C142" s="56"/>
      <c r="D142" s="56"/>
      <c r="E142" s="56"/>
      <c r="F142" s="56"/>
      <c r="G142" s="56"/>
    </row>
    <row r="143" spans="2:7" ht="15.5" customHeight="1" x14ac:dyDescent="0.45">
      <c r="B143" s="56"/>
      <c r="C143" s="56"/>
      <c r="D143" s="56"/>
      <c r="E143" s="56"/>
      <c r="F143" s="56"/>
      <c r="G143" s="56"/>
    </row>
    <row r="144" spans="2:7" ht="15.5" customHeight="1" x14ac:dyDescent="0.45"/>
    <row r="146" spans="2:7" ht="15.5" customHeight="1" x14ac:dyDescent="0.45">
      <c r="B146" s="24" t="s">
        <v>309</v>
      </c>
    </row>
    <row r="147" spans="2:7" ht="15.5" customHeight="1" x14ac:dyDescent="0.45">
      <c r="B147" s="62" t="s">
        <v>310</v>
      </c>
      <c r="C147" s="56"/>
      <c r="D147" s="56"/>
      <c r="E147" s="56"/>
      <c r="F147" s="56"/>
      <c r="G147" s="56"/>
    </row>
    <row r="148" spans="2:7" ht="15.5" customHeight="1" x14ac:dyDescent="0.45">
      <c r="B148" s="56"/>
      <c r="C148" s="56"/>
      <c r="D148" s="56"/>
      <c r="E148" s="56"/>
      <c r="F148" s="56"/>
      <c r="G148" s="56"/>
    </row>
    <row r="149" spans="2:7" ht="15.5" customHeight="1" x14ac:dyDescent="0.45">
      <c r="B149" s="56"/>
      <c r="C149" s="56"/>
      <c r="D149" s="56"/>
      <c r="E149" s="56"/>
      <c r="F149" s="56"/>
      <c r="G149" s="56"/>
    </row>
    <row r="150" spans="2:7" ht="15.5" customHeight="1" x14ac:dyDescent="0.45">
      <c r="B150" s="56"/>
      <c r="C150" s="56"/>
      <c r="D150" s="56"/>
      <c r="E150" s="56"/>
      <c r="F150" s="56"/>
      <c r="G150" s="56"/>
    </row>
    <row r="151" spans="2:7" ht="15.5" customHeight="1" x14ac:dyDescent="0.45">
      <c r="B151" s="56"/>
      <c r="C151" s="56"/>
      <c r="D151" s="56"/>
      <c r="E151" s="56"/>
      <c r="F151" s="56"/>
      <c r="G151" s="56"/>
    </row>
    <row r="152" spans="2:7" ht="15.5" customHeight="1" x14ac:dyDescent="0.45">
      <c r="B152" s="56"/>
      <c r="C152" s="56"/>
      <c r="D152" s="56"/>
      <c r="E152" s="56"/>
      <c r="F152" s="56"/>
      <c r="G152" s="56"/>
    </row>
    <row r="153" spans="2:7" ht="15.5" customHeight="1" x14ac:dyDescent="0.45">
      <c r="B153" s="56"/>
      <c r="C153" s="56"/>
      <c r="D153" s="56"/>
      <c r="E153" s="56"/>
      <c r="F153" s="56"/>
      <c r="G153" s="56"/>
    </row>
    <row r="154" spans="2:7" ht="15.5" customHeight="1" x14ac:dyDescent="0.45">
      <c r="B154" s="56"/>
      <c r="C154" s="56"/>
      <c r="D154" s="56"/>
      <c r="E154" s="56"/>
      <c r="F154" s="56"/>
      <c r="G154" s="56"/>
    </row>
    <row r="155" spans="2:7" ht="15.5" customHeight="1" x14ac:dyDescent="0.45">
      <c r="B155" s="56"/>
      <c r="C155" s="56"/>
      <c r="D155" s="56"/>
      <c r="E155" s="56"/>
      <c r="F155" s="56"/>
      <c r="G155" s="56"/>
    </row>
    <row r="156" spans="2:7" ht="15.5" customHeight="1" x14ac:dyDescent="0.45">
      <c r="B156" s="56"/>
      <c r="C156" s="56"/>
      <c r="D156" s="56"/>
      <c r="E156" s="56"/>
      <c r="F156" s="56"/>
      <c r="G156" s="56"/>
    </row>
    <row r="157" spans="2:7" ht="15.5" customHeight="1" x14ac:dyDescent="0.45"/>
    <row r="159" spans="2:7" ht="15.5" customHeight="1" x14ac:dyDescent="0.45">
      <c r="B159" s="24" t="s">
        <v>311</v>
      </c>
    </row>
    <row r="160" spans="2:7" ht="15.5" customHeight="1" x14ac:dyDescent="0.45">
      <c r="B160" s="62" t="s">
        <v>312</v>
      </c>
      <c r="C160" s="56"/>
      <c r="D160" s="56"/>
      <c r="E160" s="56"/>
      <c r="F160" s="56"/>
      <c r="G160" s="56"/>
    </row>
    <row r="161" spans="2:7" ht="15.5" customHeight="1" x14ac:dyDescent="0.45">
      <c r="B161" s="56"/>
      <c r="C161" s="56"/>
      <c r="D161" s="56"/>
      <c r="E161" s="56"/>
      <c r="F161" s="56"/>
      <c r="G161" s="56"/>
    </row>
    <row r="162" spans="2:7" ht="15.5" customHeight="1" x14ac:dyDescent="0.45">
      <c r="B162" s="56"/>
      <c r="C162" s="56"/>
      <c r="D162" s="56"/>
      <c r="E162" s="56"/>
      <c r="F162" s="56"/>
      <c r="G162" s="56"/>
    </row>
    <row r="163" spans="2:7" ht="15.5" customHeight="1" x14ac:dyDescent="0.45">
      <c r="B163" s="56"/>
      <c r="C163" s="56"/>
      <c r="D163" s="56"/>
      <c r="E163" s="56"/>
      <c r="F163" s="56"/>
      <c r="G163" s="56"/>
    </row>
    <row r="164" spans="2:7" ht="15.5" customHeight="1" x14ac:dyDescent="0.45">
      <c r="B164" s="56"/>
      <c r="C164" s="56"/>
      <c r="D164" s="56"/>
      <c r="E164" s="56"/>
      <c r="F164" s="56"/>
      <c r="G164" s="56"/>
    </row>
    <row r="165" spans="2:7" ht="15.5" customHeight="1" x14ac:dyDescent="0.45">
      <c r="B165" s="56"/>
      <c r="C165" s="56"/>
      <c r="D165" s="56"/>
      <c r="E165" s="56"/>
      <c r="F165" s="56"/>
      <c r="G165" s="56"/>
    </row>
    <row r="166" spans="2:7" ht="15.5" customHeight="1" x14ac:dyDescent="0.45">
      <c r="B166" s="56"/>
      <c r="C166" s="56"/>
      <c r="D166" s="56"/>
      <c r="E166" s="56"/>
      <c r="F166" s="56"/>
      <c r="G166" s="56"/>
    </row>
    <row r="167" spans="2:7" ht="15.5" customHeight="1" x14ac:dyDescent="0.45">
      <c r="B167" s="56"/>
      <c r="C167" s="56"/>
      <c r="D167" s="56"/>
      <c r="E167" s="56"/>
      <c r="F167" s="56"/>
      <c r="G167" s="56"/>
    </row>
    <row r="168" spans="2:7" ht="15.5" customHeight="1" x14ac:dyDescent="0.45">
      <c r="B168" s="56"/>
      <c r="C168" s="56"/>
      <c r="D168" s="56"/>
      <c r="E168" s="56"/>
      <c r="F168" s="56"/>
      <c r="G168" s="56"/>
    </row>
    <row r="169" spans="2:7" ht="15.5" customHeight="1" x14ac:dyDescent="0.45">
      <c r="B169" s="56"/>
      <c r="C169" s="56"/>
      <c r="D169" s="56"/>
      <c r="E169" s="56"/>
      <c r="F169" s="56"/>
      <c r="G169" s="56"/>
    </row>
    <row r="170" spans="2:7" ht="15.5" customHeight="1" x14ac:dyDescent="0.45"/>
    <row r="172" spans="2:7" ht="15.5" customHeight="1" x14ac:dyDescent="0.45">
      <c r="B172" s="24" t="s">
        <v>313</v>
      </c>
    </row>
    <row r="173" spans="2:7" ht="15.5" customHeight="1" x14ac:dyDescent="0.45">
      <c r="B173" s="62" t="s">
        <v>314</v>
      </c>
      <c r="C173" s="56"/>
      <c r="D173" s="56"/>
      <c r="E173" s="56"/>
      <c r="F173" s="56"/>
      <c r="G173" s="56"/>
    </row>
    <row r="174" spans="2:7" ht="15.5" customHeight="1" x14ac:dyDescent="0.45">
      <c r="B174" s="56"/>
      <c r="C174" s="56"/>
      <c r="D174" s="56"/>
      <c r="E174" s="56"/>
      <c r="F174" s="56"/>
      <c r="G174" s="56"/>
    </row>
    <row r="175" spans="2:7" ht="15.5" customHeight="1" x14ac:dyDescent="0.45">
      <c r="B175" s="56"/>
      <c r="C175" s="56"/>
      <c r="D175" s="56"/>
      <c r="E175" s="56"/>
      <c r="F175" s="56"/>
      <c r="G175" s="56"/>
    </row>
    <row r="176" spans="2:7" ht="15.5" customHeight="1" x14ac:dyDescent="0.45">
      <c r="B176" s="56"/>
      <c r="C176" s="56"/>
      <c r="D176" s="56"/>
      <c r="E176" s="56"/>
      <c r="F176" s="56"/>
      <c r="G176" s="56"/>
    </row>
    <row r="177" spans="2:7" ht="15.5" customHeight="1" x14ac:dyDescent="0.45">
      <c r="B177" s="56"/>
      <c r="C177" s="56"/>
      <c r="D177" s="56"/>
      <c r="E177" s="56"/>
      <c r="F177" s="56"/>
      <c r="G177" s="56"/>
    </row>
    <row r="178" spans="2:7" ht="15.5" customHeight="1" x14ac:dyDescent="0.45">
      <c r="B178" s="56"/>
      <c r="C178" s="56"/>
      <c r="D178" s="56"/>
      <c r="E178" s="56"/>
      <c r="F178" s="56"/>
      <c r="G178" s="56"/>
    </row>
    <row r="179" spans="2:7" ht="15.5" customHeight="1" x14ac:dyDescent="0.45">
      <c r="B179" s="56"/>
      <c r="C179" s="56"/>
      <c r="D179" s="56"/>
      <c r="E179" s="56"/>
      <c r="F179" s="56"/>
      <c r="G179" s="56"/>
    </row>
    <row r="180" spans="2:7" ht="15.5" customHeight="1" x14ac:dyDescent="0.45">
      <c r="B180" s="56"/>
      <c r="C180" s="56"/>
      <c r="D180" s="56"/>
      <c r="E180" s="56"/>
      <c r="F180" s="56"/>
      <c r="G180" s="56"/>
    </row>
    <row r="181" spans="2:7" ht="15.5" customHeight="1" x14ac:dyDescent="0.45">
      <c r="B181" s="56"/>
      <c r="C181" s="56"/>
      <c r="D181" s="56"/>
      <c r="E181" s="56"/>
      <c r="F181" s="56"/>
      <c r="G181" s="56"/>
    </row>
    <row r="182" spans="2:7" ht="15.5" customHeight="1" x14ac:dyDescent="0.45">
      <c r="B182" s="56"/>
      <c r="C182" s="56"/>
      <c r="D182" s="56"/>
      <c r="E182" s="56"/>
      <c r="F182" s="56"/>
      <c r="G182" s="56"/>
    </row>
    <row r="183" spans="2:7" ht="15.5" customHeight="1" x14ac:dyDescent="0.45"/>
    <row r="185" spans="2:7" ht="15.5" customHeight="1" x14ac:dyDescent="0.45">
      <c r="B185" s="24" t="s">
        <v>315</v>
      </c>
    </row>
    <row r="186" spans="2:7" ht="15.5" customHeight="1" x14ac:dyDescent="0.45">
      <c r="B186" s="62" t="s">
        <v>316</v>
      </c>
      <c r="C186" s="56"/>
      <c r="D186" s="56"/>
      <c r="E186" s="56"/>
      <c r="F186" s="56"/>
      <c r="G186" s="56"/>
    </row>
    <row r="187" spans="2:7" ht="15.5" customHeight="1" x14ac:dyDescent="0.45">
      <c r="B187" s="56"/>
      <c r="C187" s="56"/>
      <c r="D187" s="56"/>
      <c r="E187" s="56"/>
      <c r="F187" s="56"/>
      <c r="G187" s="56"/>
    </row>
    <row r="188" spans="2:7" ht="15.5" customHeight="1" x14ac:dyDescent="0.45">
      <c r="B188" s="56"/>
      <c r="C188" s="56"/>
      <c r="D188" s="56"/>
      <c r="E188" s="56"/>
      <c r="F188" s="56"/>
      <c r="G188" s="56"/>
    </row>
    <row r="189" spans="2:7" ht="15.5" customHeight="1" x14ac:dyDescent="0.45">
      <c r="B189" s="56"/>
      <c r="C189" s="56"/>
      <c r="D189" s="56"/>
      <c r="E189" s="56"/>
      <c r="F189" s="56"/>
      <c r="G189" s="56"/>
    </row>
    <row r="190" spans="2:7" ht="15.5" customHeight="1" x14ac:dyDescent="0.45">
      <c r="B190" s="56"/>
      <c r="C190" s="56"/>
      <c r="D190" s="56"/>
      <c r="E190" s="56"/>
      <c r="F190" s="56"/>
      <c r="G190" s="56"/>
    </row>
    <row r="191" spans="2:7" ht="15.5" customHeight="1" x14ac:dyDescent="0.45">
      <c r="B191" s="56"/>
      <c r="C191" s="56"/>
      <c r="D191" s="56"/>
      <c r="E191" s="56"/>
      <c r="F191" s="56"/>
      <c r="G191" s="56"/>
    </row>
    <row r="192" spans="2:7" ht="15.5" customHeight="1" x14ac:dyDescent="0.45">
      <c r="B192" s="56"/>
      <c r="C192" s="56"/>
      <c r="D192" s="56"/>
      <c r="E192" s="56"/>
      <c r="F192" s="56"/>
      <c r="G192" s="56"/>
    </row>
    <row r="193" spans="2:7" ht="15.5" customHeight="1" x14ac:dyDescent="0.45">
      <c r="B193" s="56"/>
      <c r="C193" s="56"/>
      <c r="D193" s="56"/>
      <c r="E193" s="56"/>
      <c r="F193" s="56"/>
      <c r="G193" s="56"/>
    </row>
    <row r="194" spans="2:7" ht="15.5" customHeight="1" x14ac:dyDescent="0.45">
      <c r="B194" s="56"/>
      <c r="C194" s="56"/>
      <c r="D194" s="56"/>
      <c r="E194" s="56"/>
      <c r="F194" s="56"/>
      <c r="G194" s="56"/>
    </row>
    <row r="195" spans="2:7" ht="15.5" customHeight="1" x14ac:dyDescent="0.45">
      <c r="B195" s="56"/>
      <c r="C195" s="56"/>
      <c r="D195" s="56"/>
      <c r="E195" s="56"/>
      <c r="F195" s="56"/>
      <c r="G195" s="56"/>
    </row>
    <row r="196" spans="2:7" ht="15.5" customHeight="1" x14ac:dyDescent="0.45"/>
    <row r="198" spans="2:7" ht="15.5" customHeight="1" x14ac:dyDescent="0.45">
      <c r="B198" s="24" t="s">
        <v>317</v>
      </c>
    </row>
    <row r="199" spans="2:7" ht="15.5" customHeight="1" x14ac:dyDescent="0.45">
      <c r="B199" s="62" t="s">
        <v>318</v>
      </c>
      <c r="C199" s="56"/>
      <c r="D199" s="56"/>
      <c r="E199" s="56"/>
      <c r="F199" s="56"/>
      <c r="G199" s="56"/>
    </row>
    <row r="200" spans="2:7" ht="15.5" customHeight="1" x14ac:dyDescent="0.45">
      <c r="B200" s="56"/>
      <c r="C200" s="56"/>
      <c r="D200" s="56"/>
      <c r="E200" s="56"/>
      <c r="F200" s="56"/>
      <c r="G200" s="56"/>
    </row>
    <row r="201" spans="2:7" ht="15.5" customHeight="1" x14ac:dyDescent="0.45">
      <c r="B201" s="56"/>
      <c r="C201" s="56"/>
      <c r="D201" s="56"/>
      <c r="E201" s="56"/>
      <c r="F201" s="56"/>
      <c r="G201" s="56"/>
    </row>
    <row r="202" spans="2:7" ht="15.5" customHeight="1" x14ac:dyDescent="0.45">
      <c r="B202" s="56"/>
      <c r="C202" s="56"/>
      <c r="D202" s="56"/>
      <c r="E202" s="56"/>
      <c r="F202" s="56"/>
      <c r="G202" s="56"/>
    </row>
    <row r="203" spans="2:7" ht="15.5" customHeight="1" x14ac:dyDescent="0.45">
      <c r="B203" s="56"/>
      <c r="C203" s="56"/>
      <c r="D203" s="56"/>
      <c r="E203" s="56"/>
      <c r="F203" s="56"/>
      <c r="G203" s="56"/>
    </row>
    <row r="204" spans="2:7" ht="15.5" customHeight="1" x14ac:dyDescent="0.45">
      <c r="B204" s="56"/>
      <c r="C204" s="56"/>
      <c r="D204" s="56"/>
      <c r="E204" s="56"/>
      <c r="F204" s="56"/>
      <c r="G204" s="56"/>
    </row>
    <row r="205" spans="2:7" ht="15.5" customHeight="1" x14ac:dyDescent="0.45">
      <c r="B205" s="56"/>
      <c r="C205" s="56"/>
      <c r="D205" s="56"/>
      <c r="E205" s="56"/>
      <c r="F205" s="56"/>
      <c r="G205" s="56"/>
    </row>
    <row r="206" spans="2:7" ht="15.5" customHeight="1" x14ac:dyDescent="0.45">
      <c r="B206" s="56"/>
      <c r="C206" s="56"/>
      <c r="D206" s="56"/>
      <c r="E206" s="56"/>
      <c r="F206" s="56"/>
      <c r="G206" s="56"/>
    </row>
    <row r="207" spans="2:7" ht="15.5" customHeight="1" x14ac:dyDescent="0.45">
      <c r="B207" s="56"/>
      <c r="C207" s="56"/>
      <c r="D207" s="56"/>
      <c r="E207" s="56"/>
      <c r="F207" s="56"/>
      <c r="G207" s="56"/>
    </row>
    <row r="208" spans="2:7" ht="15.5" customHeight="1" x14ac:dyDescent="0.45">
      <c r="B208" s="56"/>
      <c r="C208" s="56"/>
      <c r="D208" s="56"/>
      <c r="E208" s="56"/>
      <c r="F208" s="56"/>
      <c r="G208" s="56"/>
    </row>
    <row r="209" spans="2:7" ht="15.5" customHeight="1" x14ac:dyDescent="0.45"/>
    <row r="211" spans="2:7" ht="15.5" customHeight="1" x14ac:dyDescent="0.45">
      <c r="B211" s="24" t="s">
        <v>319</v>
      </c>
    </row>
    <row r="212" spans="2:7" ht="15.5" customHeight="1" x14ac:dyDescent="0.45">
      <c r="B212" s="62" t="s">
        <v>320</v>
      </c>
      <c r="C212" s="56"/>
      <c r="D212" s="56"/>
      <c r="E212" s="56"/>
      <c r="F212" s="56"/>
      <c r="G212" s="56"/>
    </row>
    <row r="213" spans="2:7" ht="15.5" customHeight="1" x14ac:dyDescent="0.45">
      <c r="B213" s="56"/>
      <c r="C213" s="56"/>
      <c r="D213" s="56"/>
      <c r="E213" s="56"/>
      <c r="F213" s="56"/>
      <c r="G213" s="56"/>
    </row>
    <row r="214" spans="2:7" ht="15.5" customHeight="1" x14ac:dyDescent="0.45">
      <c r="B214" s="56"/>
      <c r="C214" s="56"/>
      <c r="D214" s="56"/>
      <c r="E214" s="56"/>
      <c r="F214" s="56"/>
      <c r="G214" s="56"/>
    </row>
    <row r="215" spans="2:7" ht="15.5" customHeight="1" x14ac:dyDescent="0.45">
      <c r="B215" s="56"/>
      <c r="C215" s="56"/>
      <c r="D215" s="56"/>
      <c r="E215" s="56"/>
      <c r="F215" s="56"/>
      <c r="G215" s="56"/>
    </row>
    <row r="216" spans="2:7" ht="15.5" customHeight="1" x14ac:dyDescent="0.45">
      <c r="B216" s="56"/>
      <c r="C216" s="56"/>
      <c r="D216" s="56"/>
      <c r="E216" s="56"/>
      <c r="F216" s="56"/>
      <c r="G216" s="56"/>
    </row>
    <row r="217" spans="2:7" ht="15.5" customHeight="1" x14ac:dyDescent="0.45">
      <c r="B217" s="56"/>
      <c r="C217" s="56"/>
      <c r="D217" s="56"/>
      <c r="E217" s="56"/>
      <c r="F217" s="56"/>
      <c r="G217" s="56"/>
    </row>
    <row r="218" spans="2:7" ht="15.5" customHeight="1" x14ac:dyDescent="0.45">
      <c r="B218" s="56"/>
      <c r="C218" s="56"/>
      <c r="D218" s="56"/>
      <c r="E218" s="56"/>
      <c r="F218" s="56"/>
      <c r="G218" s="56"/>
    </row>
    <row r="219" spans="2:7" ht="15.5" customHeight="1" x14ac:dyDescent="0.45">
      <c r="B219" s="56"/>
      <c r="C219" s="56"/>
      <c r="D219" s="56"/>
      <c r="E219" s="56"/>
      <c r="F219" s="56"/>
      <c r="G219" s="56"/>
    </row>
    <row r="220" spans="2:7" ht="15.5" customHeight="1" x14ac:dyDescent="0.45">
      <c r="B220" s="56"/>
      <c r="C220" s="56"/>
      <c r="D220" s="56"/>
      <c r="E220" s="56"/>
      <c r="F220" s="56"/>
      <c r="G220" s="56"/>
    </row>
    <row r="221" spans="2:7" ht="15.5" customHeight="1" x14ac:dyDescent="0.45">
      <c r="B221" s="56"/>
      <c r="C221" s="56"/>
      <c r="D221" s="56"/>
      <c r="E221" s="56"/>
      <c r="F221" s="56"/>
      <c r="G221" s="56"/>
    </row>
    <row r="222" spans="2:7" ht="15.5" customHeight="1" x14ac:dyDescent="0.45"/>
    <row r="224" spans="2:7" ht="15.5" customHeight="1" x14ac:dyDescent="0.45">
      <c r="B224" s="24" t="s">
        <v>321</v>
      </c>
    </row>
    <row r="225" spans="2:7" ht="15.5" customHeight="1" x14ac:dyDescent="0.45">
      <c r="B225" s="62" t="s">
        <v>322</v>
      </c>
      <c r="C225" s="56"/>
      <c r="D225" s="56"/>
      <c r="E225" s="56"/>
      <c r="F225" s="56"/>
      <c r="G225" s="56"/>
    </row>
    <row r="226" spans="2:7" ht="15.5" customHeight="1" x14ac:dyDescent="0.45">
      <c r="B226" s="56"/>
      <c r="C226" s="56"/>
      <c r="D226" s="56"/>
      <c r="E226" s="56"/>
      <c r="F226" s="56"/>
      <c r="G226" s="56"/>
    </row>
    <row r="227" spans="2:7" ht="15.5" customHeight="1" x14ac:dyDescent="0.45">
      <c r="B227" s="56"/>
      <c r="C227" s="56"/>
      <c r="D227" s="56"/>
      <c r="E227" s="56"/>
      <c r="F227" s="56"/>
      <c r="G227" s="56"/>
    </row>
    <row r="228" spans="2:7" ht="15.5" customHeight="1" x14ac:dyDescent="0.45">
      <c r="B228" s="56"/>
      <c r="C228" s="56"/>
      <c r="D228" s="56"/>
      <c r="E228" s="56"/>
      <c r="F228" s="56"/>
      <c r="G228" s="56"/>
    </row>
    <row r="229" spans="2:7" ht="15.5" customHeight="1" x14ac:dyDescent="0.45">
      <c r="B229" s="56"/>
      <c r="C229" s="56"/>
      <c r="D229" s="56"/>
      <c r="E229" s="56"/>
      <c r="F229" s="56"/>
      <c r="G229" s="56"/>
    </row>
    <row r="230" spans="2:7" ht="15.5" customHeight="1" x14ac:dyDescent="0.45">
      <c r="B230" s="56"/>
      <c r="C230" s="56"/>
      <c r="D230" s="56"/>
      <c r="E230" s="56"/>
      <c r="F230" s="56"/>
      <c r="G230" s="56"/>
    </row>
    <row r="231" spans="2:7" ht="15.5" customHeight="1" x14ac:dyDescent="0.45">
      <c r="B231" s="56"/>
      <c r="C231" s="56"/>
      <c r="D231" s="56"/>
      <c r="E231" s="56"/>
      <c r="F231" s="56"/>
      <c r="G231" s="56"/>
    </row>
    <row r="232" spans="2:7" ht="15.5" customHeight="1" x14ac:dyDescent="0.45">
      <c r="B232" s="56"/>
      <c r="C232" s="56"/>
      <c r="D232" s="56"/>
      <c r="E232" s="56"/>
      <c r="F232" s="56"/>
      <c r="G232" s="56"/>
    </row>
    <row r="233" spans="2:7" ht="15.5" customHeight="1" x14ac:dyDescent="0.45">
      <c r="B233" s="56"/>
      <c r="C233" s="56"/>
      <c r="D233" s="56"/>
      <c r="E233" s="56"/>
      <c r="F233" s="56"/>
      <c r="G233" s="56"/>
    </row>
    <row r="234" spans="2:7" ht="15.5" customHeight="1" x14ac:dyDescent="0.45">
      <c r="B234" s="56"/>
      <c r="C234" s="56"/>
      <c r="D234" s="56"/>
      <c r="E234" s="56"/>
      <c r="F234" s="56"/>
      <c r="G234" s="56"/>
    </row>
    <row r="235" spans="2:7" ht="15.5" customHeight="1" x14ac:dyDescent="0.45"/>
    <row r="237" spans="2:7" ht="15.5" customHeight="1" x14ac:dyDescent="0.45">
      <c r="B237" s="24" t="s">
        <v>323</v>
      </c>
    </row>
    <row r="238" spans="2:7" ht="15.5" customHeight="1" x14ac:dyDescent="0.45">
      <c r="B238" s="62" t="s">
        <v>324</v>
      </c>
      <c r="C238" s="56"/>
      <c r="D238" s="56"/>
      <c r="E238" s="56"/>
      <c r="F238" s="56"/>
      <c r="G238" s="56"/>
    </row>
    <row r="239" spans="2:7" ht="15.5" customHeight="1" x14ac:dyDescent="0.45">
      <c r="B239" s="56"/>
      <c r="C239" s="56"/>
      <c r="D239" s="56"/>
      <c r="E239" s="56"/>
      <c r="F239" s="56"/>
      <c r="G239" s="56"/>
    </row>
    <row r="240" spans="2:7" ht="15.5" customHeight="1" x14ac:dyDescent="0.45">
      <c r="B240" s="56"/>
      <c r="C240" s="56"/>
      <c r="D240" s="56"/>
      <c r="E240" s="56"/>
      <c r="F240" s="56"/>
      <c r="G240" s="56"/>
    </row>
    <row r="241" spans="2:7" ht="15.5" customHeight="1" x14ac:dyDescent="0.45">
      <c r="B241" s="56"/>
      <c r="C241" s="56"/>
      <c r="D241" s="56"/>
      <c r="E241" s="56"/>
      <c r="F241" s="56"/>
      <c r="G241" s="56"/>
    </row>
    <row r="242" spans="2:7" ht="15.5" customHeight="1" x14ac:dyDescent="0.45">
      <c r="B242" s="56"/>
      <c r="C242" s="56"/>
      <c r="D242" s="56"/>
      <c r="E242" s="56"/>
      <c r="F242" s="56"/>
      <c r="G242" s="56"/>
    </row>
    <row r="243" spans="2:7" ht="15.5" customHeight="1" x14ac:dyDescent="0.45">
      <c r="B243" s="56"/>
      <c r="C243" s="56"/>
      <c r="D243" s="56"/>
      <c r="E243" s="56"/>
      <c r="F243" s="56"/>
      <c r="G243" s="56"/>
    </row>
    <row r="244" spans="2:7" ht="15.5" customHeight="1" x14ac:dyDescent="0.45">
      <c r="B244" s="56"/>
      <c r="C244" s="56"/>
      <c r="D244" s="56"/>
      <c r="E244" s="56"/>
      <c r="F244" s="56"/>
      <c r="G244" s="56"/>
    </row>
    <row r="245" spans="2:7" ht="15.5" customHeight="1" x14ac:dyDescent="0.45">
      <c r="B245" s="56"/>
      <c r="C245" s="56"/>
      <c r="D245" s="56"/>
      <c r="E245" s="56"/>
      <c r="F245" s="56"/>
      <c r="G245" s="56"/>
    </row>
    <row r="246" spans="2:7" ht="15.5" customHeight="1" x14ac:dyDescent="0.45">
      <c r="B246" s="56"/>
      <c r="C246" s="56"/>
      <c r="D246" s="56"/>
      <c r="E246" s="56"/>
      <c r="F246" s="56"/>
      <c r="G246" s="56"/>
    </row>
    <row r="247" spans="2:7" ht="15.5" customHeight="1" x14ac:dyDescent="0.45">
      <c r="B247" s="56"/>
      <c r="C247" s="56"/>
      <c r="D247" s="56"/>
      <c r="E247" s="56"/>
      <c r="F247" s="56"/>
      <c r="G247" s="56"/>
    </row>
    <row r="248" spans="2:7" ht="15.5" customHeight="1" x14ac:dyDescent="0.45"/>
    <row r="250" spans="2:7" ht="15.5" customHeight="1" x14ac:dyDescent="0.45">
      <c r="B250" s="24" t="s">
        <v>325</v>
      </c>
    </row>
    <row r="251" spans="2:7" ht="15.5" customHeight="1" x14ac:dyDescent="0.45">
      <c r="B251" s="62" t="s">
        <v>326</v>
      </c>
      <c r="C251" s="56"/>
      <c r="D251" s="56"/>
      <c r="E251" s="56"/>
      <c r="F251" s="56"/>
      <c r="G251" s="56"/>
    </row>
    <row r="252" spans="2:7" ht="15.5" customHeight="1" x14ac:dyDescent="0.45">
      <c r="B252" s="56"/>
      <c r="C252" s="56"/>
      <c r="D252" s="56"/>
      <c r="E252" s="56"/>
      <c r="F252" s="56"/>
      <c r="G252" s="56"/>
    </row>
    <row r="253" spans="2:7" ht="15.5" customHeight="1" x14ac:dyDescent="0.45">
      <c r="B253" s="56"/>
      <c r="C253" s="56"/>
      <c r="D253" s="56"/>
      <c r="E253" s="56"/>
      <c r="F253" s="56"/>
      <c r="G253" s="56"/>
    </row>
    <row r="254" spans="2:7" ht="15.5" customHeight="1" x14ac:dyDescent="0.45">
      <c r="B254" s="56"/>
      <c r="C254" s="56"/>
      <c r="D254" s="56"/>
      <c r="E254" s="56"/>
      <c r="F254" s="56"/>
      <c r="G254" s="56"/>
    </row>
    <row r="255" spans="2:7" ht="15.5" customHeight="1" x14ac:dyDescent="0.45">
      <c r="B255" s="56"/>
      <c r="C255" s="56"/>
      <c r="D255" s="56"/>
      <c r="E255" s="56"/>
      <c r="F255" s="56"/>
      <c r="G255" s="56"/>
    </row>
    <row r="256" spans="2:7" ht="15.5" customHeight="1" x14ac:dyDescent="0.45">
      <c r="B256" s="56"/>
      <c r="C256" s="56"/>
      <c r="D256" s="56"/>
      <c r="E256" s="56"/>
      <c r="F256" s="56"/>
      <c r="G256" s="56"/>
    </row>
    <row r="257" spans="2:7" ht="15.5" customHeight="1" x14ac:dyDescent="0.45">
      <c r="B257" s="56"/>
      <c r="C257" s="56"/>
      <c r="D257" s="56"/>
      <c r="E257" s="56"/>
      <c r="F257" s="56"/>
      <c r="G257" s="56"/>
    </row>
    <row r="258" spans="2:7" ht="15.5" customHeight="1" x14ac:dyDescent="0.45">
      <c r="B258" s="56"/>
      <c r="C258" s="56"/>
      <c r="D258" s="56"/>
      <c r="E258" s="56"/>
      <c r="F258" s="56"/>
      <c r="G258" s="56"/>
    </row>
    <row r="259" spans="2:7" ht="15.5" customHeight="1" x14ac:dyDescent="0.45">
      <c r="B259" s="56"/>
      <c r="C259" s="56"/>
      <c r="D259" s="56"/>
      <c r="E259" s="56"/>
      <c r="F259" s="56"/>
      <c r="G259" s="56"/>
    </row>
    <row r="260" spans="2:7" ht="15.5" customHeight="1" x14ac:dyDescent="0.45">
      <c r="B260" s="56"/>
      <c r="C260" s="56"/>
      <c r="D260" s="56"/>
      <c r="E260" s="56"/>
      <c r="F260" s="56"/>
      <c r="G260" s="56"/>
    </row>
    <row r="261" spans="2:7" ht="15.5" customHeight="1" x14ac:dyDescent="0.45"/>
    <row r="264" spans="2:7" ht="16.5" x14ac:dyDescent="0.45">
      <c r="B264" s="21" t="s">
        <v>327</v>
      </c>
    </row>
    <row r="265" spans="2:7" ht="42" customHeight="1" x14ac:dyDescent="0.45">
      <c r="B265" s="25" t="s">
        <v>328</v>
      </c>
      <c r="C265" s="63" t="s">
        <v>329</v>
      </c>
      <c r="D265" s="56"/>
      <c r="E265" s="56"/>
      <c r="F265" s="56"/>
      <c r="G265" s="56"/>
    </row>
    <row r="266" spans="2:7" x14ac:dyDescent="0.45">
      <c r="B266" s="26" t="s">
        <v>35</v>
      </c>
      <c r="C266" s="26" t="s">
        <v>330</v>
      </c>
      <c r="D266" s="26" t="s">
        <v>331</v>
      </c>
      <c r="E266" s="26" t="s">
        <v>70</v>
      </c>
      <c r="F266" s="26" t="s">
        <v>74</v>
      </c>
      <c r="G266" s="26" t="s">
        <v>332</v>
      </c>
    </row>
    <row r="267" spans="2:7" x14ac:dyDescent="0.45">
      <c r="B267" s="27">
        <v>1</v>
      </c>
      <c r="C267" s="27" t="s">
        <v>333</v>
      </c>
      <c r="D267" s="27" t="s">
        <v>334</v>
      </c>
      <c r="E267" s="27">
        <v>18</v>
      </c>
      <c r="F267" s="27" t="s">
        <v>335</v>
      </c>
      <c r="G267" s="27" t="s">
        <v>336</v>
      </c>
    </row>
    <row r="268" spans="2:7" x14ac:dyDescent="0.45">
      <c r="B268" s="27">
        <v>2</v>
      </c>
      <c r="C268" s="27" t="s">
        <v>337</v>
      </c>
      <c r="D268" s="27" t="s">
        <v>334</v>
      </c>
      <c r="E268" s="27">
        <v>30</v>
      </c>
      <c r="F268" s="27" t="s">
        <v>335</v>
      </c>
      <c r="G268" s="27" t="s">
        <v>336</v>
      </c>
    </row>
    <row r="269" spans="2:7" x14ac:dyDescent="0.45">
      <c r="B269" s="27">
        <v>3</v>
      </c>
      <c r="C269" s="27" t="s">
        <v>338</v>
      </c>
      <c r="D269" s="27" t="s">
        <v>339</v>
      </c>
      <c r="E269" s="27">
        <v>30</v>
      </c>
      <c r="F269" s="27" t="s">
        <v>335</v>
      </c>
      <c r="G269" s="27" t="s">
        <v>336</v>
      </c>
    </row>
    <row r="270" spans="2:7" x14ac:dyDescent="0.45">
      <c r="B270" s="27">
        <v>4</v>
      </c>
      <c r="C270" s="27" t="s">
        <v>340</v>
      </c>
      <c r="D270" s="27" t="s">
        <v>339</v>
      </c>
      <c r="E270" s="27">
        <v>42</v>
      </c>
      <c r="F270" s="27" t="s">
        <v>335</v>
      </c>
      <c r="G270" s="27" t="s">
        <v>336</v>
      </c>
    </row>
    <row r="271" spans="2:7" x14ac:dyDescent="0.45">
      <c r="B271" s="27">
        <v>5</v>
      </c>
      <c r="C271" s="27" t="s">
        <v>341</v>
      </c>
      <c r="D271" s="27" t="s">
        <v>339</v>
      </c>
      <c r="E271" s="27">
        <v>54</v>
      </c>
      <c r="F271" s="27" t="s">
        <v>335</v>
      </c>
      <c r="G271" s="27" t="s">
        <v>336</v>
      </c>
    </row>
    <row r="272" spans="2:7" x14ac:dyDescent="0.45">
      <c r="B272" s="27">
        <v>6</v>
      </c>
      <c r="C272" s="27" t="s">
        <v>342</v>
      </c>
      <c r="D272" s="27" t="s">
        <v>339</v>
      </c>
      <c r="E272" s="27">
        <v>72</v>
      </c>
      <c r="F272" s="27" t="s">
        <v>335</v>
      </c>
      <c r="G272" s="27" t="s">
        <v>336</v>
      </c>
    </row>
    <row r="273" spans="2:7" x14ac:dyDescent="0.45">
      <c r="B273" s="27">
        <v>7</v>
      </c>
      <c r="C273" s="27" t="s">
        <v>343</v>
      </c>
      <c r="D273" s="27" t="s">
        <v>339</v>
      </c>
      <c r="E273" s="27">
        <v>84</v>
      </c>
      <c r="F273" s="27" t="s">
        <v>335</v>
      </c>
      <c r="G273" s="27" t="s">
        <v>336</v>
      </c>
    </row>
    <row r="274" spans="2:7" x14ac:dyDescent="0.45">
      <c r="B274" s="27">
        <v>8</v>
      </c>
      <c r="C274" s="27" t="s">
        <v>344</v>
      </c>
      <c r="D274" s="27" t="s">
        <v>345</v>
      </c>
      <c r="E274" s="27">
        <v>30</v>
      </c>
      <c r="F274" s="27" t="s">
        <v>335</v>
      </c>
      <c r="G274" s="27" t="s">
        <v>336</v>
      </c>
    </row>
    <row r="275" spans="2:7" x14ac:dyDescent="0.45">
      <c r="B275" s="27">
        <v>9</v>
      </c>
      <c r="C275" s="27" t="s">
        <v>346</v>
      </c>
      <c r="D275" s="27" t="s">
        <v>345</v>
      </c>
      <c r="E275" s="27">
        <v>42</v>
      </c>
      <c r="F275" s="27" t="s">
        <v>335</v>
      </c>
      <c r="G275" s="27" t="s">
        <v>336</v>
      </c>
    </row>
    <row r="276" spans="2:7" x14ac:dyDescent="0.45">
      <c r="B276" s="27">
        <v>10</v>
      </c>
      <c r="C276" s="27" t="s">
        <v>347</v>
      </c>
      <c r="D276" s="27" t="s">
        <v>345</v>
      </c>
      <c r="E276" s="27">
        <v>54</v>
      </c>
      <c r="F276" s="27" t="s">
        <v>335</v>
      </c>
      <c r="G276" s="27" t="s">
        <v>336</v>
      </c>
    </row>
    <row r="277" spans="2:7" x14ac:dyDescent="0.45">
      <c r="B277" s="27">
        <v>11</v>
      </c>
      <c r="C277" s="27" t="s">
        <v>348</v>
      </c>
      <c r="D277" s="27" t="s">
        <v>345</v>
      </c>
      <c r="E277" s="27">
        <v>72</v>
      </c>
      <c r="F277" s="27" t="s">
        <v>335</v>
      </c>
      <c r="G277" s="27" t="s">
        <v>336</v>
      </c>
    </row>
    <row r="278" spans="2:7" x14ac:dyDescent="0.45">
      <c r="B278" s="27">
        <v>12</v>
      </c>
      <c r="C278" s="27" t="s">
        <v>349</v>
      </c>
      <c r="D278" s="27" t="s">
        <v>345</v>
      </c>
      <c r="E278" s="27">
        <v>84</v>
      </c>
      <c r="F278" s="27" t="s">
        <v>335</v>
      </c>
      <c r="G278" s="27" t="s">
        <v>336</v>
      </c>
    </row>
    <row r="279" spans="2:7" x14ac:dyDescent="0.45">
      <c r="B279" s="27">
        <v>13</v>
      </c>
      <c r="C279" s="27" t="s">
        <v>350</v>
      </c>
      <c r="D279" s="27" t="s">
        <v>351</v>
      </c>
      <c r="E279" s="27">
        <v>30</v>
      </c>
      <c r="F279" s="27" t="s">
        <v>335</v>
      </c>
      <c r="G279" s="27" t="s">
        <v>336</v>
      </c>
    </row>
    <row r="280" spans="2:7" x14ac:dyDescent="0.45">
      <c r="B280" s="27">
        <v>14</v>
      </c>
      <c r="C280" s="27" t="s">
        <v>352</v>
      </c>
      <c r="D280" s="27" t="s">
        <v>351</v>
      </c>
      <c r="E280" s="27">
        <v>42</v>
      </c>
      <c r="F280" s="27" t="s">
        <v>335</v>
      </c>
      <c r="G280" s="27" t="s">
        <v>336</v>
      </c>
    </row>
    <row r="281" spans="2:7" x14ac:dyDescent="0.45">
      <c r="B281" s="27">
        <v>15</v>
      </c>
      <c r="C281" s="27" t="s">
        <v>353</v>
      </c>
      <c r="D281" s="27" t="s">
        <v>351</v>
      </c>
      <c r="E281" s="27">
        <v>54</v>
      </c>
      <c r="F281" s="27" t="s">
        <v>335</v>
      </c>
      <c r="G281" s="27" t="s">
        <v>336</v>
      </c>
    </row>
    <row r="282" spans="2:7" x14ac:dyDescent="0.45">
      <c r="B282" s="27">
        <v>16</v>
      </c>
      <c r="C282" s="27" t="s">
        <v>354</v>
      </c>
      <c r="D282" s="27" t="s">
        <v>351</v>
      </c>
      <c r="E282" s="27">
        <v>84</v>
      </c>
      <c r="F282" s="27" t="s">
        <v>335</v>
      </c>
      <c r="G282" s="27" t="s">
        <v>336</v>
      </c>
    </row>
    <row r="283" spans="2:7" x14ac:dyDescent="0.45">
      <c r="B283" s="27">
        <v>58</v>
      </c>
      <c r="C283" s="27" t="s">
        <v>355</v>
      </c>
      <c r="D283" s="27" t="s">
        <v>334</v>
      </c>
      <c r="E283" s="27">
        <v>18</v>
      </c>
      <c r="F283" s="27" t="s">
        <v>356</v>
      </c>
      <c r="G283" s="27" t="s">
        <v>336</v>
      </c>
    </row>
    <row r="284" spans="2:7" x14ac:dyDescent="0.45">
      <c r="B284" s="27">
        <v>59</v>
      </c>
      <c r="C284" s="27" t="s">
        <v>357</v>
      </c>
      <c r="D284" s="27" t="s">
        <v>334</v>
      </c>
      <c r="E284" s="27">
        <v>30</v>
      </c>
      <c r="F284" s="27" t="s">
        <v>356</v>
      </c>
      <c r="G284" s="27" t="s">
        <v>336</v>
      </c>
    </row>
    <row r="285" spans="2:7" x14ac:dyDescent="0.45">
      <c r="B285" s="27">
        <v>60</v>
      </c>
      <c r="C285" s="27" t="s">
        <v>358</v>
      </c>
      <c r="D285" s="27" t="s">
        <v>339</v>
      </c>
      <c r="E285" s="27">
        <v>30</v>
      </c>
      <c r="F285" s="27" t="s">
        <v>356</v>
      </c>
      <c r="G285" s="27" t="s">
        <v>336</v>
      </c>
    </row>
    <row r="286" spans="2:7" x14ac:dyDescent="0.45">
      <c r="B286" s="27">
        <v>61</v>
      </c>
      <c r="C286" s="27" t="s">
        <v>359</v>
      </c>
      <c r="D286" s="27" t="s">
        <v>339</v>
      </c>
      <c r="E286" s="27">
        <v>42</v>
      </c>
      <c r="F286" s="27" t="s">
        <v>335</v>
      </c>
      <c r="G286" s="27" t="s">
        <v>336</v>
      </c>
    </row>
    <row r="287" spans="2:7" x14ac:dyDescent="0.45">
      <c r="B287" s="27">
        <v>62</v>
      </c>
      <c r="C287" s="27" t="s">
        <v>360</v>
      </c>
      <c r="D287" s="27" t="s">
        <v>339</v>
      </c>
      <c r="E287" s="27">
        <v>72</v>
      </c>
      <c r="F287" s="27" t="s">
        <v>356</v>
      </c>
      <c r="G287" s="27" t="s">
        <v>336</v>
      </c>
    </row>
    <row r="288" spans="2:7" x14ac:dyDescent="0.45">
      <c r="B288" s="27">
        <v>63</v>
      </c>
      <c r="C288" s="27" t="s">
        <v>361</v>
      </c>
      <c r="D288" s="27" t="s">
        <v>339</v>
      </c>
      <c r="E288" s="27">
        <v>84</v>
      </c>
      <c r="F288" s="27" t="s">
        <v>356</v>
      </c>
      <c r="G288" s="27" t="s">
        <v>336</v>
      </c>
    </row>
    <row r="289" spans="2:7" x14ac:dyDescent="0.45">
      <c r="B289" s="27">
        <v>64</v>
      </c>
      <c r="C289" s="27" t="s">
        <v>362</v>
      </c>
      <c r="D289" s="27" t="s">
        <v>345</v>
      </c>
      <c r="E289" s="27">
        <v>30</v>
      </c>
      <c r="F289" s="27" t="s">
        <v>356</v>
      </c>
      <c r="G289" s="27" t="s">
        <v>336</v>
      </c>
    </row>
    <row r="290" spans="2:7" x14ac:dyDescent="0.45">
      <c r="B290" s="27">
        <v>65</v>
      </c>
      <c r="C290" s="27" t="s">
        <v>363</v>
      </c>
      <c r="D290" s="27" t="s">
        <v>345</v>
      </c>
      <c r="E290" s="27">
        <v>42</v>
      </c>
      <c r="F290" s="27" t="s">
        <v>335</v>
      </c>
      <c r="G290" s="27" t="s">
        <v>336</v>
      </c>
    </row>
    <row r="291" spans="2:7" x14ac:dyDescent="0.45">
      <c r="B291" s="27">
        <v>66</v>
      </c>
      <c r="C291" s="27" t="s">
        <v>364</v>
      </c>
      <c r="D291" s="27" t="s">
        <v>345</v>
      </c>
      <c r="E291" s="27">
        <v>54</v>
      </c>
      <c r="F291" s="27" t="s">
        <v>356</v>
      </c>
      <c r="G291" s="27" t="s">
        <v>336</v>
      </c>
    </row>
    <row r="292" spans="2:7" x14ac:dyDescent="0.45">
      <c r="B292" s="27">
        <v>67</v>
      </c>
      <c r="C292" s="27" t="s">
        <v>365</v>
      </c>
      <c r="D292" s="27" t="s">
        <v>345</v>
      </c>
      <c r="E292" s="27">
        <v>84</v>
      </c>
      <c r="F292" s="27" t="s">
        <v>356</v>
      </c>
      <c r="G292" s="27" t="s">
        <v>336</v>
      </c>
    </row>
    <row r="293" spans="2:7" x14ac:dyDescent="0.45">
      <c r="B293" s="27">
        <v>68</v>
      </c>
      <c r="C293" s="27" t="s">
        <v>366</v>
      </c>
      <c r="D293" s="27" t="s">
        <v>351</v>
      </c>
      <c r="E293" s="27">
        <v>30</v>
      </c>
      <c r="F293" s="27" t="s">
        <v>356</v>
      </c>
      <c r="G293" s="27" t="s">
        <v>336</v>
      </c>
    </row>
    <row r="294" spans="2:7" x14ac:dyDescent="0.45">
      <c r="B294" s="27">
        <v>69</v>
      </c>
      <c r="C294" s="27" t="s">
        <v>367</v>
      </c>
      <c r="D294" s="27" t="s">
        <v>351</v>
      </c>
      <c r="E294" s="27">
        <v>42</v>
      </c>
      <c r="F294" s="27" t="s">
        <v>335</v>
      </c>
      <c r="G294" s="27" t="s">
        <v>336</v>
      </c>
    </row>
    <row r="295" spans="2:7" x14ac:dyDescent="0.45">
      <c r="B295" s="27">
        <v>70</v>
      </c>
      <c r="C295" s="27" t="s">
        <v>368</v>
      </c>
      <c r="D295" s="27" t="s">
        <v>351</v>
      </c>
      <c r="E295" s="27">
        <v>54</v>
      </c>
      <c r="F295" s="27" t="s">
        <v>356</v>
      </c>
      <c r="G295" s="27" t="s">
        <v>336</v>
      </c>
    </row>
    <row r="296" spans="2:7" x14ac:dyDescent="0.45">
      <c r="B296" s="27">
        <v>71</v>
      </c>
      <c r="C296" s="27" t="s">
        <v>369</v>
      </c>
      <c r="D296" s="27" t="s">
        <v>351</v>
      </c>
      <c r="E296" s="27">
        <v>84</v>
      </c>
      <c r="F296" s="27" t="s">
        <v>356</v>
      </c>
      <c r="G296" s="27" t="s">
        <v>336</v>
      </c>
    </row>
    <row r="298" spans="2:7" ht="42" customHeight="1" x14ac:dyDescent="0.45">
      <c r="B298" s="25" t="s">
        <v>370</v>
      </c>
      <c r="C298" s="63" t="s">
        <v>371</v>
      </c>
      <c r="D298" s="56"/>
      <c r="E298" s="56"/>
      <c r="F298" s="56"/>
      <c r="G298" s="56"/>
    </row>
    <row r="299" spans="2:7" x14ac:dyDescent="0.45">
      <c r="B299" s="26" t="s">
        <v>35</v>
      </c>
      <c r="C299" s="26" t="s">
        <v>330</v>
      </c>
      <c r="D299" s="26" t="s">
        <v>331</v>
      </c>
      <c r="E299" s="26" t="s">
        <v>70</v>
      </c>
      <c r="F299" s="26" t="s">
        <v>74</v>
      </c>
      <c r="G299" s="26" t="s">
        <v>332</v>
      </c>
    </row>
    <row r="300" spans="2:7" x14ac:dyDescent="0.45">
      <c r="B300" s="27">
        <v>17</v>
      </c>
      <c r="C300" s="27" t="s">
        <v>372</v>
      </c>
      <c r="D300" s="27" t="s">
        <v>373</v>
      </c>
      <c r="E300" s="27">
        <v>18</v>
      </c>
      <c r="F300" s="27" t="s">
        <v>335</v>
      </c>
      <c r="G300" s="27" t="s">
        <v>336</v>
      </c>
    </row>
    <row r="301" spans="2:7" x14ac:dyDescent="0.45">
      <c r="B301" s="27">
        <v>18</v>
      </c>
      <c r="C301" s="27" t="s">
        <v>374</v>
      </c>
      <c r="D301" s="27" t="s">
        <v>373</v>
      </c>
      <c r="E301" s="27">
        <v>30</v>
      </c>
      <c r="F301" s="27" t="s">
        <v>335</v>
      </c>
      <c r="G301" s="27" t="s">
        <v>336</v>
      </c>
    </row>
    <row r="302" spans="2:7" x14ac:dyDescent="0.45">
      <c r="B302" s="27">
        <v>19</v>
      </c>
      <c r="C302" s="27" t="s">
        <v>375</v>
      </c>
      <c r="D302" s="27" t="s">
        <v>376</v>
      </c>
      <c r="E302" s="27">
        <v>30</v>
      </c>
      <c r="F302" s="27" t="s">
        <v>335</v>
      </c>
      <c r="G302" s="27" t="s">
        <v>336</v>
      </c>
    </row>
    <row r="303" spans="2:7" x14ac:dyDescent="0.45">
      <c r="B303" s="27">
        <v>20</v>
      </c>
      <c r="C303" s="27" t="s">
        <v>377</v>
      </c>
      <c r="D303" s="27" t="s">
        <v>376</v>
      </c>
      <c r="E303" s="27">
        <v>42</v>
      </c>
      <c r="F303" s="27" t="s">
        <v>335</v>
      </c>
      <c r="G303" s="27" t="s">
        <v>336</v>
      </c>
    </row>
    <row r="304" spans="2:7" x14ac:dyDescent="0.45">
      <c r="B304" s="27">
        <v>21</v>
      </c>
      <c r="C304" s="27" t="s">
        <v>378</v>
      </c>
      <c r="D304" s="27" t="s">
        <v>376</v>
      </c>
      <c r="E304" s="27">
        <v>54</v>
      </c>
      <c r="F304" s="27" t="s">
        <v>335</v>
      </c>
      <c r="G304" s="27" t="s">
        <v>336</v>
      </c>
    </row>
    <row r="305" spans="2:7" x14ac:dyDescent="0.45">
      <c r="B305" s="27">
        <v>22</v>
      </c>
      <c r="C305" s="27" t="s">
        <v>379</v>
      </c>
      <c r="D305" s="27" t="s">
        <v>345</v>
      </c>
      <c r="E305" s="27">
        <v>30</v>
      </c>
      <c r="F305" s="27" t="s">
        <v>335</v>
      </c>
      <c r="G305" s="27" t="s">
        <v>336</v>
      </c>
    </row>
    <row r="306" spans="2:7" x14ac:dyDescent="0.45">
      <c r="B306" s="27">
        <v>23</v>
      </c>
      <c r="C306" s="27" t="s">
        <v>380</v>
      </c>
      <c r="D306" s="27" t="s">
        <v>345</v>
      </c>
      <c r="E306" s="27">
        <v>42</v>
      </c>
      <c r="F306" s="27" t="s">
        <v>335</v>
      </c>
      <c r="G306" s="27" t="s">
        <v>336</v>
      </c>
    </row>
    <row r="307" spans="2:7" x14ac:dyDescent="0.45">
      <c r="B307" s="27">
        <v>24</v>
      </c>
      <c r="C307" s="27" t="s">
        <v>381</v>
      </c>
      <c r="D307" s="27" t="s">
        <v>351</v>
      </c>
      <c r="E307" s="27">
        <v>30</v>
      </c>
      <c r="F307" s="27" t="s">
        <v>335</v>
      </c>
      <c r="G307" s="27" t="s">
        <v>336</v>
      </c>
    </row>
    <row r="308" spans="2:7" x14ac:dyDescent="0.45">
      <c r="B308" s="27">
        <v>25</v>
      </c>
      <c r="C308" s="27" t="s">
        <v>382</v>
      </c>
      <c r="D308" s="27" t="s">
        <v>351</v>
      </c>
      <c r="E308" s="27">
        <v>42</v>
      </c>
      <c r="F308" s="27" t="s">
        <v>335</v>
      </c>
      <c r="G308" s="27" t="s">
        <v>336</v>
      </c>
    </row>
    <row r="310" spans="2:7" ht="42" customHeight="1" x14ac:dyDescent="0.45">
      <c r="B310" s="25" t="s">
        <v>383</v>
      </c>
      <c r="C310" s="63" t="s">
        <v>384</v>
      </c>
      <c r="D310" s="56"/>
      <c r="E310" s="56"/>
      <c r="F310" s="56"/>
      <c r="G310" s="56"/>
    </row>
    <row r="311" spans="2:7" x14ac:dyDescent="0.45">
      <c r="B311" s="26" t="s">
        <v>35</v>
      </c>
      <c r="C311" s="26" t="s">
        <v>330</v>
      </c>
      <c r="D311" s="26" t="s">
        <v>331</v>
      </c>
      <c r="E311" s="26" t="s">
        <v>70</v>
      </c>
      <c r="F311" s="26" t="s">
        <v>74</v>
      </c>
      <c r="G311" s="26" t="s">
        <v>332</v>
      </c>
    </row>
    <row r="312" spans="2:7" x14ac:dyDescent="0.45">
      <c r="B312" s="27">
        <v>26</v>
      </c>
      <c r="C312" s="27" t="s">
        <v>385</v>
      </c>
      <c r="D312" s="27" t="s">
        <v>339</v>
      </c>
      <c r="E312" s="27">
        <v>6</v>
      </c>
      <c r="F312" s="27" t="s">
        <v>335</v>
      </c>
      <c r="G312" s="27" t="s">
        <v>336</v>
      </c>
    </row>
    <row r="313" spans="2:7" x14ac:dyDescent="0.45">
      <c r="B313" s="27">
        <v>27</v>
      </c>
      <c r="C313" s="27" t="s">
        <v>385</v>
      </c>
      <c r="D313" s="27" t="s">
        <v>339</v>
      </c>
      <c r="E313" s="27">
        <v>10</v>
      </c>
      <c r="F313" s="27" t="s">
        <v>335</v>
      </c>
      <c r="G313" s="27" t="s">
        <v>336</v>
      </c>
    </row>
    <row r="314" spans="2:7" x14ac:dyDescent="0.45">
      <c r="B314" s="27">
        <v>28</v>
      </c>
      <c r="C314" s="27" t="s">
        <v>385</v>
      </c>
      <c r="D314" s="27" t="s">
        <v>339</v>
      </c>
      <c r="E314" s="27">
        <v>14</v>
      </c>
      <c r="F314" s="27" t="s">
        <v>335</v>
      </c>
      <c r="G314" s="27" t="s">
        <v>336</v>
      </c>
    </row>
    <row r="315" spans="2:7" x14ac:dyDescent="0.45">
      <c r="B315" s="27">
        <v>29</v>
      </c>
      <c r="C315" s="27" t="s">
        <v>385</v>
      </c>
      <c r="D315" s="27" t="s">
        <v>339</v>
      </c>
      <c r="E315" s="27">
        <v>22</v>
      </c>
      <c r="F315" s="27" t="s">
        <v>335</v>
      </c>
      <c r="G315" s="27" t="s">
        <v>336</v>
      </c>
    </row>
    <row r="316" spans="2:7" x14ac:dyDescent="0.45">
      <c r="B316" s="27">
        <v>30</v>
      </c>
      <c r="C316" s="27" t="s">
        <v>385</v>
      </c>
      <c r="D316" s="27" t="s">
        <v>345</v>
      </c>
      <c r="E316" s="27">
        <v>6</v>
      </c>
      <c r="F316" s="27" t="s">
        <v>335</v>
      </c>
      <c r="G316" s="27" t="s">
        <v>336</v>
      </c>
    </row>
    <row r="317" spans="2:7" x14ac:dyDescent="0.45">
      <c r="B317" s="27">
        <v>31</v>
      </c>
      <c r="C317" s="27" t="s">
        <v>385</v>
      </c>
      <c r="D317" s="27" t="s">
        <v>345</v>
      </c>
      <c r="E317" s="27">
        <v>10</v>
      </c>
      <c r="F317" s="27" t="s">
        <v>335</v>
      </c>
      <c r="G317" s="27" t="s">
        <v>336</v>
      </c>
    </row>
    <row r="318" spans="2:7" x14ac:dyDescent="0.45">
      <c r="B318" s="27">
        <v>32</v>
      </c>
      <c r="C318" s="27" t="s">
        <v>385</v>
      </c>
      <c r="D318" s="27" t="s">
        <v>345</v>
      </c>
      <c r="E318" s="27">
        <v>14</v>
      </c>
      <c r="F318" s="27" t="s">
        <v>335</v>
      </c>
      <c r="G318" s="27" t="s">
        <v>336</v>
      </c>
    </row>
    <row r="319" spans="2:7" x14ac:dyDescent="0.45">
      <c r="B319" s="27">
        <v>33</v>
      </c>
      <c r="C319" s="27" t="s">
        <v>385</v>
      </c>
      <c r="D319" s="27" t="s">
        <v>345</v>
      </c>
      <c r="E319" s="27">
        <v>22</v>
      </c>
      <c r="F319" s="27" t="s">
        <v>335</v>
      </c>
      <c r="G319" s="27" t="s">
        <v>336</v>
      </c>
    </row>
    <row r="320" spans="2:7" x14ac:dyDescent="0.45">
      <c r="B320" s="27">
        <v>34</v>
      </c>
      <c r="C320" s="27" t="s">
        <v>385</v>
      </c>
      <c r="D320" s="27" t="s">
        <v>351</v>
      </c>
      <c r="E320" s="27">
        <v>6</v>
      </c>
      <c r="F320" s="27" t="s">
        <v>335</v>
      </c>
      <c r="G320" s="27" t="s">
        <v>336</v>
      </c>
    </row>
    <row r="321" spans="2:7" x14ac:dyDescent="0.45">
      <c r="B321" s="27">
        <v>35</v>
      </c>
      <c r="C321" s="27" t="s">
        <v>385</v>
      </c>
      <c r="D321" s="27" t="s">
        <v>351</v>
      </c>
      <c r="E321" s="27">
        <v>10</v>
      </c>
      <c r="F321" s="27" t="s">
        <v>335</v>
      </c>
      <c r="G321" s="27" t="s">
        <v>336</v>
      </c>
    </row>
    <row r="322" spans="2:7" x14ac:dyDescent="0.45">
      <c r="B322" s="27">
        <v>36</v>
      </c>
      <c r="C322" s="27" t="s">
        <v>385</v>
      </c>
      <c r="D322" s="27" t="s">
        <v>351</v>
      </c>
      <c r="E322" s="27">
        <v>14</v>
      </c>
      <c r="F322" s="27" t="s">
        <v>335</v>
      </c>
      <c r="G322" s="27" t="s">
        <v>336</v>
      </c>
    </row>
    <row r="323" spans="2:7" x14ac:dyDescent="0.45">
      <c r="B323" s="27">
        <v>37</v>
      </c>
      <c r="C323" s="27" t="s">
        <v>385</v>
      </c>
      <c r="D323" s="27" t="s">
        <v>351</v>
      </c>
      <c r="E323" s="27">
        <v>22</v>
      </c>
      <c r="F323" s="27" t="s">
        <v>335</v>
      </c>
      <c r="G323" s="27" t="s">
        <v>336</v>
      </c>
    </row>
    <row r="324" spans="2:7" x14ac:dyDescent="0.45">
      <c r="B324" s="27">
        <v>38</v>
      </c>
      <c r="C324" s="27" t="s">
        <v>385</v>
      </c>
      <c r="D324" s="27" t="s">
        <v>386</v>
      </c>
      <c r="E324" s="27">
        <v>6</v>
      </c>
      <c r="F324" s="27" t="s">
        <v>335</v>
      </c>
      <c r="G324" s="27" t="s">
        <v>336</v>
      </c>
    </row>
    <row r="325" spans="2:7" x14ac:dyDescent="0.45">
      <c r="B325" s="27">
        <v>39</v>
      </c>
      <c r="C325" s="27" t="s">
        <v>385</v>
      </c>
      <c r="D325" s="27" t="s">
        <v>386</v>
      </c>
      <c r="E325" s="27">
        <v>10</v>
      </c>
      <c r="F325" s="27" t="s">
        <v>335</v>
      </c>
      <c r="G325" s="27" t="s">
        <v>336</v>
      </c>
    </row>
    <row r="326" spans="2:7" x14ac:dyDescent="0.45">
      <c r="B326" s="27">
        <v>40</v>
      </c>
      <c r="C326" s="27" t="s">
        <v>385</v>
      </c>
      <c r="D326" s="27" t="s">
        <v>386</v>
      </c>
      <c r="E326" s="27">
        <v>14</v>
      </c>
      <c r="F326" s="27" t="s">
        <v>335</v>
      </c>
      <c r="G326" s="27" t="s">
        <v>336</v>
      </c>
    </row>
    <row r="327" spans="2:7" x14ac:dyDescent="0.45">
      <c r="B327" s="27">
        <v>41</v>
      </c>
      <c r="C327" s="27" t="s">
        <v>385</v>
      </c>
      <c r="D327" s="27" t="s">
        <v>386</v>
      </c>
      <c r="E327" s="27">
        <v>22</v>
      </c>
      <c r="F327" s="27" t="s">
        <v>335</v>
      </c>
      <c r="G327" s="27" t="s">
        <v>336</v>
      </c>
    </row>
    <row r="328" spans="2:7" x14ac:dyDescent="0.45">
      <c r="B328" s="27">
        <v>42</v>
      </c>
      <c r="C328" s="27" t="s">
        <v>387</v>
      </c>
      <c r="D328" s="27" t="s">
        <v>345</v>
      </c>
      <c r="E328" s="27">
        <v>6</v>
      </c>
      <c r="F328" s="27" t="s">
        <v>335</v>
      </c>
      <c r="G328" s="27" t="s">
        <v>336</v>
      </c>
    </row>
    <row r="329" spans="2:7" x14ac:dyDescent="0.45">
      <c r="B329" s="27">
        <v>43</v>
      </c>
      <c r="C329" s="27" t="s">
        <v>387</v>
      </c>
      <c r="D329" s="27" t="s">
        <v>345</v>
      </c>
      <c r="E329" s="27">
        <v>10</v>
      </c>
      <c r="F329" s="27" t="s">
        <v>335</v>
      </c>
      <c r="G329" s="27" t="s">
        <v>336</v>
      </c>
    </row>
    <row r="330" spans="2:7" x14ac:dyDescent="0.45">
      <c r="B330" s="27">
        <v>44</v>
      </c>
      <c r="C330" s="27" t="s">
        <v>387</v>
      </c>
      <c r="D330" s="27" t="s">
        <v>345</v>
      </c>
      <c r="E330" s="27">
        <v>14</v>
      </c>
      <c r="F330" s="27" t="s">
        <v>335</v>
      </c>
      <c r="G330" s="27" t="s">
        <v>336</v>
      </c>
    </row>
    <row r="331" spans="2:7" x14ac:dyDescent="0.45">
      <c r="B331" s="27">
        <v>45</v>
      </c>
      <c r="C331" s="27" t="s">
        <v>387</v>
      </c>
      <c r="D331" s="27" t="s">
        <v>345</v>
      </c>
      <c r="E331" s="27">
        <v>22</v>
      </c>
      <c r="F331" s="27" t="s">
        <v>335</v>
      </c>
      <c r="G331" s="27" t="s">
        <v>336</v>
      </c>
    </row>
    <row r="332" spans="2:7" x14ac:dyDescent="0.45">
      <c r="B332" s="27">
        <v>46</v>
      </c>
      <c r="C332" s="27" t="s">
        <v>387</v>
      </c>
      <c r="D332" s="27" t="s">
        <v>351</v>
      </c>
      <c r="E332" s="27">
        <v>6</v>
      </c>
      <c r="F332" s="27" t="s">
        <v>335</v>
      </c>
      <c r="G332" s="27" t="s">
        <v>336</v>
      </c>
    </row>
    <row r="333" spans="2:7" x14ac:dyDescent="0.45">
      <c r="B333" s="27">
        <v>47</v>
      </c>
      <c r="C333" s="27" t="s">
        <v>387</v>
      </c>
      <c r="D333" s="27" t="s">
        <v>351</v>
      </c>
      <c r="E333" s="27">
        <v>10</v>
      </c>
      <c r="F333" s="27" t="s">
        <v>335</v>
      </c>
      <c r="G333" s="27" t="s">
        <v>336</v>
      </c>
    </row>
    <row r="334" spans="2:7" x14ac:dyDescent="0.45">
      <c r="B334" s="27">
        <v>48</v>
      </c>
      <c r="C334" s="27" t="s">
        <v>387</v>
      </c>
      <c r="D334" s="27" t="s">
        <v>351</v>
      </c>
      <c r="E334" s="27">
        <v>14</v>
      </c>
      <c r="F334" s="27" t="s">
        <v>335</v>
      </c>
      <c r="G334" s="27" t="s">
        <v>336</v>
      </c>
    </row>
    <row r="335" spans="2:7" x14ac:dyDescent="0.45">
      <c r="B335" s="27">
        <v>49</v>
      </c>
      <c r="C335" s="27" t="s">
        <v>387</v>
      </c>
      <c r="D335" s="27" t="s">
        <v>351</v>
      </c>
      <c r="E335" s="27">
        <v>22</v>
      </c>
      <c r="F335" s="27" t="s">
        <v>335</v>
      </c>
      <c r="G335" s="27" t="s">
        <v>336</v>
      </c>
    </row>
    <row r="336" spans="2:7" x14ac:dyDescent="0.45">
      <c r="B336" s="27">
        <v>50</v>
      </c>
      <c r="C336" s="27" t="s">
        <v>387</v>
      </c>
      <c r="D336" s="27" t="s">
        <v>386</v>
      </c>
      <c r="E336" s="27">
        <v>6</v>
      </c>
      <c r="F336" s="27" t="s">
        <v>335</v>
      </c>
      <c r="G336" s="27" t="s">
        <v>336</v>
      </c>
    </row>
    <row r="337" spans="2:7" x14ac:dyDescent="0.45">
      <c r="B337" s="27">
        <v>51</v>
      </c>
      <c r="C337" s="27" t="s">
        <v>387</v>
      </c>
      <c r="D337" s="27" t="s">
        <v>386</v>
      </c>
      <c r="E337" s="27">
        <v>10</v>
      </c>
      <c r="F337" s="27" t="s">
        <v>335</v>
      </c>
      <c r="G337" s="27" t="s">
        <v>336</v>
      </c>
    </row>
    <row r="338" spans="2:7" x14ac:dyDescent="0.45">
      <c r="B338" s="27">
        <v>52</v>
      </c>
      <c r="C338" s="27" t="s">
        <v>387</v>
      </c>
      <c r="D338" s="27" t="s">
        <v>386</v>
      </c>
      <c r="E338" s="27">
        <v>14</v>
      </c>
      <c r="F338" s="27" t="s">
        <v>335</v>
      </c>
      <c r="G338" s="27" t="s">
        <v>336</v>
      </c>
    </row>
    <row r="339" spans="2:7" x14ac:dyDescent="0.45">
      <c r="B339" s="27">
        <v>53</v>
      </c>
      <c r="C339" s="27" t="s">
        <v>387</v>
      </c>
      <c r="D339" s="27" t="s">
        <v>386</v>
      </c>
      <c r="E339" s="27">
        <v>22</v>
      </c>
      <c r="F339" s="27" t="s">
        <v>335</v>
      </c>
      <c r="G339" s="27" t="s">
        <v>336</v>
      </c>
    </row>
    <row r="340" spans="2:7" x14ac:dyDescent="0.45">
      <c r="B340" s="27">
        <v>54</v>
      </c>
      <c r="C340" s="27" t="s">
        <v>387</v>
      </c>
      <c r="D340" s="27" t="s">
        <v>388</v>
      </c>
      <c r="E340" s="27">
        <v>6</v>
      </c>
      <c r="F340" s="27" t="s">
        <v>335</v>
      </c>
      <c r="G340" s="27" t="s">
        <v>336</v>
      </c>
    </row>
    <row r="341" spans="2:7" x14ac:dyDescent="0.45">
      <c r="B341" s="27">
        <v>55</v>
      </c>
      <c r="C341" s="27" t="s">
        <v>387</v>
      </c>
      <c r="D341" s="27" t="s">
        <v>388</v>
      </c>
      <c r="E341" s="27">
        <v>10</v>
      </c>
      <c r="F341" s="27" t="s">
        <v>335</v>
      </c>
      <c r="G341" s="27" t="s">
        <v>336</v>
      </c>
    </row>
    <row r="342" spans="2:7" x14ac:dyDescent="0.45">
      <c r="B342" s="27">
        <v>56</v>
      </c>
      <c r="C342" s="27" t="s">
        <v>387</v>
      </c>
      <c r="D342" s="27" t="s">
        <v>388</v>
      </c>
      <c r="E342" s="27">
        <v>14</v>
      </c>
      <c r="F342" s="27" t="s">
        <v>335</v>
      </c>
      <c r="G342" s="27" t="s">
        <v>336</v>
      </c>
    </row>
    <row r="343" spans="2:7" x14ac:dyDescent="0.45">
      <c r="B343" s="27">
        <v>57</v>
      </c>
      <c r="C343" s="27" t="s">
        <v>387</v>
      </c>
      <c r="D343" s="27" t="s">
        <v>388</v>
      </c>
      <c r="E343" s="27">
        <v>22</v>
      </c>
      <c r="F343" s="27" t="s">
        <v>335</v>
      </c>
      <c r="G343" s="27" t="s">
        <v>336</v>
      </c>
    </row>
    <row r="344" spans="2:7" x14ac:dyDescent="0.45">
      <c r="B344" s="27">
        <v>72</v>
      </c>
      <c r="C344" s="27" t="s">
        <v>389</v>
      </c>
      <c r="D344" s="27" t="s">
        <v>339</v>
      </c>
      <c r="E344" s="27">
        <v>6</v>
      </c>
      <c r="F344" s="27" t="s">
        <v>335</v>
      </c>
      <c r="G344" s="27" t="s">
        <v>336</v>
      </c>
    </row>
    <row r="345" spans="2:7" x14ac:dyDescent="0.45">
      <c r="B345" s="27">
        <v>73</v>
      </c>
      <c r="C345" s="27" t="s">
        <v>389</v>
      </c>
      <c r="D345" s="27" t="s">
        <v>339</v>
      </c>
      <c r="E345" s="27">
        <v>10</v>
      </c>
      <c r="F345" s="27" t="s">
        <v>335</v>
      </c>
      <c r="G345" s="27" t="s">
        <v>336</v>
      </c>
    </row>
    <row r="346" spans="2:7" x14ac:dyDescent="0.45">
      <c r="B346" s="27">
        <v>74</v>
      </c>
      <c r="C346" s="27" t="s">
        <v>389</v>
      </c>
      <c r="D346" s="27" t="s">
        <v>339</v>
      </c>
      <c r="E346" s="27">
        <v>14</v>
      </c>
      <c r="F346" s="27" t="s">
        <v>335</v>
      </c>
      <c r="G346" s="27" t="s">
        <v>336</v>
      </c>
    </row>
    <row r="347" spans="2:7" x14ac:dyDescent="0.45">
      <c r="B347" s="27">
        <v>75</v>
      </c>
      <c r="C347" s="27" t="s">
        <v>389</v>
      </c>
      <c r="D347" s="27" t="s">
        <v>339</v>
      </c>
      <c r="E347" s="27">
        <v>22</v>
      </c>
      <c r="F347" s="27" t="s">
        <v>335</v>
      </c>
      <c r="G347" s="27" t="s">
        <v>336</v>
      </c>
    </row>
    <row r="348" spans="2:7" x14ac:dyDescent="0.45">
      <c r="B348" s="27">
        <v>76</v>
      </c>
      <c r="C348" s="27" t="s">
        <v>389</v>
      </c>
      <c r="D348" s="27" t="s">
        <v>345</v>
      </c>
      <c r="E348" s="27">
        <v>6</v>
      </c>
      <c r="F348" s="27" t="s">
        <v>335</v>
      </c>
      <c r="G348" s="27" t="s">
        <v>336</v>
      </c>
    </row>
    <row r="349" spans="2:7" x14ac:dyDescent="0.45">
      <c r="B349" s="27">
        <v>77</v>
      </c>
      <c r="C349" s="27" t="s">
        <v>389</v>
      </c>
      <c r="D349" s="27" t="s">
        <v>345</v>
      </c>
      <c r="E349" s="27">
        <v>10</v>
      </c>
      <c r="F349" s="27" t="s">
        <v>335</v>
      </c>
      <c r="G349" s="27" t="s">
        <v>336</v>
      </c>
    </row>
    <row r="350" spans="2:7" x14ac:dyDescent="0.45">
      <c r="B350" s="27">
        <v>78</v>
      </c>
      <c r="C350" s="27" t="s">
        <v>389</v>
      </c>
      <c r="D350" s="27" t="s">
        <v>345</v>
      </c>
      <c r="E350" s="27">
        <v>14</v>
      </c>
      <c r="F350" s="27" t="s">
        <v>335</v>
      </c>
      <c r="G350" s="27" t="s">
        <v>336</v>
      </c>
    </row>
    <row r="351" spans="2:7" x14ac:dyDescent="0.45">
      <c r="B351" s="27">
        <v>79</v>
      </c>
      <c r="C351" s="27" t="s">
        <v>389</v>
      </c>
      <c r="D351" s="27" t="s">
        <v>345</v>
      </c>
      <c r="E351" s="27">
        <v>22</v>
      </c>
      <c r="F351" s="27" t="s">
        <v>335</v>
      </c>
      <c r="G351" s="27" t="s">
        <v>336</v>
      </c>
    </row>
    <row r="352" spans="2:7" x14ac:dyDescent="0.45">
      <c r="B352" s="27">
        <v>80</v>
      </c>
      <c r="C352" s="27" t="s">
        <v>389</v>
      </c>
      <c r="D352" s="27" t="s">
        <v>351</v>
      </c>
      <c r="E352" s="27">
        <v>6</v>
      </c>
      <c r="F352" s="27" t="s">
        <v>335</v>
      </c>
      <c r="G352" s="27" t="s">
        <v>336</v>
      </c>
    </row>
    <row r="353" spans="2:7" x14ac:dyDescent="0.45">
      <c r="B353" s="27">
        <v>81</v>
      </c>
      <c r="C353" s="27" t="s">
        <v>389</v>
      </c>
      <c r="D353" s="27" t="s">
        <v>351</v>
      </c>
      <c r="E353" s="27">
        <v>10</v>
      </c>
      <c r="F353" s="27" t="s">
        <v>335</v>
      </c>
      <c r="G353" s="27" t="s">
        <v>336</v>
      </c>
    </row>
    <row r="354" spans="2:7" x14ac:dyDescent="0.45">
      <c r="B354" s="27">
        <v>82</v>
      </c>
      <c r="C354" s="27" t="s">
        <v>389</v>
      </c>
      <c r="D354" s="27" t="s">
        <v>351</v>
      </c>
      <c r="E354" s="27">
        <v>14</v>
      </c>
      <c r="F354" s="27" t="s">
        <v>335</v>
      </c>
      <c r="G354" s="27" t="s">
        <v>336</v>
      </c>
    </row>
    <row r="355" spans="2:7" x14ac:dyDescent="0.45">
      <c r="B355" s="27">
        <v>83</v>
      </c>
      <c r="C355" s="27" t="s">
        <v>389</v>
      </c>
      <c r="D355" s="27" t="s">
        <v>351</v>
      </c>
      <c r="E355" s="27">
        <v>22</v>
      </c>
      <c r="F355" s="27" t="s">
        <v>335</v>
      </c>
      <c r="G355" s="27" t="s">
        <v>336</v>
      </c>
    </row>
    <row r="356" spans="2:7" x14ac:dyDescent="0.45">
      <c r="B356" s="27">
        <v>84</v>
      </c>
      <c r="C356" s="27" t="s">
        <v>389</v>
      </c>
      <c r="D356" s="27" t="s">
        <v>345</v>
      </c>
      <c r="E356" s="27">
        <v>6</v>
      </c>
      <c r="F356" s="27" t="s">
        <v>335</v>
      </c>
      <c r="G356" s="27" t="s">
        <v>336</v>
      </c>
    </row>
    <row r="357" spans="2:7" x14ac:dyDescent="0.45">
      <c r="B357" s="27">
        <v>85</v>
      </c>
      <c r="C357" s="27" t="s">
        <v>389</v>
      </c>
      <c r="D357" s="27" t="s">
        <v>345</v>
      </c>
      <c r="E357" s="27">
        <v>10</v>
      </c>
      <c r="F357" s="27" t="s">
        <v>335</v>
      </c>
      <c r="G357" s="27" t="s">
        <v>336</v>
      </c>
    </row>
    <row r="358" spans="2:7" x14ac:dyDescent="0.45">
      <c r="B358" s="27">
        <v>86</v>
      </c>
      <c r="C358" s="27" t="s">
        <v>389</v>
      </c>
      <c r="D358" s="27" t="s">
        <v>345</v>
      </c>
      <c r="E358" s="27">
        <v>14</v>
      </c>
      <c r="F358" s="27" t="s">
        <v>335</v>
      </c>
      <c r="G358" s="27" t="s">
        <v>336</v>
      </c>
    </row>
    <row r="359" spans="2:7" x14ac:dyDescent="0.45">
      <c r="B359" s="27">
        <v>87</v>
      </c>
      <c r="C359" s="27" t="s">
        <v>389</v>
      </c>
      <c r="D359" s="27" t="s">
        <v>345</v>
      </c>
      <c r="E359" s="27">
        <v>22</v>
      </c>
      <c r="F359" s="27" t="s">
        <v>335</v>
      </c>
      <c r="G359" s="27" t="s">
        <v>336</v>
      </c>
    </row>
    <row r="360" spans="2:7" x14ac:dyDescent="0.45">
      <c r="B360" s="27">
        <v>88</v>
      </c>
      <c r="C360" s="27" t="s">
        <v>389</v>
      </c>
      <c r="D360" s="27" t="s">
        <v>351</v>
      </c>
      <c r="E360" s="27">
        <v>6</v>
      </c>
      <c r="F360" s="27" t="s">
        <v>335</v>
      </c>
      <c r="G360" s="27" t="s">
        <v>336</v>
      </c>
    </row>
    <row r="361" spans="2:7" x14ac:dyDescent="0.45">
      <c r="B361" s="27">
        <v>89</v>
      </c>
      <c r="C361" s="27" t="s">
        <v>389</v>
      </c>
      <c r="D361" s="27" t="s">
        <v>351</v>
      </c>
      <c r="E361" s="27">
        <v>10</v>
      </c>
      <c r="F361" s="27" t="s">
        <v>335</v>
      </c>
      <c r="G361" s="27" t="s">
        <v>336</v>
      </c>
    </row>
    <row r="362" spans="2:7" x14ac:dyDescent="0.45">
      <c r="B362" s="27">
        <v>90</v>
      </c>
      <c r="C362" s="27" t="s">
        <v>389</v>
      </c>
      <c r="D362" s="27" t="s">
        <v>351</v>
      </c>
      <c r="E362" s="27">
        <v>14</v>
      </c>
      <c r="F362" s="27" t="s">
        <v>335</v>
      </c>
      <c r="G362" s="27" t="s">
        <v>336</v>
      </c>
    </row>
    <row r="363" spans="2:7" x14ac:dyDescent="0.45">
      <c r="B363" s="27">
        <v>91</v>
      </c>
      <c r="C363" s="27" t="s">
        <v>389</v>
      </c>
      <c r="D363" s="27" t="s">
        <v>351</v>
      </c>
      <c r="E363" s="27">
        <v>22</v>
      </c>
      <c r="F363" s="27" t="s">
        <v>335</v>
      </c>
      <c r="G363" s="27" t="s">
        <v>336</v>
      </c>
    </row>
    <row r="365" spans="2:7" ht="42" customHeight="1" x14ac:dyDescent="0.45">
      <c r="B365" s="25" t="s">
        <v>390</v>
      </c>
      <c r="C365" s="63" t="s">
        <v>391</v>
      </c>
      <c r="D365" s="56"/>
      <c r="E365" s="56"/>
      <c r="F365" s="56"/>
      <c r="G365" s="56"/>
    </row>
    <row r="366" spans="2:7" x14ac:dyDescent="0.45">
      <c r="B366" s="26" t="s">
        <v>35</v>
      </c>
      <c r="C366" s="26" t="s">
        <v>330</v>
      </c>
      <c r="D366" s="26" t="s">
        <v>331</v>
      </c>
      <c r="E366" s="26" t="s">
        <v>70</v>
      </c>
      <c r="F366" s="26" t="s">
        <v>74</v>
      </c>
      <c r="G366" s="26" t="s">
        <v>332</v>
      </c>
    </row>
    <row r="367" spans="2:7" x14ac:dyDescent="0.45">
      <c r="B367" s="27">
        <v>92</v>
      </c>
      <c r="C367" s="27" t="s">
        <v>392</v>
      </c>
      <c r="D367" s="27" t="s">
        <v>373</v>
      </c>
      <c r="E367" s="27">
        <v>24</v>
      </c>
      <c r="F367" s="27" t="s">
        <v>335</v>
      </c>
      <c r="G367" s="27" t="s">
        <v>393</v>
      </c>
    </row>
    <row r="368" spans="2:7" x14ac:dyDescent="0.45">
      <c r="B368" s="27">
        <v>95</v>
      </c>
      <c r="C368" s="27" t="s">
        <v>394</v>
      </c>
      <c r="D368" s="27" t="s">
        <v>339</v>
      </c>
      <c r="E368" s="27">
        <v>42</v>
      </c>
      <c r="F368" s="27" t="s">
        <v>335</v>
      </c>
      <c r="G368" s="27" t="s">
        <v>393</v>
      </c>
    </row>
    <row r="369" spans="2:7" x14ac:dyDescent="0.45">
      <c r="B369" s="27">
        <v>98</v>
      </c>
      <c r="C369" s="27" t="s">
        <v>395</v>
      </c>
      <c r="D369" s="27" t="s">
        <v>396</v>
      </c>
      <c r="E369" s="27">
        <v>30</v>
      </c>
      <c r="F369" s="27" t="s">
        <v>335</v>
      </c>
      <c r="G369" s="27" t="s">
        <v>397</v>
      </c>
    </row>
    <row r="370" spans="2:7" x14ac:dyDescent="0.45">
      <c r="B370" s="27">
        <v>102</v>
      </c>
      <c r="C370" s="27" t="s">
        <v>398</v>
      </c>
      <c r="D370" s="27" t="s">
        <v>399</v>
      </c>
      <c r="E370" s="27">
        <v>30</v>
      </c>
      <c r="F370" s="27" t="s">
        <v>335</v>
      </c>
      <c r="G370" s="27" t="s">
        <v>393</v>
      </c>
    </row>
    <row r="371" spans="2:7" x14ac:dyDescent="0.45">
      <c r="B371" s="27">
        <v>103</v>
      </c>
      <c r="C371" s="27" t="s">
        <v>400</v>
      </c>
      <c r="D371" s="27" t="s">
        <v>339</v>
      </c>
      <c r="E371" s="27">
        <v>42</v>
      </c>
      <c r="F371" s="27" t="s">
        <v>335</v>
      </c>
      <c r="G371" s="27" t="s">
        <v>397</v>
      </c>
    </row>
    <row r="372" spans="2:7" x14ac:dyDescent="0.45">
      <c r="B372" s="27">
        <v>105</v>
      </c>
      <c r="C372" s="27" t="s">
        <v>400</v>
      </c>
      <c r="D372" s="27" t="s">
        <v>339</v>
      </c>
      <c r="E372" s="27">
        <v>42</v>
      </c>
      <c r="F372" s="27" t="s">
        <v>335</v>
      </c>
      <c r="G372" s="27" t="s">
        <v>397</v>
      </c>
    </row>
    <row r="373" spans="2:7" x14ac:dyDescent="0.45">
      <c r="B373" s="27">
        <v>114</v>
      </c>
      <c r="C373" s="27" t="s">
        <v>401</v>
      </c>
      <c r="D373" s="27" t="s">
        <v>402</v>
      </c>
      <c r="E373" s="27">
        <v>42</v>
      </c>
      <c r="F373" s="27" t="s">
        <v>356</v>
      </c>
      <c r="G373" s="27" t="s">
        <v>336</v>
      </c>
    </row>
    <row r="374" spans="2:7" x14ac:dyDescent="0.45">
      <c r="B374" s="27">
        <v>118</v>
      </c>
      <c r="C374" s="27" t="s">
        <v>403</v>
      </c>
      <c r="D374" s="27" t="s">
        <v>334</v>
      </c>
      <c r="E374" s="27">
        <v>22</v>
      </c>
      <c r="F374" s="27" t="s">
        <v>356</v>
      </c>
      <c r="G374" s="27" t="s">
        <v>393</v>
      </c>
    </row>
    <row r="375" spans="2:7" x14ac:dyDescent="0.45">
      <c r="B375" s="27">
        <v>119</v>
      </c>
      <c r="C375" s="27" t="s">
        <v>404</v>
      </c>
      <c r="D375" s="27" t="s">
        <v>339</v>
      </c>
      <c r="E375" s="27">
        <v>32</v>
      </c>
      <c r="F375" s="27" t="s">
        <v>335</v>
      </c>
      <c r="G375" s="27" t="s">
        <v>393</v>
      </c>
    </row>
    <row r="377" spans="2:7" ht="42" customHeight="1" x14ac:dyDescent="0.45">
      <c r="B377" s="25" t="s">
        <v>405</v>
      </c>
      <c r="C377" s="63" t="s">
        <v>406</v>
      </c>
      <c r="D377" s="56"/>
      <c r="E377" s="56"/>
      <c r="F377" s="56"/>
      <c r="G377" s="56"/>
    </row>
    <row r="378" spans="2:7" x14ac:dyDescent="0.45">
      <c r="B378" s="26" t="s">
        <v>35</v>
      </c>
      <c r="C378" s="26" t="s">
        <v>330</v>
      </c>
      <c r="D378" s="26" t="s">
        <v>331</v>
      </c>
      <c r="E378" s="26" t="s">
        <v>70</v>
      </c>
      <c r="F378" s="26" t="s">
        <v>74</v>
      </c>
      <c r="G378" s="26" t="s">
        <v>332</v>
      </c>
    </row>
    <row r="379" spans="2:7" x14ac:dyDescent="0.45">
      <c r="B379" s="27">
        <v>93</v>
      </c>
      <c r="C379" s="27" t="s">
        <v>407</v>
      </c>
      <c r="D379" s="27" t="s">
        <v>334</v>
      </c>
      <c r="E379" s="27">
        <v>30</v>
      </c>
      <c r="F379" s="27" t="s">
        <v>408</v>
      </c>
      <c r="G379" s="27" t="s">
        <v>336</v>
      </c>
    </row>
    <row r="380" spans="2:7" x14ac:dyDescent="0.45">
      <c r="B380" s="27">
        <v>94</v>
      </c>
      <c r="C380" s="27" t="s">
        <v>407</v>
      </c>
      <c r="D380" s="27" t="s">
        <v>334</v>
      </c>
      <c r="E380" s="27">
        <v>42</v>
      </c>
      <c r="F380" s="27" t="s">
        <v>408</v>
      </c>
      <c r="G380" s="27" t="s">
        <v>336</v>
      </c>
    </row>
    <row r="381" spans="2:7" x14ac:dyDescent="0.45">
      <c r="B381" s="27">
        <v>108</v>
      </c>
      <c r="C381" s="27" t="s">
        <v>407</v>
      </c>
      <c r="D381" s="27" t="s">
        <v>334</v>
      </c>
      <c r="E381" s="27">
        <v>18</v>
      </c>
      <c r="F381" s="27" t="s">
        <v>408</v>
      </c>
      <c r="G381" s="27" t="s">
        <v>336</v>
      </c>
    </row>
    <row r="382" spans="2:7" x14ac:dyDescent="0.45">
      <c r="B382" s="27">
        <v>109</v>
      </c>
      <c r="C382" s="27" t="s">
        <v>407</v>
      </c>
      <c r="D382" s="27" t="s">
        <v>334</v>
      </c>
      <c r="E382" s="27">
        <v>30</v>
      </c>
      <c r="F382" s="27" t="s">
        <v>408</v>
      </c>
      <c r="G382" s="27" t="s">
        <v>336</v>
      </c>
    </row>
    <row r="383" spans="2:7" x14ac:dyDescent="0.45">
      <c r="B383" s="27">
        <v>110</v>
      </c>
      <c r="C383" s="27" t="s">
        <v>407</v>
      </c>
      <c r="D383" s="27" t="s">
        <v>334</v>
      </c>
      <c r="E383" s="27">
        <v>42</v>
      </c>
      <c r="F383" s="27" t="s">
        <v>408</v>
      </c>
      <c r="G383" s="27" t="s">
        <v>336</v>
      </c>
    </row>
    <row r="389" spans="2:7" ht="42" customHeight="1" x14ac:dyDescent="0.45">
      <c r="B389" s="25" t="s">
        <v>409</v>
      </c>
      <c r="C389" s="63" t="s">
        <v>410</v>
      </c>
      <c r="D389" s="56"/>
      <c r="E389" s="56"/>
      <c r="F389" s="56"/>
      <c r="G389" s="56"/>
    </row>
    <row r="390" spans="2:7" x14ac:dyDescent="0.45">
      <c r="B390" s="26" t="s">
        <v>35</v>
      </c>
      <c r="C390" s="26" t="s">
        <v>330</v>
      </c>
      <c r="D390" s="26" t="s">
        <v>331</v>
      </c>
      <c r="E390" s="26" t="s">
        <v>70</v>
      </c>
      <c r="F390" s="26" t="s">
        <v>74</v>
      </c>
      <c r="G390" s="26" t="s">
        <v>332</v>
      </c>
    </row>
    <row r="391" spans="2:7" x14ac:dyDescent="0.45">
      <c r="B391" s="27">
        <v>96</v>
      </c>
      <c r="C391" s="27" t="s">
        <v>411</v>
      </c>
      <c r="D391" s="27" t="s">
        <v>339</v>
      </c>
      <c r="E391" s="27">
        <v>42</v>
      </c>
      <c r="F391" s="27" t="s">
        <v>335</v>
      </c>
      <c r="G391" s="27" t="s">
        <v>336</v>
      </c>
    </row>
    <row r="392" spans="2:7" x14ac:dyDescent="0.45">
      <c r="B392" s="27">
        <v>97</v>
      </c>
      <c r="C392" s="27" t="s">
        <v>411</v>
      </c>
      <c r="D392" s="27" t="s">
        <v>339</v>
      </c>
      <c r="E392" s="27">
        <v>54</v>
      </c>
      <c r="F392" s="27" t="s">
        <v>335</v>
      </c>
      <c r="G392" s="27" t="s">
        <v>336</v>
      </c>
    </row>
    <row r="393" spans="2:7" x14ac:dyDescent="0.45">
      <c r="B393" s="27">
        <v>111</v>
      </c>
      <c r="C393" s="27" t="s">
        <v>411</v>
      </c>
      <c r="D393" s="27" t="s">
        <v>339</v>
      </c>
      <c r="E393" s="27">
        <v>30</v>
      </c>
      <c r="F393" s="27" t="s">
        <v>335</v>
      </c>
      <c r="G393" s="27" t="s">
        <v>336</v>
      </c>
    </row>
    <row r="394" spans="2:7" x14ac:dyDescent="0.45">
      <c r="B394" s="27">
        <v>112</v>
      </c>
      <c r="C394" s="27" t="s">
        <v>411</v>
      </c>
      <c r="D394" s="27" t="s">
        <v>339</v>
      </c>
      <c r="E394" s="27">
        <v>42</v>
      </c>
      <c r="F394" s="27" t="s">
        <v>335</v>
      </c>
      <c r="G394" s="27" t="s">
        <v>336</v>
      </c>
    </row>
    <row r="395" spans="2:7" x14ac:dyDescent="0.45">
      <c r="B395" s="27">
        <v>113</v>
      </c>
      <c r="C395" s="27" t="s">
        <v>411</v>
      </c>
      <c r="D395" s="27" t="s">
        <v>339</v>
      </c>
      <c r="E395" s="27">
        <v>54</v>
      </c>
      <c r="F395" s="27" t="s">
        <v>335</v>
      </c>
      <c r="G395" s="27" t="s">
        <v>336</v>
      </c>
    </row>
    <row r="401" spans="2:7" ht="42" customHeight="1" x14ac:dyDescent="0.45">
      <c r="B401" s="25" t="s">
        <v>412</v>
      </c>
      <c r="C401" s="63" t="s">
        <v>413</v>
      </c>
      <c r="D401" s="56"/>
      <c r="E401" s="56"/>
      <c r="F401" s="56"/>
      <c r="G401" s="56"/>
    </row>
    <row r="402" spans="2:7" x14ac:dyDescent="0.45">
      <c r="B402" s="26" t="s">
        <v>35</v>
      </c>
      <c r="C402" s="26" t="s">
        <v>330</v>
      </c>
      <c r="D402" s="26" t="s">
        <v>331</v>
      </c>
      <c r="E402" s="26" t="s">
        <v>70</v>
      </c>
      <c r="F402" s="26" t="s">
        <v>74</v>
      </c>
      <c r="G402" s="26" t="s">
        <v>332</v>
      </c>
    </row>
    <row r="403" spans="2:7" x14ac:dyDescent="0.45">
      <c r="B403" s="27">
        <v>99</v>
      </c>
      <c r="C403" s="27" t="s">
        <v>414</v>
      </c>
      <c r="D403" s="27" t="s">
        <v>345</v>
      </c>
      <c r="E403" s="27">
        <v>30</v>
      </c>
      <c r="F403" s="27" t="s">
        <v>335</v>
      </c>
      <c r="G403" s="27" t="s">
        <v>336</v>
      </c>
    </row>
    <row r="404" spans="2:7" x14ac:dyDescent="0.45">
      <c r="B404" s="27">
        <v>100</v>
      </c>
      <c r="C404" s="27" t="s">
        <v>414</v>
      </c>
      <c r="D404" s="27" t="s">
        <v>345</v>
      </c>
      <c r="E404" s="27">
        <v>42</v>
      </c>
      <c r="F404" s="27" t="s">
        <v>335</v>
      </c>
      <c r="G404" s="27" t="s">
        <v>336</v>
      </c>
    </row>
    <row r="405" spans="2:7" x14ac:dyDescent="0.45">
      <c r="B405" s="27">
        <v>101</v>
      </c>
      <c r="C405" s="27" t="s">
        <v>414</v>
      </c>
      <c r="D405" s="27" t="s">
        <v>345</v>
      </c>
      <c r="E405" s="27">
        <v>54</v>
      </c>
      <c r="F405" s="27" t="s">
        <v>335</v>
      </c>
      <c r="G405" s="27" t="s">
        <v>336</v>
      </c>
    </row>
    <row r="406" spans="2:7" x14ac:dyDescent="0.45">
      <c r="B406" s="27">
        <v>115</v>
      </c>
      <c r="C406" s="27" t="s">
        <v>414</v>
      </c>
      <c r="D406" s="27" t="s">
        <v>345</v>
      </c>
      <c r="E406" s="27">
        <v>30</v>
      </c>
      <c r="F406" s="27" t="s">
        <v>335</v>
      </c>
      <c r="G406" s="27" t="s">
        <v>336</v>
      </c>
    </row>
    <row r="407" spans="2:7" x14ac:dyDescent="0.45">
      <c r="B407" s="27">
        <v>116</v>
      </c>
      <c r="C407" s="27" t="s">
        <v>414</v>
      </c>
      <c r="D407" s="27" t="s">
        <v>345</v>
      </c>
      <c r="E407" s="27">
        <v>42</v>
      </c>
      <c r="F407" s="27" t="s">
        <v>335</v>
      </c>
      <c r="G407" s="27" t="s">
        <v>336</v>
      </c>
    </row>
    <row r="408" spans="2:7" x14ac:dyDescent="0.45">
      <c r="B408" s="27">
        <v>117</v>
      </c>
      <c r="C408" s="27" t="s">
        <v>414</v>
      </c>
      <c r="D408" s="27" t="s">
        <v>345</v>
      </c>
      <c r="E408" s="27">
        <v>54</v>
      </c>
      <c r="F408" s="27" t="s">
        <v>335</v>
      </c>
      <c r="G408" s="27" t="s">
        <v>336</v>
      </c>
    </row>
    <row r="413" spans="2:7" ht="42" customHeight="1" x14ac:dyDescent="0.45">
      <c r="B413" s="25" t="s">
        <v>415</v>
      </c>
      <c r="C413" s="63" t="s">
        <v>416</v>
      </c>
      <c r="D413" s="56"/>
      <c r="E413" s="56"/>
      <c r="F413" s="56"/>
      <c r="G413" s="56"/>
    </row>
    <row r="414" spans="2:7" x14ac:dyDescent="0.45">
      <c r="B414" s="26" t="s">
        <v>35</v>
      </c>
      <c r="C414" s="26" t="s">
        <v>330</v>
      </c>
      <c r="D414" s="26" t="s">
        <v>331</v>
      </c>
      <c r="E414" s="26" t="s">
        <v>70</v>
      </c>
      <c r="F414" s="26" t="s">
        <v>74</v>
      </c>
      <c r="G414" s="26" t="s">
        <v>332</v>
      </c>
    </row>
    <row r="415" spans="2:7" x14ac:dyDescent="0.45">
      <c r="B415" s="27">
        <v>104</v>
      </c>
      <c r="C415" s="27" t="s">
        <v>417</v>
      </c>
      <c r="D415" s="27" t="s">
        <v>351</v>
      </c>
      <c r="E415" s="27">
        <v>30</v>
      </c>
      <c r="F415" s="27" t="s">
        <v>335</v>
      </c>
      <c r="G415" s="27" t="s">
        <v>336</v>
      </c>
    </row>
    <row r="416" spans="2:7" x14ac:dyDescent="0.45">
      <c r="B416" s="27">
        <v>106</v>
      </c>
      <c r="C416" s="27" t="s">
        <v>417</v>
      </c>
      <c r="D416" s="27" t="s">
        <v>351</v>
      </c>
      <c r="E416" s="27">
        <v>54</v>
      </c>
      <c r="F416" s="27" t="s">
        <v>335</v>
      </c>
      <c r="G416" s="27" t="s">
        <v>336</v>
      </c>
    </row>
    <row r="417" spans="2:7" x14ac:dyDescent="0.45">
      <c r="B417" s="27">
        <v>107</v>
      </c>
      <c r="C417" s="27" t="s">
        <v>417</v>
      </c>
      <c r="D417" s="27" t="s">
        <v>388</v>
      </c>
      <c r="E417" s="27">
        <v>54</v>
      </c>
      <c r="F417" s="27" t="s">
        <v>335</v>
      </c>
      <c r="G417" s="27" t="s">
        <v>336</v>
      </c>
    </row>
    <row r="418" spans="2:7" x14ac:dyDescent="0.45">
      <c r="B418" s="27">
        <v>120</v>
      </c>
      <c r="C418" s="27" t="s">
        <v>417</v>
      </c>
      <c r="D418" s="27" t="s">
        <v>351</v>
      </c>
      <c r="E418" s="27">
        <v>30</v>
      </c>
      <c r="F418" s="27" t="s">
        <v>335</v>
      </c>
      <c r="G418" s="27" t="s">
        <v>336</v>
      </c>
    </row>
    <row r="419" spans="2:7" x14ac:dyDescent="0.45">
      <c r="B419" s="27">
        <v>121</v>
      </c>
      <c r="C419" s="27" t="s">
        <v>417</v>
      </c>
      <c r="D419" s="27" t="s">
        <v>351</v>
      </c>
      <c r="E419" s="27">
        <v>42</v>
      </c>
      <c r="F419" s="27" t="s">
        <v>335</v>
      </c>
      <c r="G419" s="27" t="s">
        <v>336</v>
      </c>
    </row>
    <row r="420" spans="2:7" x14ac:dyDescent="0.45">
      <c r="B420" s="27">
        <v>122</v>
      </c>
      <c r="C420" s="27" t="s">
        <v>417</v>
      </c>
      <c r="D420" s="27" t="s">
        <v>351</v>
      </c>
      <c r="E420" s="27">
        <v>54</v>
      </c>
      <c r="F420" s="27" t="s">
        <v>335</v>
      </c>
      <c r="G420" s="27" t="s">
        <v>336</v>
      </c>
    </row>
    <row r="421" spans="2:7" x14ac:dyDescent="0.45">
      <c r="B421" s="27">
        <v>123</v>
      </c>
      <c r="C421" s="27" t="s">
        <v>417</v>
      </c>
      <c r="D421" s="27" t="s">
        <v>351</v>
      </c>
      <c r="E421" s="27">
        <v>84</v>
      </c>
      <c r="F421" s="27" t="s">
        <v>335</v>
      </c>
      <c r="G421" s="27" t="s">
        <v>336</v>
      </c>
    </row>
    <row r="425" spans="2:7" ht="42" customHeight="1" x14ac:dyDescent="0.45">
      <c r="B425" s="25" t="s">
        <v>418</v>
      </c>
      <c r="C425" s="63" t="s">
        <v>419</v>
      </c>
      <c r="D425" s="56"/>
      <c r="E425" s="56"/>
      <c r="F425" s="56"/>
      <c r="G425" s="56"/>
    </row>
    <row r="426" spans="2:7" x14ac:dyDescent="0.45">
      <c r="B426" s="26" t="s">
        <v>35</v>
      </c>
      <c r="C426" s="26" t="s">
        <v>330</v>
      </c>
      <c r="D426" s="26" t="s">
        <v>331</v>
      </c>
      <c r="E426" s="26" t="s">
        <v>70</v>
      </c>
      <c r="F426" s="26" t="s">
        <v>74</v>
      </c>
      <c r="G426" s="26" t="s">
        <v>332</v>
      </c>
    </row>
    <row r="427" spans="2:7" x14ac:dyDescent="0.45">
      <c r="B427" s="27">
        <v>124</v>
      </c>
      <c r="C427" s="27" t="s">
        <v>420</v>
      </c>
      <c r="D427" s="27" t="s">
        <v>421</v>
      </c>
      <c r="E427" s="27" t="s">
        <v>422</v>
      </c>
      <c r="F427" s="27" t="s">
        <v>335</v>
      </c>
      <c r="G427" s="27" t="s">
        <v>336</v>
      </c>
    </row>
    <row r="428" spans="2:7" x14ac:dyDescent="0.45">
      <c r="B428" s="27">
        <v>125</v>
      </c>
      <c r="C428" s="27" t="s">
        <v>420</v>
      </c>
      <c r="D428" s="27" t="s">
        <v>423</v>
      </c>
      <c r="E428" s="27" t="s">
        <v>422</v>
      </c>
      <c r="F428" s="27" t="s">
        <v>335</v>
      </c>
      <c r="G428" s="27" t="s">
        <v>336</v>
      </c>
    </row>
    <row r="429" spans="2:7" x14ac:dyDescent="0.45">
      <c r="B429" s="27">
        <v>126</v>
      </c>
      <c r="C429" s="27" t="s">
        <v>420</v>
      </c>
      <c r="D429" s="27" t="s">
        <v>424</v>
      </c>
      <c r="E429" s="27" t="s">
        <v>422</v>
      </c>
      <c r="F429" s="27" t="s">
        <v>335</v>
      </c>
      <c r="G429" s="27" t="s">
        <v>336</v>
      </c>
    </row>
    <row r="430" spans="2:7" x14ac:dyDescent="0.45">
      <c r="B430" s="27">
        <v>127</v>
      </c>
      <c r="C430" s="27" t="s">
        <v>420</v>
      </c>
      <c r="D430" s="27" t="s">
        <v>425</v>
      </c>
      <c r="E430" s="27" t="s">
        <v>422</v>
      </c>
      <c r="F430" s="27" t="s">
        <v>335</v>
      </c>
      <c r="G430" s="27" t="s">
        <v>336</v>
      </c>
    </row>
    <row r="431" spans="2:7" x14ac:dyDescent="0.45">
      <c r="B431" s="27">
        <v>128</v>
      </c>
      <c r="C431" s="27" t="s">
        <v>420</v>
      </c>
      <c r="D431" s="27" t="s">
        <v>426</v>
      </c>
      <c r="E431" s="27" t="s">
        <v>422</v>
      </c>
      <c r="F431" s="27" t="s">
        <v>335</v>
      </c>
      <c r="G431" s="27" t="s">
        <v>336</v>
      </c>
    </row>
    <row r="432" spans="2:7" x14ac:dyDescent="0.45">
      <c r="B432" s="27">
        <v>129</v>
      </c>
      <c r="C432" s="27" t="s">
        <v>420</v>
      </c>
      <c r="D432" s="27" t="s">
        <v>427</v>
      </c>
      <c r="E432" s="27" t="s">
        <v>422</v>
      </c>
      <c r="F432" s="27" t="s">
        <v>335</v>
      </c>
      <c r="G432" s="27" t="s">
        <v>336</v>
      </c>
    </row>
    <row r="433" spans="2:7" x14ac:dyDescent="0.45">
      <c r="B433" s="27">
        <v>130</v>
      </c>
      <c r="C433" s="27" t="s">
        <v>420</v>
      </c>
      <c r="D433" s="27" t="s">
        <v>428</v>
      </c>
      <c r="E433" s="27" t="s">
        <v>422</v>
      </c>
      <c r="F433" s="27" t="s">
        <v>335</v>
      </c>
      <c r="G433" s="27" t="s">
        <v>336</v>
      </c>
    </row>
    <row r="437" spans="2:7" ht="42" customHeight="1" x14ac:dyDescent="0.45">
      <c r="B437" s="25" t="s">
        <v>429</v>
      </c>
      <c r="C437" s="63" t="s">
        <v>430</v>
      </c>
      <c r="D437" s="56"/>
      <c r="E437" s="56"/>
      <c r="F437" s="56"/>
      <c r="G437" s="56"/>
    </row>
    <row r="438" spans="2:7" x14ac:dyDescent="0.45">
      <c r="B438" s="26" t="s">
        <v>35</v>
      </c>
      <c r="C438" s="26" t="s">
        <v>330</v>
      </c>
      <c r="D438" s="26" t="s">
        <v>331</v>
      </c>
      <c r="E438" s="26" t="s">
        <v>70</v>
      </c>
      <c r="F438" s="26" t="s">
        <v>74</v>
      </c>
      <c r="G438" s="26" t="s">
        <v>332</v>
      </c>
    </row>
    <row r="439" spans="2:7" x14ac:dyDescent="0.45">
      <c r="B439" s="27">
        <v>131</v>
      </c>
      <c r="C439" s="27" t="s">
        <v>431</v>
      </c>
      <c r="D439" s="27" t="s">
        <v>421</v>
      </c>
      <c r="E439" s="27" t="s">
        <v>422</v>
      </c>
      <c r="F439" s="27" t="s">
        <v>335</v>
      </c>
      <c r="G439" s="27" t="s">
        <v>336</v>
      </c>
    </row>
    <row r="440" spans="2:7" x14ac:dyDescent="0.45">
      <c r="B440" s="27">
        <v>132</v>
      </c>
      <c r="C440" s="27" t="s">
        <v>431</v>
      </c>
      <c r="D440" s="27" t="s">
        <v>423</v>
      </c>
      <c r="E440" s="27" t="s">
        <v>422</v>
      </c>
      <c r="F440" s="27" t="s">
        <v>335</v>
      </c>
      <c r="G440" s="27" t="s">
        <v>336</v>
      </c>
    </row>
    <row r="441" spans="2:7" x14ac:dyDescent="0.45">
      <c r="B441" s="27">
        <v>133</v>
      </c>
      <c r="C441" s="27" t="s">
        <v>431</v>
      </c>
      <c r="D441" s="27" t="s">
        <v>424</v>
      </c>
      <c r="E441" s="27" t="s">
        <v>422</v>
      </c>
      <c r="F441" s="27" t="s">
        <v>335</v>
      </c>
      <c r="G441" s="27" t="s">
        <v>336</v>
      </c>
    </row>
    <row r="442" spans="2:7" x14ac:dyDescent="0.45">
      <c r="B442" s="27">
        <v>134</v>
      </c>
      <c r="C442" s="27" t="s">
        <v>431</v>
      </c>
      <c r="D442" s="27" t="s">
        <v>425</v>
      </c>
      <c r="E442" s="27" t="s">
        <v>422</v>
      </c>
      <c r="F442" s="27" t="s">
        <v>335</v>
      </c>
      <c r="G442" s="27" t="s">
        <v>336</v>
      </c>
    </row>
    <row r="443" spans="2:7" x14ac:dyDescent="0.45">
      <c r="B443" s="27">
        <v>135</v>
      </c>
      <c r="C443" s="27" t="s">
        <v>431</v>
      </c>
      <c r="D443" s="27" t="s">
        <v>426</v>
      </c>
      <c r="E443" s="27" t="s">
        <v>422</v>
      </c>
      <c r="F443" s="27" t="s">
        <v>335</v>
      </c>
      <c r="G443" s="27" t="s">
        <v>336</v>
      </c>
    </row>
    <row r="444" spans="2:7" x14ac:dyDescent="0.45">
      <c r="B444" s="27">
        <v>136</v>
      </c>
      <c r="C444" s="27" t="s">
        <v>431</v>
      </c>
      <c r="D444" s="27" t="s">
        <v>427</v>
      </c>
      <c r="E444" s="27" t="s">
        <v>422</v>
      </c>
      <c r="F444" s="27" t="s">
        <v>335</v>
      </c>
      <c r="G444" s="27" t="s">
        <v>336</v>
      </c>
    </row>
    <row r="445" spans="2:7" x14ac:dyDescent="0.45">
      <c r="B445" s="27">
        <v>137</v>
      </c>
      <c r="C445" s="27" t="s">
        <v>431</v>
      </c>
      <c r="D445" s="27" t="s">
        <v>428</v>
      </c>
      <c r="E445" s="27" t="s">
        <v>422</v>
      </c>
      <c r="F445" s="27" t="s">
        <v>335</v>
      </c>
      <c r="G445" s="27" t="s">
        <v>336</v>
      </c>
    </row>
    <row r="450" spans="2:7" ht="16.5" x14ac:dyDescent="0.45">
      <c r="B450" s="21" t="s">
        <v>432</v>
      </c>
    </row>
    <row r="451" spans="2:7" ht="42" customHeight="1" x14ac:dyDescent="0.45">
      <c r="B451" s="25" t="s">
        <v>433</v>
      </c>
      <c r="C451" s="63" t="s">
        <v>434</v>
      </c>
      <c r="D451" s="56"/>
      <c r="E451" s="56"/>
      <c r="F451" s="56"/>
      <c r="G451" s="56"/>
    </row>
    <row r="452" spans="2:7" x14ac:dyDescent="0.45">
      <c r="B452" s="26" t="s">
        <v>35</v>
      </c>
      <c r="C452" s="26" t="s">
        <v>330</v>
      </c>
      <c r="D452" s="26" t="s">
        <v>435</v>
      </c>
      <c r="E452" s="26" t="s">
        <v>436</v>
      </c>
      <c r="F452" s="26" t="s">
        <v>437</v>
      </c>
      <c r="G452" s="26" t="s">
        <v>438</v>
      </c>
    </row>
    <row r="453" spans="2:7" x14ac:dyDescent="0.45">
      <c r="B453" s="27">
        <v>1</v>
      </c>
      <c r="C453" s="27" t="s">
        <v>439</v>
      </c>
      <c r="D453" s="27" t="s">
        <v>440</v>
      </c>
      <c r="E453" s="27">
        <v>1</v>
      </c>
      <c r="F453" s="27" t="s">
        <v>441</v>
      </c>
      <c r="G453" s="27" t="s">
        <v>442</v>
      </c>
    </row>
    <row r="454" spans="2:7" x14ac:dyDescent="0.45">
      <c r="B454" s="27">
        <v>2</v>
      </c>
      <c r="C454" s="27" t="s">
        <v>439</v>
      </c>
      <c r="D454" s="27" t="s">
        <v>443</v>
      </c>
      <c r="E454" s="27">
        <v>2</v>
      </c>
      <c r="F454" s="27" t="s">
        <v>441</v>
      </c>
      <c r="G454" s="27" t="s">
        <v>442</v>
      </c>
    </row>
    <row r="455" spans="2:7" x14ac:dyDescent="0.45">
      <c r="B455" s="27">
        <v>3</v>
      </c>
      <c r="C455" s="27" t="s">
        <v>439</v>
      </c>
      <c r="D455" s="27" t="s">
        <v>444</v>
      </c>
      <c r="E455" s="27">
        <v>3</v>
      </c>
      <c r="F455" s="27" t="s">
        <v>441</v>
      </c>
      <c r="G455" s="27" t="s">
        <v>442</v>
      </c>
    </row>
    <row r="463" spans="2:7" ht="42" customHeight="1" x14ac:dyDescent="0.45">
      <c r="B463" s="25" t="s">
        <v>445</v>
      </c>
      <c r="C463" s="63" t="s">
        <v>446</v>
      </c>
      <c r="D463" s="56"/>
      <c r="E463" s="56"/>
      <c r="F463" s="56"/>
      <c r="G463" s="56"/>
    </row>
    <row r="464" spans="2:7" x14ac:dyDescent="0.45">
      <c r="B464" s="26" t="s">
        <v>35</v>
      </c>
      <c r="C464" s="26" t="s">
        <v>330</v>
      </c>
      <c r="D464" s="26" t="s">
        <v>435</v>
      </c>
      <c r="E464" s="26" t="s">
        <v>436</v>
      </c>
      <c r="F464" s="26" t="s">
        <v>437</v>
      </c>
      <c r="G464" s="26" t="s">
        <v>438</v>
      </c>
    </row>
    <row r="465" spans="2:7" x14ac:dyDescent="0.45">
      <c r="B465" s="27">
        <v>4</v>
      </c>
      <c r="C465" s="27" t="s">
        <v>447</v>
      </c>
      <c r="D465" s="27" t="s">
        <v>440</v>
      </c>
      <c r="E465" s="27">
        <v>1</v>
      </c>
      <c r="F465" s="27" t="s">
        <v>441</v>
      </c>
      <c r="G465" s="27" t="s">
        <v>448</v>
      </c>
    </row>
    <row r="466" spans="2:7" x14ac:dyDescent="0.45">
      <c r="B466" s="27">
        <v>5</v>
      </c>
      <c r="C466" s="27" t="s">
        <v>447</v>
      </c>
      <c r="D466" s="27" t="s">
        <v>443</v>
      </c>
      <c r="E466" s="27">
        <v>2</v>
      </c>
      <c r="F466" s="27" t="s">
        <v>441</v>
      </c>
      <c r="G466" s="27" t="s">
        <v>448</v>
      </c>
    </row>
    <row r="467" spans="2:7" x14ac:dyDescent="0.45">
      <c r="B467" s="27">
        <v>6</v>
      </c>
      <c r="C467" s="27" t="s">
        <v>447</v>
      </c>
      <c r="D467" s="27" t="s">
        <v>444</v>
      </c>
      <c r="E467" s="27">
        <v>3</v>
      </c>
      <c r="F467" s="27" t="s">
        <v>441</v>
      </c>
      <c r="G467" s="27" t="s">
        <v>448</v>
      </c>
    </row>
    <row r="475" spans="2:7" ht="42" customHeight="1" x14ac:dyDescent="0.45">
      <c r="B475" s="25" t="s">
        <v>449</v>
      </c>
      <c r="C475" s="63" t="s">
        <v>450</v>
      </c>
      <c r="D475" s="56"/>
      <c r="E475" s="56"/>
      <c r="F475" s="56"/>
      <c r="G475" s="56"/>
    </row>
    <row r="476" spans="2:7" x14ac:dyDescent="0.45">
      <c r="B476" s="26" t="s">
        <v>35</v>
      </c>
      <c r="C476" s="26" t="s">
        <v>330</v>
      </c>
      <c r="D476" s="26" t="s">
        <v>435</v>
      </c>
      <c r="E476" s="26" t="s">
        <v>436</v>
      </c>
      <c r="F476" s="26" t="s">
        <v>437</v>
      </c>
      <c r="G476" s="26" t="s">
        <v>438</v>
      </c>
    </row>
    <row r="477" spans="2:7" x14ac:dyDescent="0.45">
      <c r="B477" s="27">
        <v>7</v>
      </c>
      <c r="C477" s="27" t="s">
        <v>451</v>
      </c>
      <c r="D477" s="27" t="s">
        <v>440</v>
      </c>
      <c r="E477" s="27">
        <v>1</v>
      </c>
      <c r="F477" s="27" t="s">
        <v>441</v>
      </c>
      <c r="G477" s="27" t="s">
        <v>452</v>
      </c>
    </row>
    <row r="478" spans="2:7" x14ac:dyDescent="0.45">
      <c r="B478" s="27">
        <v>8</v>
      </c>
      <c r="C478" s="27" t="s">
        <v>451</v>
      </c>
      <c r="D478" s="27" t="s">
        <v>453</v>
      </c>
      <c r="E478" s="27">
        <v>2</v>
      </c>
      <c r="F478" s="27" t="s">
        <v>441</v>
      </c>
      <c r="G478" s="27" t="s">
        <v>452</v>
      </c>
    </row>
    <row r="479" spans="2:7" x14ac:dyDescent="0.45">
      <c r="B479" s="27">
        <v>9</v>
      </c>
      <c r="C479" s="27" t="s">
        <v>451</v>
      </c>
      <c r="D479" s="27" t="s">
        <v>453</v>
      </c>
      <c r="E479" s="27">
        <v>3</v>
      </c>
      <c r="F479" s="27" t="s">
        <v>441</v>
      </c>
      <c r="G479" s="27" t="s">
        <v>452</v>
      </c>
    </row>
    <row r="487" spans="2:7" ht="42" customHeight="1" x14ac:dyDescent="0.45">
      <c r="B487" s="25" t="s">
        <v>454</v>
      </c>
      <c r="C487" s="63" t="s">
        <v>455</v>
      </c>
      <c r="D487" s="56"/>
      <c r="E487" s="56"/>
      <c r="F487" s="56"/>
      <c r="G487" s="56"/>
    </row>
    <row r="488" spans="2:7" x14ac:dyDescent="0.45">
      <c r="B488" s="26" t="s">
        <v>35</v>
      </c>
      <c r="C488" s="26" t="s">
        <v>330</v>
      </c>
      <c r="D488" s="26" t="s">
        <v>435</v>
      </c>
      <c r="E488" s="26" t="s">
        <v>436</v>
      </c>
      <c r="F488" s="26" t="s">
        <v>437</v>
      </c>
      <c r="G488" s="26" t="s">
        <v>438</v>
      </c>
    </row>
    <row r="489" spans="2:7" x14ac:dyDescent="0.45">
      <c r="B489" s="27">
        <v>10</v>
      </c>
      <c r="C489" s="27" t="s">
        <v>456</v>
      </c>
      <c r="D489" s="27" t="s">
        <v>440</v>
      </c>
      <c r="E489" s="27">
        <v>1</v>
      </c>
      <c r="F489" s="27" t="s">
        <v>441</v>
      </c>
      <c r="G489" s="27" t="s">
        <v>457</v>
      </c>
    </row>
    <row r="490" spans="2:7" x14ac:dyDescent="0.45">
      <c r="B490" s="27">
        <v>11</v>
      </c>
      <c r="C490" s="27" t="s">
        <v>456</v>
      </c>
      <c r="D490" s="27" t="s">
        <v>453</v>
      </c>
      <c r="E490" s="27">
        <v>2</v>
      </c>
      <c r="F490" s="27" t="s">
        <v>441</v>
      </c>
      <c r="G490" s="27" t="s">
        <v>457</v>
      </c>
    </row>
    <row r="491" spans="2:7" x14ac:dyDescent="0.45">
      <c r="B491" s="27">
        <v>12</v>
      </c>
      <c r="C491" s="27" t="s">
        <v>456</v>
      </c>
      <c r="D491" s="27" t="s">
        <v>453</v>
      </c>
      <c r="E491" s="27">
        <v>3</v>
      </c>
      <c r="F491" s="27" t="s">
        <v>441</v>
      </c>
      <c r="G491" s="27" t="s">
        <v>457</v>
      </c>
    </row>
    <row r="499" spans="2:7" ht="42" customHeight="1" x14ac:dyDescent="0.45">
      <c r="B499" s="25" t="s">
        <v>458</v>
      </c>
      <c r="C499" s="63" t="s">
        <v>459</v>
      </c>
      <c r="D499" s="56"/>
      <c r="E499" s="56"/>
      <c r="F499" s="56"/>
      <c r="G499" s="56"/>
    </row>
    <row r="500" spans="2:7" x14ac:dyDescent="0.45">
      <c r="B500" s="26" t="s">
        <v>35</v>
      </c>
      <c r="C500" s="26" t="s">
        <v>330</v>
      </c>
      <c r="D500" s="26" t="s">
        <v>435</v>
      </c>
      <c r="E500" s="26" t="s">
        <v>436</v>
      </c>
      <c r="F500" s="26" t="s">
        <v>437</v>
      </c>
      <c r="G500" s="26" t="s">
        <v>438</v>
      </c>
    </row>
    <row r="501" spans="2:7" x14ac:dyDescent="0.45">
      <c r="B501" s="27">
        <v>13</v>
      </c>
      <c r="C501" s="27" t="s">
        <v>460</v>
      </c>
      <c r="D501" s="27" t="s">
        <v>440</v>
      </c>
      <c r="E501" s="27">
        <v>1</v>
      </c>
      <c r="F501" s="27" t="s">
        <v>441</v>
      </c>
      <c r="G501" s="27" t="s">
        <v>461</v>
      </c>
    </row>
    <row r="502" spans="2:7" x14ac:dyDescent="0.45">
      <c r="B502" s="27">
        <v>14</v>
      </c>
      <c r="C502" s="27" t="s">
        <v>460</v>
      </c>
      <c r="D502" s="27" t="s">
        <v>453</v>
      </c>
      <c r="E502" s="27">
        <v>2</v>
      </c>
      <c r="F502" s="27" t="s">
        <v>441</v>
      </c>
      <c r="G502" s="27" t="s">
        <v>461</v>
      </c>
    </row>
    <row r="503" spans="2:7" x14ac:dyDescent="0.45">
      <c r="B503" s="27">
        <v>15</v>
      </c>
      <c r="C503" s="27" t="s">
        <v>460</v>
      </c>
      <c r="D503" s="27" t="s">
        <v>453</v>
      </c>
      <c r="E503" s="27">
        <v>3</v>
      </c>
      <c r="F503" s="27" t="s">
        <v>441</v>
      </c>
      <c r="G503" s="27" t="s">
        <v>461</v>
      </c>
    </row>
    <row r="511" spans="2:7" ht="42" customHeight="1" x14ac:dyDescent="0.45">
      <c r="B511" s="25" t="s">
        <v>462</v>
      </c>
      <c r="C511" s="63" t="s">
        <v>463</v>
      </c>
      <c r="D511" s="56"/>
      <c r="E511" s="56"/>
      <c r="F511" s="56"/>
      <c r="G511" s="56"/>
    </row>
    <row r="512" spans="2:7" x14ac:dyDescent="0.45">
      <c r="B512" s="26" t="s">
        <v>35</v>
      </c>
      <c r="C512" s="26" t="s">
        <v>330</v>
      </c>
      <c r="D512" s="26" t="s">
        <v>435</v>
      </c>
      <c r="E512" s="26" t="s">
        <v>436</v>
      </c>
      <c r="F512" s="26" t="s">
        <v>437</v>
      </c>
      <c r="G512" s="26" t="s">
        <v>438</v>
      </c>
    </row>
    <row r="513" spans="2:7" x14ac:dyDescent="0.45">
      <c r="B513" s="27">
        <v>16</v>
      </c>
      <c r="C513" s="27" t="s">
        <v>464</v>
      </c>
      <c r="D513" s="27" t="s">
        <v>465</v>
      </c>
      <c r="E513" s="27">
        <v>3</v>
      </c>
      <c r="F513" s="27" t="s">
        <v>441</v>
      </c>
      <c r="G513" s="27" t="s">
        <v>442</v>
      </c>
    </row>
    <row r="514" spans="2:7" x14ac:dyDescent="0.45">
      <c r="B514" s="27">
        <v>17</v>
      </c>
      <c r="C514" s="27" t="s">
        <v>466</v>
      </c>
      <c r="D514" s="27" t="s">
        <v>465</v>
      </c>
      <c r="E514" s="27">
        <v>3</v>
      </c>
      <c r="F514" s="27" t="s">
        <v>441</v>
      </c>
      <c r="G514" s="27" t="s">
        <v>467</v>
      </c>
    </row>
    <row r="515" spans="2:7" x14ac:dyDescent="0.45">
      <c r="B515" s="27">
        <v>18</v>
      </c>
      <c r="C515" s="27" t="s">
        <v>468</v>
      </c>
      <c r="D515" s="27" t="s">
        <v>465</v>
      </c>
      <c r="E515" s="27">
        <v>3</v>
      </c>
      <c r="F515" s="27" t="s">
        <v>441</v>
      </c>
      <c r="G515" s="27" t="s">
        <v>469</v>
      </c>
    </row>
    <row r="523" spans="2:7" ht="42" customHeight="1" x14ac:dyDescent="0.45">
      <c r="B523" s="25" t="s">
        <v>470</v>
      </c>
      <c r="C523" s="63" t="s">
        <v>471</v>
      </c>
      <c r="D523" s="56"/>
      <c r="E523" s="56"/>
      <c r="F523" s="56"/>
      <c r="G523" s="56"/>
    </row>
    <row r="524" spans="2:7" x14ac:dyDescent="0.45">
      <c r="B524" s="26" t="s">
        <v>35</v>
      </c>
      <c r="C524" s="26" t="s">
        <v>330</v>
      </c>
      <c r="D524" s="26" t="s">
        <v>435</v>
      </c>
      <c r="E524" s="26" t="s">
        <v>436</v>
      </c>
      <c r="F524" s="26" t="s">
        <v>437</v>
      </c>
      <c r="G524" s="26" t="s">
        <v>438</v>
      </c>
    </row>
    <row r="525" spans="2:7" x14ac:dyDescent="0.45">
      <c r="B525" s="27">
        <v>19</v>
      </c>
      <c r="C525" s="27" t="s">
        <v>472</v>
      </c>
      <c r="D525" s="27" t="s">
        <v>453</v>
      </c>
      <c r="E525" s="27">
        <v>3</v>
      </c>
      <c r="F525" s="27" t="s">
        <v>441</v>
      </c>
      <c r="G525" s="27" t="s">
        <v>467</v>
      </c>
    </row>
    <row r="526" spans="2:7" x14ac:dyDescent="0.45">
      <c r="B526" s="27">
        <v>20</v>
      </c>
      <c r="C526" s="27" t="s">
        <v>473</v>
      </c>
      <c r="D526" s="27" t="s">
        <v>453</v>
      </c>
      <c r="E526" s="27">
        <v>3</v>
      </c>
      <c r="F526" s="27" t="s">
        <v>441</v>
      </c>
      <c r="G526" s="27" t="s">
        <v>469</v>
      </c>
    </row>
    <row r="527" spans="2:7" x14ac:dyDescent="0.45">
      <c r="B527" s="27">
        <v>21</v>
      </c>
      <c r="C527" s="27" t="s">
        <v>474</v>
      </c>
      <c r="D527" s="27" t="s">
        <v>453</v>
      </c>
      <c r="E527" s="27">
        <v>3</v>
      </c>
      <c r="F527" s="27" t="s">
        <v>441</v>
      </c>
      <c r="G527" s="27" t="s">
        <v>475</v>
      </c>
    </row>
    <row r="528" spans="2:7" x14ac:dyDescent="0.45">
      <c r="B528" s="27">
        <v>22</v>
      </c>
      <c r="C528" s="27" t="s">
        <v>472</v>
      </c>
      <c r="D528" s="27" t="s">
        <v>453</v>
      </c>
      <c r="E528" s="27">
        <v>3</v>
      </c>
      <c r="F528" s="27" t="s">
        <v>441</v>
      </c>
      <c r="G528" s="27" t="s">
        <v>452</v>
      </c>
    </row>
    <row r="529" spans="2:7" x14ac:dyDescent="0.45">
      <c r="B529" s="27">
        <v>23</v>
      </c>
      <c r="C529" s="27" t="s">
        <v>473</v>
      </c>
      <c r="D529" s="27" t="s">
        <v>453</v>
      </c>
      <c r="E529" s="27">
        <v>3</v>
      </c>
      <c r="F529" s="27" t="s">
        <v>441</v>
      </c>
      <c r="G529" s="27" t="s">
        <v>457</v>
      </c>
    </row>
    <row r="530" spans="2:7" x14ac:dyDescent="0.45">
      <c r="B530" s="27">
        <v>24</v>
      </c>
      <c r="C530" s="27" t="s">
        <v>474</v>
      </c>
      <c r="D530" s="27" t="s">
        <v>453</v>
      </c>
      <c r="E530" s="27">
        <v>3</v>
      </c>
      <c r="F530" s="27" t="s">
        <v>441</v>
      </c>
      <c r="G530" s="27" t="s">
        <v>461</v>
      </c>
    </row>
    <row r="531" spans="2:7" x14ac:dyDescent="0.45">
      <c r="B531" s="27">
        <v>39</v>
      </c>
      <c r="C531" s="27" t="s">
        <v>476</v>
      </c>
      <c r="D531" s="27" t="s">
        <v>453</v>
      </c>
      <c r="E531" s="27">
        <v>3</v>
      </c>
      <c r="F531" s="27" t="s">
        <v>477</v>
      </c>
      <c r="G531" s="27" t="s">
        <v>467</v>
      </c>
    </row>
    <row r="532" spans="2:7" x14ac:dyDescent="0.45">
      <c r="B532" s="27">
        <v>40</v>
      </c>
      <c r="C532" s="27" t="s">
        <v>478</v>
      </c>
      <c r="D532" s="27" t="s">
        <v>453</v>
      </c>
      <c r="E532" s="27">
        <v>3</v>
      </c>
      <c r="F532" s="27" t="s">
        <v>477</v>
      </c>
      <c r="G532" s="27" t="s">
        <v>469</v>
      </c>
    </row>
    <row r="533" spans="2:7" x14ac:dyDescent="0.45">
      <c r="B533" s="27">
        <v>41</v>
      </c>
      <c r="C533" s="27" t="s">
        <v>479</v>
      </c>
      <c r="D533" s="27" t="s">
        <v>453</v>
      </c>
      <c r="E533" s="27">
        <v>3</v>
      </c>
      <c r="F533" s="27" t="s">
        <v>477</v>
      </c>
      <c r="G533" s="27" t="s">
        <v>475</v>
      </c>
    </row>
    <row r="534" spans="2:7" x14ac:dyDescent="0.45">
      <c r="B534" s="27">
        <v>42</v>
      </c>
      <c r="C534" s="27" t="s">
        <v>476</v>
      </c>
      <c r="D534" s="27" t="s">
        <v>453</v>
      </c>
      <c r="E534" s="27">
        <v>3</v>
      </c>
      <c r="F534" s="27" t="s">
        <v>477</v>
      </c>
      <c r="G534" s="27" t="s">
        <v>452</v>
      </c>
    </row>
    <row r="535" spans="2:7" x14ac:dyDescent="0.45">
      <c r="B535" s="27">
        <v>43</v>
      </c>
      <c r="C535" s="27" t="s">
        <v>478</v>
      </c>
      <c r="D535" s="27" t="s">
        <v>453</v>
      </c>
      <c r="E535" s="27">
        <v>3</v>
      </c>
      <c r="F535" s="27" t="s">
        <v>477</v>
      </c>
      <c r="G535" s="27" t="s">
        <v>457</v>
      </c>
    </row>
    <row r="536" spans="2:7" x14ac:dyDescent="0.45">
      <c r="B536" s="27">
        <v>44</v>
      </c>
      <c r="C536" s="27" t="s">
        <v>479</v>
      </c>
      <c r="D536" s="27" t="s">
        <v>453</v>
      </c>
      <c r="E536" s="27">
        <v>3</v>
      </c>
      <c r="F536" s="27" t="s">
        <v>477</v>
      </c>
      <c r="G536" s="27" t="s">
        <v>461</v>
      </c>
    </row>
    <row r="537" spans="2:7" x14ac:dyDescent="0.45">
      <c r="B537" s="27">
        <v>45</v>
      </c>
      <c r="C537" s="27" t="s">
        <v>480</v>
      </c>
      <c r="D537" s="27" t="s">
        <v>453</v>
      </c>
      <c r="E537" s="27">
        <v>3</v>
      </c>
      <c r="F537" s="27" t="s">
        <v>481</v>
      </c>
      <c r="G537" s="27" t="s">
        <v>467</v>
      </c>
    </row>
    <row r="538" spans="2:7" x14ac:dyDescent="0.45">
      <c r="B538" s="27">
        <v>46</v>
      </c>
      <c r="C538" s="27" t="s">
        <v>482</v>
      </c>
      <c r="D538" s="27" t="s">
        <v>453</v>
      </c>
      <c r="E538" s="27">
        <v>3</v>
      </c>
      <c r="F538" s="27" t="s">
        <v>481</v>
      </c>
      <c r="G538" s="27" t="s">
        <v>469</v>
      </c>
    </row>
    <row r="539" spans="2:7" x14ac:dyDescent="0.45">
      <c r="B539" s="27">
        <v>47</v>
      </c>
      <c r="C539" s="27" t="s">
        <v>483</v>
      </c>
      <c r="D539" s="27" t="s">
        <v>453</v>
      </c>
      <c r="E539" s="27">
        <v>3</v>
      </c>
      <c r="F539" s="27" t="s">
        <v>481</v>
      </c>
      <c r="G539" s="27" t="s">
        <v>475</v>
      </c>
    </row>
    <row r="540" spans="2:7" x14ac:dyDescent="0.45">
      <c r="B540" s="27">
        <v>48</v>
      </c>
      <c r="C540" s="27" t="s">
        <v>480</v>
      </c>
      <c r="D540" s="27" t="s">
        <v>453</v>
      </c>
      <c r="E540" s="27">
        <v>3</v>
      </c>
      <c r="F540" s="27" t="s">
        <v>481</v>
      </c>
      <c r="G540" s="27" t="s">
        <v>452</v>
      </c>
    </row>
    <row r="541" spans="2:7" x14ac:dyDescent="0.45">
      <c r="B541" s="27">
        <v>49</v>
      </c>
      <c r="C541" s="27" t="s">
        <v>482</v>
      </c>
      <c r="D541" s="27" t="s">
        <v>453</v>
      </c>
      <c r="E541" s="27">
        <v>3</v>
      </c>
      <c r="F541" s="27" t="s">
        <v>481</v>
      </c>
      <c r="G541" s="27" t="s">
        <v>457</v>
      </c>
    </row>
    <row r="542" spans="2:7" x14ac:dyDescent="0.45">
      <c r="B542" s="27">
        <v>50</v>
      </c>
      <c r="C542" s="27" t="s">
        <v>483</v>
      </c>
      <c r="D542" s="27" t="s">
        <v>453</v>
      </c>
      <c r="E542" s="27">
        <v>3</v>
      </c>
      <c r="F542" s="27" t="s">
        <v>481</v>
      </c>
      <c r="G542" s="27" t="s">
        <v>461</v>
      </c>
    </row>
    <row r="543" spans="2:7" x14ac:dyDescent="0.45">
      <c r="B543" s="27">
        <v>51</v>
      </c>
      <c r="C543" s="27" t="s">
        <v>484</v>
      </c>
      <c r="D543" s="27" t="s">
        <v>453</v>
      </c>
      <c r="E543" s="27">
        <v>3</v>
      </c>
      <c r="F543" s="27" t="s">
        <v>481</v>
      </c>
      <c r="G543" s="27" t="s">
        <v>467</v>
      </c>
    </row>
    <row r="544" spans="2:7" x14ac:dyDescent="0.45">
      <c r="B544" s="27">
        <v>52</v>
      </c>
      <c r="C544" s="27" t="s">
        <v>485</v>
      </c>
      <c r="D544" s="27" t="s">
        <v>453</v>
      </c>
      <c r="E544" s="27">
        <v>3</v>
      </c>
      <c r="F544" s="27" t="s">
        <v>481</v>
      </c>
      <c r="G544" s="27" t="s">
        <v>469</v>
      </c>
    </row>
    <row r="545" spans="2:7" x14ac:dyDescent="0.45">
      <c r="B545" s="27">
        <v>53</v>
      </c>
      <c r="C545" s="27" t="s">
        <v>486</v>
      </c>
      <c r="D545" s="27" t="s">
        <v>453</v>
      </c>
      <c r="E545" s="27">
        <v>3</v>
      </c>
      <c r="F545" s="27" t="s">
        <v>481</v>
      </c>
      <c r="G545" s="27" t="s">
        <v>475</v>
      </c>
    </row>
    <row r="546" spans="2:7" x14ac:dyDescent="0.45">
      <c r="B546" s="27">
        <v>54</v>
      </c>
      <c r="C546" s="27" t="s">
        <v>484</v>
      </c>
      <c r="D546" s="27" t="s">
        <v>453</v>
      </c>
      <c r="E546" s="27">
        <v>3</v>
      </c>
      <c r="F546" s="27" t="s">
        <v>481</v>
      </c>
      <c r="G546" s="27" t="s">
        <v>452</v>
      </c>
    </row>
    <row r="547" spans="2:7" x14ac:dyDescent="0.45">
      <c r="B547" s="27">
        <v>55</v>
      </c>
      <c r="C547" s="27" t="s">
        <v>485</v>
      </c>
      <c r="D547" s="27" t="s">
        <v>453</v>
      </c>
      <c r="E547" s="27">
        <v>3</v>
      </c>
      <c r="F547" s="27" t="s">
        <v>481</v>
      </c>
      <c r="G547" s="27" t="s">
        <v>457</v>
      </c>
    </row>
    <row r="548" spans="2:7" x14ac:dyDescent="0.45">
      <c r="B548" s="27">
        <v>56</v>
      </c>
      <c r="C548" s="27" t="s">
        <v>486</v>
      </c>
      <c r="D548" s="27" t="s">
        <v>453</v>
      </c>
      <c r="E548" s="27">
        <v>3</v>
      </c>
      <c r="F548" s="27" t="s">
        <v>481</v>
      </c>
      <c r="G548" s="27" t="s">
        <v>461</v>
      </c>
    </row>
    <row r="550" spans="2:7" ht="42" customHeight="1" x14ac:dyDescent="0.45">
      <c r="B550" s="25" t="s">
        <v>487</v>
      </c>
      <c r="C550" s="63" t="s">
        <v>471</v>
      </c>
      <c r="D550" s="56"/>
      <c r="E550" s="56"/>
      <c r="F550" s="56"/>
      <c r="G550" s="56"/>
    </row>
    <row r="551" spans="2:7" x14ac:dyDescent="0.45">
      <c r="B551" s="26" t="s">
        <v>35</v>
      </c>
      <c r="C551" s="26" t="s">
        <v>330</v>
      </c>
      <c r="D551" s="26" t="s">
        <v>435</v>
      </c>
      <c r="E551" s="26" t="s">
        <v>436</v>
      </c>
      <c r="F551" s="26" t="s">
        <v>437</v>
      </c>
      <c r="G551" s="26" t="s">
        <v>438</v>
      </c>
    </row>
    <row r="552" spans="2:7" x14ac:dyDescent="0.45">
      <c r="B552" s="27">
        <v>25</v>
      </c>
      <c r="C552" s="27" t="s">
        <v>488</v>
      </c>
      <c r="D552" s="27" t="s">
        <v>489</v>
      </c>
      <c r="E552" s="27">
        <v>3</v>
      </c>
      <c r="F552" s="27" t="s">
        <v>441</v>
      </c>
      <c r="G552" s="27" t="s">
        <v>467</v>
      </c>
    </row>
    <row r="553" spans="2:7" x14ac:dyDescent="0.45">
      <c r="B553" s="27">
        <v>26</v>
      </c>
      <c r="C553" s="27" t="s">
        <v>490</v>
      </c>
      <c r="D553" s="27" t="s">
        <v>489</v>
      </c>
      <c r="E553" s="27">
        <v>3</v>
      </c>
      <c r="F553" s="27" t="s">
        <v>441</v>
      </c>
      <c r="G553" s="27" t="s">
        <v>469</v>
      </c>
    </row>
    <row r="554" spans="2:7" x14ac:dyDescent="0.45">
      <c r="B554" s="27">
        <v>27</v>
      </c>
      <c r="C554" s="27" t="s">
        <v>491</v>
      </c>
      <c r="D554" s="27" t="s">
        <v>489</v>
      </c>
      <c r="E554" s="27">
        <v>3</v>
      </c>
      <c r="F554" s="27" t="s">
        <v>441</v>
      </c>
      <c r="G554" s="27" t="s">
        <v>475</v>
      </c>
    </row>
    <row r="555" spans="2:7" x14ac:dyDescent="0.45">
      <c r="B555" s="27">
        <v>28</v>
      </c>
      <c r="C555" s="27" t="s">
        <v>488</v>
      </c>
      <c r="D555" s="27" t="s">
        <v>489</v>
      </c>
      <c r="E555" s="27">
        <v>3</v>
      </c>
      <c r="F555" s="27" t="s">
        <v>441</v>
      </c>
      <c r="G555" s="27" t="s">
        <v>452</v>
      </c>
    </row>
    <row r="556" spans="2:7" x14ac:dyDescent="0.45">
      <c r="B556" s="27">
        <v>29</v>
      </c>
      <c r="C556" s="27" t="s">
        <v>490</v>
      </c>
      <c r="D556" s="27" t="s">
        <v>489</v>
      </c>
      <c r="E556" s="27">
        <v>3</v>
      </c>
      <c r="F556" s="27" t="s">
        <v>441</v>
      </c>
      <c r="G556" s="27" t="s">
        <v>457</v>
      </c>
    </row>
    <row r="557" spans="2:7" x14ac:dyDescent="0.45">
      <c r="B557" s="27">
        <v>30</v>
      </c>
      <c r="C557" s="27" t="s">
        <v>491</v>
      </c>
      <c r="D557" s="27" t="s">
        <v>489</v>
      </c>
      <c r="E557" s="27">
        <v>3</v>
      </c>
      <c r="F557" s="27" t="s">
        <v>441</v>
      </c>
      <c r="G557" s="27" t="s">
        <v>461</v>
      </c>
    </row>
    <row r="558" spans="2:7" x14ac:dyDescent="0.45">
      <c r="B558" s="27">
        <v>57</v>
      </c>
      <c r="C558" s="27" t="s">
        <v>492</v>
      </c>
      <c r="D558" s="27" t="s">
        <v>465</v>
      </c>
      <c r="E558" s="27">
        <v>3</v>
      </c>
      <c r="F558" s="27" t="s">
        <v>477</v>
      </c>
      <c r="G558" s="27" t="s">
        <v>467</v>
      </c>
    </row>
    <row r="559" spans="2:7" x14ac:dyDescent="0.45">
      <c r="B559" s="27">
        <v>58</v>
      </c>
      <c r="C559" s="27" t="s">
        <v>493</v>
      </c>
      <c r="D559" s="27" t="s">
        <v>465</v>
      </c>
      <c r="E559" s="27">
        <v>3</v>
      </c>
      <c r="F559" s="27" t="s">
        <v>477</v>
      </c>
      <c r="G559" s="27" t="s">
        <v>469</v>
      </c>
    </row>
    <row r="560" spans="2:7" x14ac:dyDescent="0.45">
      <c r="B560" s="27">
        <v>59</v>
      </c>
      <c r="C560" s="27" t="s">
        <v>494</v>
      </c>
      <c r="D560" s="27" t="s">
        <v>465</v>
      </c>
      <c r="E560" s="27">
        <v>3</v>
      </c>
      <c r="F560" s="27" t="s">
        <v>477</v>
      </c>
      <c r="G560" s="27" t="s">
        <v>475</v>
      </c>
    </row>
    <row r="561" spans="2:7" x14ac:dyDescent="0.45">
      <c r="B561" s="27">
        <v>60</v>
      </c>
      <c r="C561" s="27" t="s">
        <v>492</v>
      </c>
      <c r="D561" s="27" t="s">
        <v>465</v>
      </c>
      <c r="E561" s="27">
        <v>3</v>
      </c>
      <c r="F561" s="27" t="s">
        <v>477</v>
      </c>
      <c r="G561" s="27" t="s">
        <v>452</v>
      </c>
    </row>
    <row r="562" spans="2:7" x14ac:dyDescent="0.45">
      <c r="B562" s="27">
        <v>61</v>
      </c>
      <c r="C562" s="27" t="s">
        <v>493</v>
      </c>
      <c r="D562" s="27" t="s">
        <v>465</v>
      </c>
      <c r="E562" s="27">
        <v>3</v>
      </c>
      <c r="F562" s="27" t="s">
        <v>477</v>
      </c>
      <c r="G562" s="27" t="s">
        <v>457</v>
      </c>
    </row>
    <row r="563" spans="2:7" x14ac:dyDescent="0.45">
      <c r="B563" s="27">
        <v>62</v>
      </c>
      <c r="C563" s="27" t="s">
        <v>494</v>
      </c>
      <c r="D563" s="27" t="s">
        <v>465</v>
      </c>
      <c r="E563" s="27">
        <v>3</v>
      </c>
      <c r="F563" s="27" t="s">
        <v>477</v>
      </c>
      <c r="G563" s="27" t="s">
        <v>461</v>
      </c>
    </row>
    <row r="564" spans="2:7" x14ac:dyDescent="0.45">
      <c r="B564" s="27">
        <v>63</v>
      </c>
      <c r="C564" s="27" t="s">
        <v>495</v>
      </c>
      <c r="D564" s="27" t="s">
        <v>465</v>
      </c>
      <c r="E564" s="27">
        <v>3</v>
      </c>
      <c r="F564" s="27" t="s">
        <v>481</v>
      </c>
      <c r="G564" s="27" t="s">
        <v>467</v>
      </c>
    </row>
    <row r="565" spans="2:7" x14ac:dyDescent="0.45">
      <c r="B565" s="27">
        <v>64</v>
      </c>
      <c r="C565" s="27" t="s">
        <v>496</v>
      </c>
      <c r="D565" s="27" t="s">
        <v>465</v>
      </c>
      <c r="E565" s="27">
        <v>3</v>
      </c>
      <c r="F565" s="27" t="s">
        <v>481</v>
      </c>
      <c r="G565" s="27" t="s">
        <v>469</v>
      </c>
    </row>
    <row r="566" spans="2:7" x14ac:dyDescent="0.45">
      <c r="B566" s="27">
        <v>65</v>
      </c>
      <c r="C566" s="27" t="s">
        <v>497</v>
      </c>
      <c r="D566" s="27" t="s">
        <v>465</v>
      </c>
      <c r="E566" s="27">
        <v>3</v>
      </c>
      <c r="F566" s="27" t="s">
        <v>481</v>
      </c>
      <c r="G566" s="27" t="s">
        <v>475</v>
      </c>
    </row>
    <row r="567" spans="2:7" x14ac:dyDescent="0.45">
      <c r="B567" s="27">
        <v>66</v>
      </c>
      <c r="C567" s="27" t="s">
        <v>495</v>
      </c>
      <c r="D567" s="27" t="s">
        <v>465</v>
      </c>
      <c r="E567" s="27">
        <v>3</v>
      </c>
      <c r="F567" s="27" t="s">
        <v>481</v>
      </c>
      <c r="G567" s="27" t="s">
        <v>452</v>
      </c>
    </row>
    <row r="568" spans="2:7" x14ac:dyDescent="0.45">
      <c r="B568" s="27">
        <v>67</v>
      </c>
      <c r="C568" s="27" t="s">
        <v>496</v>
      </c>
      <c r="D568" s="27" t="s">
        <v>465</v>
      </c>
      <c r="E568" s="27">
        <v>3</v>
      </c>
      <c r="F568" s="27" t="s">
        <v>481</v>
      </c>
      <c r="G568" s="27" t="s">
        <v>457</v>
      </c>
    </row>
    <row r="569" spans="2:7" x14ac:dyDescent="0.45">
      <c r="B569" s="27">
        <v>68</v>
      </c>
      <c r="C569" s="27" t="s">
        <v>497</v>
      </c>
      <c r="D569" s="27" t="s">
        <v>465</v>
      </c>
      <c r="E569" s="27">
        <v>3</v>
      </c>
      <c r="F569" s="27" t="s">
        <v>481</v>
      </c>
      <c r="G569" s="27" t="s">
        <v>461</v>
      </c>
    </row>
    <row r="570" spans="2:7" x14ac:dyDescent="0.45">
      <c r="B570" s="27">
        <v>69</v>
      </c>
      <c r="C570" s="27" t="s">
        <v>498</v>
      </c>
      <c r="D570" s="27" t="s">
        <v>465</v>
      </c>
      <c r="E570" s="27">
        <v>3</v>
      </c>
      <c r="F570" s="27" t="s">
        <v>481</v>
      </c>
      <c r="G570" s="27" t="s">
        <v>467</v>
      </c>
    </row>
    <row r="571" spans="2:7" x14ac:dyDescent="0.45">
      <c r="B571" s="27">
        <v>70</v>
      </c>
      <c r="C571" s="27" t="s">
        <v>499</v>
      </c>
      <c r="D571" s="27" t="s">
        <v>465</v>
      </c>
      <c r="E571" s="27">
        <v>3</v>
      </c>
      <c r="F571" s="27" t="s">
        <v>481</v>
      </c>
      <c r="G571" s="27" t="s">
        <v>469</v>
      </c>
    </row>
    <row r="572" spans="2:7" x14ac:dyDescent="0.45">
      <c r="B572" s="27">
        <v>71</v>
      </c>
      <c r="C572" s="27" t="s">
        <v>500</v>
      </c>
      <c r="D572" s="27" t="s">
        <v>465</v>
      </c>
      <c r="E572" s="27">
        <v>3</v>
      </c>
      <c r="F572" s="27" t="s">
        <v>481</v>
      </c>
      <c r="G572" s="27" t="s">
        <v>475</v>
      </c>
    </row>
    <row r="573" spans="2:7" x14ac:dyDescent="0.45">
      <c r="B573" s="27">
        <v>72</v>
      </c>
      <c r="C573" s="27" t="s">
        <v>498</v>
      </c>
      <c r="D573" s="27" t="s">
        <v>465</v>
      </c>
      <c r="E573" s="27">
        <v>3</v>
      </c>
      <c r="F573" s="27" t="s">
        <v>481</v>
      </c>
      <c r="G573" s="27" t="s">
        <v>452</v>
      </c>
    </row>
    <row r="574" spans="2:7" x14ac:dyDescent="0.45">
      <c r="B574" s="27">
        <v>73</v>
      </c>
      <c r="C574" s="27" t="s">
        <v>499</v>
      </c>
      <c r="D574" s="27" t="s">
        <v>465</v>
      </c>
      <c r="E574" s="27">
        <v>3</v>
      </c>
      <c r="F574" s="27" t="s">
        <v>481</v>
      </c>
      <c r="G574" s="27" t="s">
        <v>457</v>
      </c>
    </row>
    <row r="575" spans="2:7" x14ac:dyDescent="0.45">
      <c r="B575" s="27">
        <v>74</v>
      </c>
      <c r="C575" s="27" t="s">
        <v>500</v>
      </c>
      <c r="D575" s="27" t="s">
        <v>465</v>
      </c>
      <c r="E575" s="27">
        <v>3</v>
      </c>
      <c r="F575" s="27" t="s">
        <v>481</v>
      </c>
      <c r="G575" s="27" t="s">
        <v>461</v>
      </c>
    </row>
    <row r="577" spans="2:7" ht="42" customHeight="1" x14ac:dyDescent="0.45">
      <c r="B577" s="25" t="s">
        <v>501</v>
      </c>
      <c r="C577" s="63" t="s">
        <v>471</v>
      </c>
      <c r="D577" s="56"/>
      <c r="E577" s="56"/>
      <c r="F577" s="56"/>
      <c r="G577" s="56"/>
    </row>
    <row r="578" spans="2:7" x14ac:dyDescent="0.45">
      <c r="B578" s="26" t="s">
        <v>35</v>
      </c>
      <c r="C578" s="26" t="s">
        <v>330</v>
      </c>
      <c r="D578" s="26" t="s">
        <v>435</v>
      </c>
      <c r="E578" s="26" t="s">
        <v>436</v>
      </c>
      <c r="F578" s="26" t="s">
        <v>437</v>
      </c>
      <c r="G578" s="26" t="s">
        <v>438</v>
      </c>
    </row>
    <row r="579" spans="2:7" x14ac:dyDescent="0.45">
      <c r="B579" s="27">
        <v>31</v>
      </c>
      <c r="C579" s="27" t="s">
        <v>502</v>
      </c>
      <c r="D579" s="27" t="s">
        <v>503</v>
      </c>
      <c r="E579" s="27">
        <v>3</v>
      </c>
      <c r="F579" s="27" t="s">
        <v>441</v>
      </c>
      <c r="G579" s="27" t="s">
        <v>504</v>
      </c>
    </row>
    <row r="580" spans="2:7" x14ac:dyDescent="0.45">
      <c r="B580" s="27">
        <v>32</v>
      </c>
      <c r="C580" s="27" t="s">
        <v>505</v>
      </c>
      <c r="D580" s="27" t="s">
        <v>503</v>
      </c>
      <c r="E580" s="27">
        <v>3</v>
      </c>
      <c r="F580" s="27" t="s">
        <v>441</v>
      </c>
      <c r="G580" s="27" t="s">
        <v>469</v>
      </c>
    </row>
    <row r="581" spans="2:7" x14ac:dyDescent="0.45">
      <c r="B581" s="27">
        <v>33</v>
      </c>
      <c r="C581" s="27" t="s">
        <v>502</v>
      </c>
      <c r="D581" s="27" t="s">
        <v>503</v>
      </c>
      <c r="E581" s="27">
        <v>3</v>
      </c>
      <c r="F581" s="27" t="s">
        <v>441</v>
      </c>
      <c r="G581" s="27" t="s">
        <v>506</v>
      </c>
    </row>
    <row r="582" spans="2:7" x14ac:dyDescent="0.45">
      <c r="B582" s="27">
        <v>34</v>
      </c>
      <c r="C582" s="27" t="s">
        <v>505</v>
      </c>
      <c r="D582" s="27" t="s">
        <v>503</v>
      </c>
      <c r="E582" s="27">
        <v>3</v>
      </c>
      <c r="F582" s="27" t="s">
        <v>441</v>
      </c>
      <c r="G582" s="27" t="s">
        <v>457</v>
      </c>
    </row>
    <row r="583" spans="2:7" x14ac:dyDescent="0.45">
      <c r="B583" s="27">
        <v>75</v>
      </c>
      <c r="C583" s="27" t="s">
        <v>507</v>
      </c>
      <c r="D583" s="27" t="s">
        <v>508</v>
      </c>
      <c r="E583" s="27">
        <v>3</v>
      </c>
      <c r="F583" s="27" t="s">
        <v>477</v>
      </c>
      <c r="G583" s="27" t="s">
        <v>467</v>
      </c>
    </row>
    <row r="584" spans="2:7" x14ac:dyDescent="0.45">
      <c r="B584" s="27">
        <v>76</v>
      </c>
      <c r="C584" s="27" t="s">
        <v>509</v>
      </c>
      <c r="D584" s="27" t="s">
        <v>508</v>
      </c>
      <c r="E584" s="27">
        <v>3</v>
      </c>
      <c r="F584" s="27" t="s">
        <v>477</v>
      </c>
      <c r="G584" s="27" t="s">
        <v>469</v>
      </c>
    </row>
    <row r="585" spans="2:7" x14ac:dyDescent="0.45">
      <c r="B585" s="27">
        <v>77</v>
      </c>
      <c r="C585" s="27" t="s">
        <v>510</v>
      </c>
      <c r="D585" s="27" t="s">
        <v>508</v>
      </c>
      <c r="E585" s="27">
        <v>3</v>
      </c>
      <c r="F585" s="27" t="s">
        <v>477</v>
      </c>
      <c r="G585" s="27" t="s">
        <v>475</v>
      </c>
    </row>
    <row r="586" spans="2:7" x14ac:dyDescent="0.45">
      <c r="B586" s="27">
        <v>78</v>
      </c>
      <c r="C586" s="27" t="s">
        <v>507</v>
      </c>
      <c r="D586" s="27" t="s">
        <v>508</v>
      </c>
      <c r="E586" s="27">
        <v>3</v>
      </c>
      <c r="F586" s="27" t="s">
        <v>477</v>
      </c>
      <c r="G586" s="27" t="s">
        <v>452</v>
      </c>
    </row>
    <row r="587" spans="2:7" x14ac:dyDescent="0.45">
      <c r="B587" s="27">
        <v>79</v>
      </c>
      <c r="C587" s="27" t="s">
        <v>509</v>
      </c>
      <c r="D587" s="27" t="s">
        <v>508</v>
      </c>
      <c r="E587" s="27">
        <v>3</v>
      </c>
      <c r="F587" s="27" t="s">
        <v>477</v>
      </c>
      <c r="G587" s="27" t="s">
        <v>457</v>
      </c>
    </row>
    <row r="588" spans="2:7" x14ac:dyDescent="0.45">
      <c r="B588" s="27">
        <v>80</v>
      </c>
      <c r="C588" s="27" t="s">
        <v>510</v>
      </c>
      <c r="D588" s="27" t="s">
        <v>508</v>
      </c>
      <c r="E588" s="27">
        <v>3</v>
      </c>
      <c r="F588" s="27" t="s">
        <v>477</v>
      </c>
      <c r="G588" s="27" t="s">
        <v>461</v>
      </c>
    </row>
    <row r="589" spans="2:7" x14ac:dyDescent="0.45">
      <c r="B589" s="27">
        <v>81</v>
      </c>
      <c r="C589" s="27" t="s">
        <v>511</v>
      </c>
      <c r="D589" s="27" t="s">
        <v>508</v>
      </c>
      <c r="E589" s="27">
        <v>3</v>
      </c>
      <c r="F589" s="27" t="s">
        <v>481</v>
      </c>
      <c r="G589" s="27" t="s">
        <v>467</v>
      </c>
    </row>
    <row r="590" spans="2:7" x14ac:dyDescent="0.45">
      <c r="B590" s="27">
        <v>82</v>
      </c>
      <c r="C590" s="27" t="s">
        <v>512</v>
      </c>
      <c r="D590" s="27" t="s">
        <v>508</v>
      </c>
      <c r="E590" s="27">
        <v>3</v>
      </c>
      <c r="F590" s="27" t="s">
        <v>481</v>
      </c>
      <c r="G590" s="27" t="s">
        <v>469</v>
      </c>
    </row>
    <row r="591" spans="2:7" x14ac:dyDescent="0.45">
      <c r="B591" s="27">
        <v>83</v>
      </c>
      <c r="C591" s="27" t="s">
        <v>513</v>
      </c>
      <c r="D591" s="27" t="s">
        <v>508</v>
      </c>
      <c r="E591" s="27">
        <v>3</v>
      </c>
      <c r="F591" s="27" t="s">
        <v>481</v>
      </c>
      <c r="G591" s="27" t="s">
        <v>475</v>
      </c>
    </row>
    <row r="592" spans="2:7" x14ac:dyDescent="0.45">
      <c r="B592" s="27">
        <v>84</v>
      </c>
      <c r="C592" s="27" t="s">
        <v>511</v>
      </c>
      <c r="D592" s="27" t="s">
        <v>508</v>
      </c>
      <c r="E592" s="27">
        <v>3</v>
      </c>
      <c r="F592" s="27" t="s">
        <v>481</v>
      </c>
      <c r="G592" s="27" t="s">
        <v>452</v>
      </c>
    </row>
    <row r="593" spans="2:7" x14ac:dyDescent="0.45">
      <c r="B593" s="27">
        <v>85</v>
      </c>
      <c r="C593" s="27" t="s">
        <v>512</v>
      </c>
      <c r="D593" s="27" t="s">
        <v>508</v>
      </c>
      <c r="E593" s="27">
        <v>3</v>
      </c>
      <c r="F593" s="27" t="s">
        <v>481</v>
      </c>
      <c r="G593" s="27" t="s">
        <v>457</v>
      </c>
    </row>
    <row r="594" spans="2:7" x14ac:dyDescent="0.45">
      <c r="B594" s="27">
        <v>86</v>
      </c>
      <c r="C594" s="27" t="s">
        <v>513</v>
      </c>
      <c r="D594" s="27" t="s">
        <v>508</v>
      </c>
      <c r="E594" s="27">
        <v>3</v>
      </c>
      <c r="F594" s="27" t="s">
        <v>481</v>
      </c>
      <c r="G594" s="27" t="s">
        <v>461</v>
      </c>
    </row>
    <row r="595" spans="2:7" x14ac:dyDescent="0.45">
      <c r="B595" s="27">
        <v>87</v>
      </c>
      <c r="C595" s="27" t="s">
        <v>514</v>
      </c>
      <c r="D595" s="27" t="s">
        <v>515</v>
      </c>
      <c r="E595" s="27">
        <v>3</v>
      </c>
      <c r="F595" s="27" t="s">
        <v>481</v>
      </c>
      <c r="G595" s="27" t="s">
        <v>467</v>
      </c>
    </row>
    <row r="596" spans="2:7" x14ac:dyDescent="0.45">
      <c r="B596" s="27">
        <v>88</v>
      </c>
      <c r="C596" s="27" t="s">
        <v>516</v>
      </c>
      <c r="D596" s="27" t="s">
        <v>515</v>
      </c>
      <c r="E596" s="27">
        <v>3</v>
      </c>
      <c r="F596" s="27" t="s">
        <v>481</v>
      </c>
      <c r="G596" s="27" t="s">
        <v>469</v>
      </c>
    </row>
    <row r="597" spans="2:7" x14ac:dyDescent="0.45">
      <c r="B597" s="27">
        <v>89</v>
      </c>
      <c r="C597" s="27" t="s">
        <v>517</v>
      </c>
      <c r="D597" s="27" t="s">
        <v>515</v>
      </c>
      <c r="E597" s="27">
        <v>3</v>
      </c>
      <c r="F597" s="27" t="s">
        <v>481</v>
      </c>
      <c r="G597" s="27" t="s">
        <v>475</v>
      </c>
    </row>
    <row r="598" spans="2:7" x14ac:dyDescent="0.45">
      <c r="B598" s="27">
        <v>90</v>
      </c>
      <c r="C598" s="27" t="s">
        <v>514</v>
      </c>
      <c r="D598" s="27" t="s">
        <v>515</v>
      </c>
      <c r="E598" s="27">
        <v>3</v>
      </c>
      <c r="F598" s="27" t="s">
        <v>481</v>
      </c>
      <c r="G598" s="27" t="s">
        <v>452</v>
      </c>
    </row>
    <row r="599" spans="2:7" x14ac:dyDescent="0.45">
      <c r="B599" s="27">
        <v>91</v>
      </c>
      <c r="C599" s="27" t="s">
        <v>516</v>
      </c>
      <c r="D599" s="27" t="s">
        <v>515</v>
      </c>
      <c r="E599" s="27">
        <v>3</v>
      </c>
      <c r="F599" s="27" t="s">
        <v>481</v>
      </c>
      <c r="G599" s="27" t="s">
        <v>457</v>
      </c>
    </row>
    <row r="600" spans="2:7" x14ac:dyDescent="0.45">
      <c r="B600" s="27">
        <v>92</v>
      </c>
      <c r="C600" s="27" t="s">
        <v>517</v>
      </c>
      <c r="D600" s="27" t="s">
        <v>515</v>
      </c>
      <c r="E600" s="27">
        <v>3</v>
      </c>
      <c r="F600" s="27" t="s">
        <v>481</v>
      </c>
      <c r="G600" s="27" t="s">
        <v>461</v>
      </c>
    </row>
    <row r="602" spans="2:7" ht="42" customHeight="1" x14ac:dyDescent="0.45">
      <c r="B602" s="25" t="s">
        <v>518</v>
      </c>
      <c r="C602" s="63"/>
      <c r="D602" s="56"/>
      <c r="E602" s="56"/>
      <c r="F602" s="56"/>
      <c r="G602" s="56"/>
    </row>
    <row r="603" spans="2:7" x14ac:dyDescent="0.45">
      <c r="B603" s="26" t="s">
        <v>35</v>
      </c>
      <c r="C603" s="26" t="s">
        <v>330</v>
      </c>
      <c r="D603" s="26" t="s">
        <v>435</v>
      </c>
      <c r="E603" s="26" t="s">
        <v>436</v>
      </c>
      <c r="F603" s="26" t="s">
        <v>437</v>
      </c>
      <c r="G603" s="26" t="s">
        <v>438</v>
      </c>
    </row>
    <row r="604" spans="2:7" x14ac:dyDescent="0.45">
      <c r="B604" s="27">
        <v>35</v>
      </c>
      <c r="C604" s="27" t="s">
        <v>519</v>
      </c>
      <c r="D604" s="27" t="s">
        <v>520</v>
      </c>
      <c r="E604" s="27">
        <v>3</v>
      </c>
      <c r="F604" s="27" t="s">
        <v>441</v>
      </c>
      <c r="G604" s="27" t="s">
        <v>469</v>
      </c>
    </row>
    <row r="605" spans="2:7" x14ac:dyDescent="0.45">
      <c r="B605" s="27">
        <v>36</v>
      </c>
      <c r="C605" s="27" t="s">
        <v>521</v>
      </c>
      <c r="D605" s="27" t="s">
        <v>520</v>
      </c>
      <c r="E605" s="27">
        <v>3</v>
      </c>
      <c r="F605" s="27" t="s">
        <v>441</v>
      </c>
      <c r="G605" s="27" t="s">
        <v>475</v>
      </c>
    </row>
    <row r="606" spans="2:7" x14ac:dyDescent="0.45">
      <c r="B606" s="27">
        <v>37</v>
      </c>
      <c r="C606" s="27" t="s">
        <v>519</v>
      </c>
      <c r="D606" s="27" t="s">
        <v>520</v>
      </c>
      <c r="E606" s="27">
        <v>3</v>
      </c>
      <c r="F606" s="27" t="s">
        <v>441</v>
      </c>
      <c r="G606" s="27" t="s">
        <v>457</v>
      </c>
    </row>
    <row r="607" spans="2:7" x14ac:dyDescent="0.45">
      <c r="B607" s="27">
        <v>38</v>
      </c>
      <c r="C607" s="27" t="s">
        <v>521</v>
      </c>
      <c r="D607" s="27" t="s">
        <v>520</v>
      </c>
      <c r="E607" s="27">
        <v>3</v>
      </c>
      <c r="F607" s="27" t="s">
        <v>441</v>
      </c>
      <c r="G607" s="27" t="s">
        <v>461</v>
      </c>
    </row>
    <row r="614" spans="2:7" ht="42" customHeight="1" x14ac:dyDescent="0.45">
      <c r="B614" s="25" t="s">
        <v>522</v>
      </c>
      <c r="C614" s="63"/>
      <c r="D614" s="56"/>
      <c r="E614" s="56"/>
      <c r="F614" s="56"/>
      <c r="G614" s="56"/>
    </row>
    <row r="615" spans="2:7" x14ac:dyDescent="0.45">
      <c r="B615" s="26" t="s">
        <v>35</v>
      </c>
      <c r="C615" s="26" t="s">
        <v>330</v>
      </c>
      <c r="D615" s="26" t="s">
        <v>435</v>
      </c>
      <c r="E615" s="26" t="s">
        <v>436</v>
      </c>
      <c r="F615" s="26" t="s">
        <v>437</v>
      </c>
      <c r="G615" s="26" t="s">
        <v>438</v>
      </c>
    </row>
    <row r="616" spans="2:7" x14ac:dyDescent="0.45">
      <c r="B616" s="27">
        <v>93</v>
      </c>
      <c r="C616" s="27" t="s">
        <v>523</v>
      </c>
      <c r="D616" s="27" t="s">
        <v>524</v>
      </c>
      <c r="E616" s="27">
        <v>3</v>
      </c>
      <c r="F616" s="27" t="s">
        <v>481</v>
      </c>
      <c r="G616" s="27" t="s">
        <v>469</v>
      </c>
    </row>
    <row r="617" spans="2:7" x14ac:dyDescent="0.45">
      <c r="B617" s="27">
        <v>94</v>
      </c>
      <c r="C617" s="27" t="s">
        <v>525</v>
      </c>
      <c r="D617" s="27" t="s">
        <v>524</v>
      </c>
      <c r="E617" s="27">
        <v>3</v>
      </c>
      <c r="F617" s="27" t="s">
        <v>481</v>
      </c>
      <c r="G617" s="27" t="s">
        <v>475</v>
      </c>
    </row>
    <row r="618" spans="2:7" x14ac:dyDescent="0.45">
      <c r="B618" s="27">
        <v>95</v>
      </c>
      <c r="C618" s="27" t="s">
        <v>523</v>
      </c>
      <c r="D618" s="27" t="s">
        <v>524</v>
      </c>
      <c r="E618" s="27">
        <v>3</v>
      </c>
      <c r="F618" s="27" t="s">
        <v>481</v>
      </c>
      <c r="G618" s="27" t="s">
        <v>457</v>
      </c>
    </row>
    <row r="619" spans="2:7" x14ac:dyDescent="0.45">
      <c r="B619" s="27">
        <v>96</v>
      </c>
      <c r="C619" s="27" t="s">
        <v>525</v>
      </c>
      <c r="D619" s="27" t="s">
        <v>524</v>
      </c>
      <c r="E619" s="27">
        <v>3</v>
      </c>
      <c r="F619" s="27" t="s">
        <v>481</v>
      </c>
      <c r="G619" s="27" t="s">
        <v>461</v>
      </c>
    </row>
    <row r="620" spans="2:7" x14ac:dyDescent="0.45">
      <c r="B620" s="27">
        <v>97</v>
      </c>
      <c r="C620" s="27" t="s">
        <v>526</v>
      </c>
      <c r="D620" s="27" t="s">
        <v>524</v>
      </c>
      <c r="E620" s="27">
        <v>3</v>
      </c>
      <c r="F620" s="27" t="s">
        <v>527</v>
      </c>
      <c r="G620" s="27" t="s">
        <v>469</v>
      </c>
    </row>
    <row r="621" spans="2:7" x14ac:dyDescent="0.45">
      <c r="B621" s="27">
        <v>98</v>
      </c>
      <c r="C621" s="27" t="s">
        <v>528</v>
      </c>
      <c r="D621" s="27" t="s">
        <v>524</v>
      </c>
      <c r="E621" s="27">
        <v>3</v>
      </c>
      <c r="F621" s="27" t="s">
        <v>527</v>
      </c>
      <c r="G621" s="27" t="s">
        <v>475</v>
      </c>
    </row>
    <row r="622" spans="2:7" x14ac:dyDescent="0.45">
      <c r="B622" s="27">
        <v>99</v>
      </c>
      <c r="C622" s="27" t="s">
        <v>526</v>
      </c>
      <c r="D622" s="27" t="s">
        <v>524</v>
      </c>
      <c r="E622" s="27">
        <v>3</v>
      </c>
      <c r="F622" s="27" t="s">
        <v>527</v>
      </c>
      <c r="G622" s="27" t="s">
        <v>457</v>
      </c>
    </row>
    <row r="623" spans="2:7" x14ac:dyDescent="0.45">
      <c r="B623" s="27">
        <v>100</v>
      </c>
      <c r="C623" s="27" t="s">
        <v>528</v>
      </c>
      <c r="D623" s="27" t="s">
        <v>524</v>
      </c>
      <c r="E623" s="27">
        <v>3</v>
      </c>
      <c r="F623" s="27" t="s">
        <v>527</v>
      </c>
      <c r="G623" s="27" t="s">
        <v>461</v>
      </c>
    </row>
    <row r="626" spans="2:7" ht="42" customHeight="1" x14ac:dyDescent="0.45">
      <c r="B626" s="25" t="s">
        <v>529</v>
      </c>
      <c r="C626" s="63" t="s">
        <v>530</v>
      </c>
      <c r="D626" s="56"/>
      <c r="E626" s="56"/>
      <c r="F626" s="56"/>
      <c r="G626" s="56"/>
    </row>
    <row r="627" spans="2:7" x14ac:dyDescent="0.45">
      <c r="B627" s="26" t="s">
        <v>35</v>
      </c>
      <c r="C627" s="26" t="s">
        <v>330</v>
      </c>
      <c r="D627" s="26" t="s">
        <v>435</v>
      </c>
      <c r="E627" s="26" t="s">
        <v>436</v>
      </c>
      <c r="F627" s="26" t="s">
        <v>437</v>
      </c>
      <c r="G627" s="26" t="s">
        <v>438</v>
      </c>
    </row>
    <row r="628" spans="2:7" x14ac:dyDescent="0.45">
      <c r="B628" s="27">
        <v>101</v>
      </c>
      <c r="C628" s="27"/>
      <c r="D628" s="27" t="s">
        <v>440</v>
      </c>
      <c r="E628" s="27">
        <v>1</v>
      </c>
      <c r="F628" s="27" t="s">
        <v>531</v>
      </c>
      <c r="G628" s="27" t="s">
        <v>442</v>
      </c>
    </row>
    <row r="629" spans="2:7" x14ac:dyDescent="0.45">
      <c r="B629" s="27">
        <v>102</v>
      </c>
      <c r="C629" s="27"/>
      <c r="D629" s="27" t="s">
        <v>443</v>
      </c>
      <c r="E629" s="27">
        <v>2</v>
      </c>
      <c r="F629" s="27" t="s">
        <v>531</v>
      </c>
      <c r="G629" s="27" t="s">
        <v>442</v>
      </c>
    </row>
    <row r="630" spans="2:7" x14ac:dyDescent="0.45">
      <c r="B630" s="27">
        <v>103</v>
      </c>
      <c r="C630" s="27"/>
      <c r="D630" s="27" t="s">
        <v>443</v>
      </c>
      <c r="E630" s="27">
        <v>3</v>
      </c>
      <c r="F630" s="27" t="s">
        <v>531</v>
      </c>
      <c r="G630" s="27" t="s">
        <v>442</v>
      </c>
    </row>
    <row r="631" spans="2:7" x14ac:dyDescent="0.45">
      <c r="B631" s="27">
        <v>104</v>
      </c>
      <c r="C631" s="27"/>
      <c r="D631" s="27" t="s">
        <v>440</v>
      </c>
      <c r="E631" s="27">
        <v>1</v>
      </c>
      <c r="F631" s="27" t="s">
        <v>532</v>
      </c>
      <c r="G631" s="27" t="s">
        <v>442</v>
      </c>
    </row>
    <row r="632" spans="2:7" x14ac:dyDescent="0.45">
      <c r="B632" s="27">
        <v>105</v>
      </c>
      <c r="C632" s="27"/>
      <c r="D632" s="27" t="s">
        <v>443</v>
      </c>
      <c r="E632" s="27">
        <v>2</v>
      </c>
      <c r="F632" s="27" t="s">
        <v>533</v>
      </c>
      <c r="G632" s="27" t="s">
        <v>442</v>
      </c>
    </row>
    <row r="633" spans="2:7" x14ac:dyDescent="0.45">
      <c r="B633" s="27">
        <v>106</v>
      </c>
      <c r="C633" s="27"/>
      <c r="D633" s="27" t="s">
        <v>443</v>
      </c>
      <c r="E633" s="27">
        <v>3</v>
      </c>
      <c r="F633" s="27" t="s">
        <v>533</v>
      </c>
      <c r="G633" s="27" t="s">
        <v>442</v>
      </c>
    </row>
    <row r="634" spans="2:7" x14ac:dyDescent="0.45">
      <c r="B634" s="27">
        <v>107</v>
      </c>
      <c r="C634" s="27"/>
      <c r="D634" s="27" t="s">
        <v>440</v>
      </c>
      <c r="E634" s="27">
        <v>1</v>
      </c>
      <c r="F634" s="27" t="s">
        <v>534</v>
      </c>
      <c r="G634" s="27" t="s">
        <v>442</v>
      </c>
    </row>
    <row r="635" spans="2:7" x14ac:dyDescent="0.45">
      <c r="B635" s="27">
        <v>108</v>
      </c>
      <c r="C635" s="27"/>
      <c r="D635" s="27" t="s">
        <v>443</v>
      </c>
      <c r="E635" s="27">
        <v>2</v>
      </c>
      <c r="F635" s="27" t="s">
        <v>534</v>
      </c>
      <c r="G635" s="27" t="s">
        <v>442</v>
      </c>
    </row>
    <row r="636" spans="2:7" x14ac:dyDescent="0.45">
      <c r="B636" s="27">
        <v>109</v>
      </c>
      <c r="C636" s="27"/>
      <c r="D636" s="27" t="s">
        <v>443</v>
      </c>
      <c r="E636" s="27">
        <v>3</v>
      </c>
      <c r="F636" s="27" t="s">
        <v>534</v>
      </c>
      <c r="G636" s="27" t="s">
        <v>442</v>
      </c>
    </row>
    <row r="638" spans="2:7" ht="42" customHeight="1" x14ac:dyDescent="0.45">
      <c r="B638" s="25" t="s">
        <v>535</v>
      </c>
      <c r="C638" s="63" t="s">
        <v>536</v>
      </c>
      <c r="D638" s="56"/>
      <c r="E638" s="56"/>
      <c r="F638" s="56"/>
      <c r="G638" s="56"/>
    </row>
    <row r="639" spans="2:7" x14ac:dyDescent="0.45">
      <c r="B639" s="26" t="s">
        <v>35</v>
      </c>
      <c r="C639" s="26" t="s">
        <v>330</v>
      </c>
      <c r="D639" s="26" t="s">
        <v>435</v>
      </c>
      <c r="E639" s="26" t="s">
        <v>436</v>
      </c>
      <c r="F639" s="26" t="s">
        <v>437</v>
      </c>
      <c r="G639" s="26" t="s">
        <v>438</v>
      </c>
    </row>
    <row r="640" spans="2:7" x14ac:dyDescent="0.45">
      <c r="B640" s="27">
        <v>1</v>
      </c>
      <c r="C640" s="27" t="s">
        <v>537</v>
      </c>
      <c r="D640" s="27" t="s">
        <v>440</v>
      </c>
      <c r="E640" s="27">
        <v>1</v>
      </c>
      <c r="F640" s="27" t="s">
        <v>441</v>
      </c>
      <c r="G640" s="27" t="s">
        <v>442</v>
      </c>
    </row>
    <row r="641" spans="2:7" x14ac:dyDescent="0.45">
      <c r="B641" s="27">
        <v>2</v>
      </c>
      <c r="C641" s="27" t="s">
        <v>537</v>
      </c>
      <c r="D641" s="27" t="s">
        <v>443</v>
      </c>
      <c r="E641" s="27">
        <v>2</v>
      </c>
      <c r="F641" s="27" t="s">
        <v>441</v>
      </c>
      <c r="G641" s="27" t="s">
        <v>442</v>
      </c>
    </row>
    <row r="642" spans="2:7" x14ac:dyDescent="0.45">
      <c r="B642" s="27">
        <v>3</v>
      </c>
      <c r="C642" s="27" t="s">
        <v>537</v>
      </c>
      <c r="D642" s="27" t="s">
        <v>444</v>
      </c>
      <c r="E642" s="27">
        <v>3</v>
      </c>
      <c r="F642" s="27" t="s">
        <v>441</v>
      </c>
      <c r="G642" s="27" t="s">
        <v>442</v>
      </c>
    </row>
    <row r="650" spans="2:7" ht="42" customHeight="1" x14ac:dyDescent="0.45">
      <c r="B650" s="25" t="s">
        <v>538</v>
      </c>
      <c r="C650" s="63" t="s">
        <v>539</v>
      </c>
      <c r="D650" s="56"/>
      <c r="E650" s="56"/>
      <c r="F650" s="56"/>
      <c r="G650" s="56"/>
    </row>
    <row r="651" spans="2:7" x14ac:dyDescent="0.45">
      <c r="B651" s="26" t="s">
        <v>35</v>
      </c>
      <c r="C651" s="26" t="s">
        <v>330</v>
      </c>
      <c r="D651" s="26" t="s">
        <v>435</v>
      </c>
      <c r="E651" s="26" t="s">
        <v>436</v>
      </c>
      <c r="F651" s="26" t="s">
        <v>437</v>
      </c>
      <c r="G651" s="26" t="s">
        <v>438</v>
      </c>
    </row>
    <row r="652" spans="2:7" x14ac:dyDescent="0.45">
      <c r="B652" s="27">
        <v>4</v>
      </c>
      <c r="C652" s="27" t="s">
        <v>540</v>
      </c>
      <c r="D652" s="27" t="s">
        <v>440</v>
      </c>
      <c r="E652" s="27">
        <v>1</v>
      </c>
      <c r="F652" s="27" t="s">
        <v>441</v>
      </c>
      <c r="G652" s="27" t="s">
        <v>448</v>
      </c>
    </row>
    <row r="653" spans="2:7" x14ac:dyDescent="0.45">
      <c r="B653" s="27">
        <v>5</v>
      </c>
      <c r="C653" s="27" t="s">
        <v>540</v>
      </c>
      <c r="D653" s="27" t="s">
        <v>443</v>
      </c>
      <c r="E653" s="27">
        <v>2</v>
      </c>
      <c r="F653" s="27" t="s">
        <v>441</v>
      </c>
      <c r="G653" s="27" t="s">
        <v>448</v>
      </c>
    </row>
    <row r="654" spans="2:7" x14ac:dyDescent="0.45">
      <c r="B654" s="27">
        <v>6</v>
      </c>
      <c r="C654" s="27" t="s">
        <v>540</v>
      </c>
      <c r="D654" s="27" t="s">
        <v>444</v>
      </c>
      <c r="E654" s="27">
        <v>3</v>
      </c>
      <c r="F654" s="27" t="s">
        <v>441</v>
      </c>
      <c r="G654" s="27" t="s">
        <v>448</v>
      </c>
    </row>
    <row r="662" spans="2:7" ht="42" customHeight="1" x14ac:dyDescent="0.45">
      <c r="B662" s="25" t="s">
        <v>541</v>
      </c>
      <c r="C662" s="63" t="s">
        <v>542</v>
      </c>
      <c r="D662" s="56"/>
      <c r="E662" s="56"/>
      <c r="F662" s="56"/>
      <c r="G662" s="56"/>
    </row>
    <row r="663" spans="2:7" x14ac:dyDescent="0.45">
      <c r="B663" s="26" t="s">
        <v>35</v>
      </c>
      <c r="C663" s="26" t="s">
        <v>330</v>
      </c>
      <c r="D663" s="26" t="s">
        <v>435</v>
      </c>
      <c r="E663" s="26" t="s">
        <v>436</v>
      </c>
      <c r="F663" s="26" t="s">
        <v>437</v>
      </c>
      <c r="G663" s="26" t="s">
        <v>438</v>
      </c>
    </row>
    <row r="664" spans="2:7" x14ac:dyDescent="0.45">
      <c r="B664" s="27">
        <v>7</v>
      </c>
      <c r="C664" s="27" t="s">
        <v>543</v>
      </c>
      <c r="D664" s="27" t="s">
        <v>440</v>
      </c>
      <c r="E664" s="27">
        <v>1</v>
      </c>
      <c r="F664" s="27" t="s">
        <v>441</v>
      </c>
      <c r="G664" s="27" t="s">
        <v>469</v>
      </c>
    </row>
    <row r="665" spans="2:7" x14ac:dyDescent="0.45">
      <c r="B665" s="27">
        <v>8</v>
      </c>
      <c r="C665" s="27" t="s">
        <v>543</v>
      </c>
      <c r="D665" s="27" t="s">
        <v>453</v>
      </c>
      <c r="E665" s="27">
        <v>2</v>
      </c>
      <c r="F665" s="27" t="s">
        <v>441</v>
      </c>
      <c r="G665" s="27" t="s">
        <v>469</v>
      </c>
    </row>
    <row r="666" spans="2:7" x14ac:dyDescent="0.45">
      <c r="B666" s="27">
        <v>9</v>
      </c>
      <c r="C666" s="27" t="s">
        <v>543</v>
      </c>
      <c r="D666" s="27" t="s">
        <v>453</v>
      </c>
      <c r="E666" s="27">
        <v>3</v>
      </c>
      <c r="F666" s="27" t="s">
        <v>441</v>
      </c>
      <c r="G666" s="27" t="s">
        <v>469</v>
      </c>
    </row>
    <row r="667" spans="2:7" x14ac:dyDescent="0.45">
      <c r="B667" s="27">
        <v>10</v>
      </c>
      <c r="C667" s="27" t="s">
        <v>543</v>
      </c>
      <c r="D667" s="27" t="s">
        <v>440</v>
      </c>
      <c r="E667" s="27">
        <v>1</v>
      </c>
      <c r="F667" s="27" t="s">
        <v>441</v>
      </c>
      <c r="G667" s="27" t="s">
        <v>544</v>
      </c>
    </row>
    <row r="668" spans="2:7" x14ac:dyDescent="0.45">
      <c r="B668" s="27">
        <v>11</v>
      </c>
      <c r="C668" s="27" t="s">
        <v>543</v>
      </c>
      <c r="D668" s="27" t="s">
        <v>453</v>
      </c>
      <c r="E668" s="27">
        <v>2</v>
      </c>
      <c r="F668" s="27" t="s">
        <v>441</v>
      </c>
      <c r="G668" s="27" t="s">
        <v>544</v>
      </c>
    </row>
    <row r="669" spans="2:7" x14ac:dyDescent="0.45">
      <c r="B669" s="27">
        <v>12</v>
      </c>
      <c r="C669" s="27" t="s">
        <v>543</v>
      </c>
      <c r="D669" s="27" t="s">
        <v>453</v>
      </c>
      <c r="E669" s="27">
        <v>3</v>
      </c>
      <c r="F669" s="27" t="s">
        <v>441</v>
      </c>
      <c r="G669" s="27" t="s">
        <v>544</v>
      </c>
    </row>
    <row r="674" spans="2:7" ht="42" customHeight="1" x14ac:dyDescent="0.45">
      <c r="B674" s="25" t="s">
        <v>545</v>
      </c>
      <c r="C674" s="63" t="s">
        <v>546</v>
      </c>
      <c r="D674" s="56"/>
      <c r="E674" s="56"/>
      <c r="F674" s="56"/>
      <c r="G674" s="56"/>
    </row>
    <row r="675" spans="2:7" x14ac:dyDescent="0.45">
      <c r="B675" s="26" t="s">
        <v>35</v>
      </c>
      <c r="C675" s="26" t="s">
        <v>330</v>
      </c>
      <c r="D675" s="26" t="s">
        <v>435</v>
      </c>
      <c r="E675" s="26" t="s">
        <v>436</v>
      </c>
      <c r="F675" s="26" t="s">
        <v>437</v>
      </c>
      <c r="G675" s="26" t="s">
        <v>438</v>
      </c>
    </row>
    <row r="676" spans="2:7" x14ac:dyDescent="0.45">
      <c r="B676" s="27">
        <v>13</v>
      </c>
      <c r="C676" s="27" t="s">
        <v>547</v>
      </c>
      <c r="D676" s="27" t="s">
        <v>548</v>
      </c>
      <c r="E676" s="27">
        <v>3</v>
      </c>
      <c r="F676" s="27" t="s">
        <v>441</v>
      </c>
      <c r="G676" s="27" t="s">
        <v>549</v>
      </c>
    </row>
    <row r="677" spans="2:7" x14ac:dyDescent="0.45">
      <c r="B677" s="27">
        <v>14</v>
      </c>
      <c r="C677" s="27" t="s">
        <v>550</v>
      </c>
      <c r="D677" s="27" t="s">
        <v>548</v>
      </c>
      <c r="E677" s="27">
        <v>3</v>
      </c>
      <c r="F677" s="27" t="s">
        <v>441</v>
      </c>
      <c r="G677" s="27" t="s">
        <v>469</v>
      </c>
    </row>
    <row r="678" spans="2:7" x14ac:dyDescent="0.45">
      <c r="B678" s="27">
        <v>15</v>
      </c>
      <c r="C678" s="27" t="s">
        <v>547</v>
      </c>
      <c r="D678" s="27" t="s">
        <v>548</v>
      </c>
      <c r="E678" s="27">
        <v>3</v>
      </c>
      <c r="F678" s="27" t="s">
        <v>441</v>
      </c>
      <c r="G678" s="27" t="s">
        <v>551</v>
      </c>
    </row>
    <row r="679" spans="2:7" x14ac:dyDescent="0.45">
      <c r="B679" s="27">
        <v>16</v>
      </c>
      <c r="C679" s="27" t="s">
        <v>550</v>
      </c>
      <c r="D679" s="27" t="s">
        <v>548</v>
      </c>
      <c r="E679" s="27">
        <v>3</v>
      </c>
      <c r="F679" s="27" t="s">
        <v>441</v>
      </c>
      <c r="G679" s="27" t="s">
        <v>457</v>
      </c>
    </row>
    <row r="680" spans="2:7" x14ac:dyDescent="0.45">
      <c r="B680" s="27">
        <v>17</v>
      </c>
      <c r="C680" s="27" t="s">
        <v>552</v>
      </c>
      <c r="D680" s="27" t="s">
        <v>548</v>
      </c>
      <c r="E680" s="27">
        <v>3</v>
      </c>
      <c r="F680" s="27" t="s">
        <v>441</v>
      </c>
      <c r="G680" s="27" t="s">
        <v>553</v>
      </c>
    </row>
    <row r="681" spans="2:7" x14ac:dyDescent="0.45">
      <c r="B681" s="27">
        <v>18</v>
      </c>
      <c r="C681" s="27" t="s">
        <v>554</v>
      </c>
      <c r="D681" s="27" t="s">
        <v>548</v>
      </c>
      <c r="E681" s="27">
        <v>3</v>
      </c>
      <c r="F681" s="27" t="s">
        <v>441</v>
      </c>
      <c r="G681" s="27" t="s">
        <v>461</v>
      </c>
    </row>
    <row r="682" spans="2:7" x14ac:dyDescent="0.45">
      <c r="B682" s="27">
        <v>25</v>
      </c>
      <c r="C682" s="27" t="s">
        <v>555</v>
      </c>
      <c r="D682" s="27" t="s">
        <v>548</v>
      </c>
      <c r="E682" s="27">
        <v>3</v>
      </c>
      <c r="F682" s="27" t="s">
        <v>481</v>
      </c>
      <c r="G682" s="27" t="s">
        <v>549</v>
      </c>
    </row>
    <row r="683" spans="2:7" x14ac:dyDescent="0.45">
      <c r="B683" s="27">
        <v>26</v>
      </c>
      <c r="C683" s="27" t="s">
        <v>556</v>
      </c>
      <c r="D683" s="27" t="s">
        <v>548</v>
      </c>
      <c r="E683" s="27">
        <v>3</v>
      </c>
      <c r="F683" s="27" t="s">
        <v>481</v>
      </c>
      <c r="G683" s="27" t="s">
        <v>469</v>
      </c>
    </row>
    <row r="684" spans="2:7" x14ac:dyDescent="0.45">
      <c r="B684" s="27">
        <v>27</v>
      </c>
      <c r="C684" s="27" t="s">
        <v>557</v>
      </c>
      <c r="D684" s="27" t="s">
        <v>548</v>
      </c>
      <c r="E684" s="27">
        <v>3</v>
      </c>
      <c r="F684" s="27" t="s">
        <v>481</v>
      </c>
      <c r="G684" s="27" t="s">
        <v>549</v>
      </c>
    </row>
    <row r="685" spans="2:7" x14ac:dyDescent="0.45">
      <c r="B685" s="27">
        <v>28</v>
      </c>
      <c r="C685" s="27" t="s">
        <v>558</v>
      </c>
      <c r="D685" s="27" t="s">
        <v>548</v>
      </c>
      <c r="E685" s="27">
        <v>3</v>
      </c>
      <c r="F685" s="27" t="s">
        <v>481</v>
      </c>
      <c r="G685" s="27" t="s">
        <v>469</v>
      </c>
    </row>
    <row r="686" spans="2:7" x14ac:dyDescent="0.45">
      <c r="B686" s="27">
        <v>29</v>
      </c>
      <c r="C686" s="27" t="s">
        <v>555</v>
      </c>
      <c r="D686" s="27" t="s">
        <v>548</v>
      </c>
      <c r="E686" s="27">
        <v>3</v>
      </c>
      <c r="F686" s="27" t="s">
        <v>481</v>
      </c>
      <c r="G686" s="27" t="s">
        <v>551</v>
      </c>
    </row>
    <row r="687" spans="2:7" x14ac:dyDescent="0.45">
      <c r="B687" s="27">
        <v>30</v>
      </c>
      <c r="C687" s="27" t="s">
        <v>556</v>
      </c>
      <c r="D687" s="27" t="s">
        <v>548</v>
      </c>
      <c r="E687" s="27">
        <v>3</v>
      </c>
      <c r="F687" s="27" t="s">
        <v>481</v>
      </c>
      <c r="G687" s="27" t="s">
        <v>457</v>
      </c>
    </row>
    <row r="688" spans="2:7" x14ac:dyDescent="0.45">
      <c r="B688" s="27">
        <v>31</v>
      </c>
      <c r="C688" s="27" t="s">
        <v>559</v>
      </c>
      <c r="D688" s="27" t="s">
        <v>548</v>
      </c>
      <c r="E688" s="27">
        <v>3</v>
      </c>
      <c r="F688" s="27" t="s">
        <v>481</v>
      </c>
      <c r="G688" s="27" t="s">
        <v>553</v>
      </c>
    </row>
    <row r="689" spans="2:7" x14ac:dyDescent="0.45">
      <c r="B689" s="27">
        <v>32</v>
      </c>
      <c r="C689" s="27" t="s">
        <v>560</v>
      </c>
      <c r="D689" s="27" t="s">
        <v>548</v>
      </c>
      <c r="E689" s="27">
        <v>3</v>
      </c>
      <c r="F689" s="27" t="s">
        <v>481</v>
      </c>
      <c r="G689" s="27" t="s">
        <v>461</v>
      </c>
    </row>
    <row r="690" spans="2:7" x14ac:dyDescent="0.45">
      <c r="B690" s="27">
        <v>33</v>
      </c>
      <c r="C690" s="27" t="s">
        <v>557</v>
      </c>
      <c r="D690" s="27" t="s">
        <v>548</v>
      </c>
      <c r="E690" s="27">
        <v>3</v>
      </c>
      <c r="F690" s="27" t="s">
        <v>481</v>
      </c>
      <c r="G690" s="27" t="s">
        <v>551</v>
      </c>
    </row>
    <row r="691" spans="2:7" x14ac:dyDescent="0.45">
      <c r="B691" s="27">
        <v>34</v>
      </c>
      <c r="C691" s="27" t="s">
        <v>558</v>
      </c>
      <c r="D691" s="27" t="s">
        <v>548</v>
      </c>
      <c r="E691" s="27">
        <v>3</v>
      </c>
      <c r="F691" s="27" t="s">
        <v>481</v>
      </c>
      <c r="G691" s="27" t="s">
        <v>457</v>
      </c>
    </row>
    <row r="692" spans="2:7" x14ac:dyDescent="0.45">
      <c r="B692" s="27">
        <v>35</v>
      </c>
      <c r="C692" s="27" t="s">
        <v>561</v>
      </c>
      <c r="D692" s="27" t="s">
        <v>548</v>
      </c>
      <c r="E692" s="27">
        <v>3</v>
      </c>
      <c r="F692" s="27" t="s">
        <v>481</v>
      </c>
      <c r="G692" s="27" t="s">
        <v>553</v>
      </c>
    </row>
    <row r="693" spans="2:7" x14ac:dyDescent="0.45">
      <c r="B693" s="27">
        <v>36</v>
      </c>
      <c r="C693" s="27" t="s">
        <v>562</v>
      </c>
      <c r="D693" s="27" t="s">
        <v>548</v>
      </c>
      <c r="E693" s="27">
        <v>3</v>
      </c>
      <c r="F693" s="27" t="s">
        <v>481</v>
      </c>
      <c r="G693" s="27" t="s">
        <v>461</v>
      </c>
    </row>
    <row r="695" spans="2:7" ht="42" customHeight="1" x14ac:dyDescent="0.45">
      <c r="B695" s="25" t="s">
        <v>563</v>
      </c>
      <c r="C695" s="63" t="s">
        <v>546</v>
      </c>
      <c r="D695" s="56"/>
      <c r="E695" s="56"/>
      <c r="F695" s="56"/>
      <c r="G695" s="56"/>
    </row>
    <row r="696" spans="2:7" x14ac:dyDescent="0.45">
      <c r="B696" s="26" t="s">
        <v>35</v>
      </c>
      <c r="C696" s="26" t="s">
        <v>330</v>
      </c>
      <c r="D696" s="26" t="s">
        <v>435</v>
      </c>
      <c r="E696" s="26" t="s">
        <v>436</v>
      </c>
      <c r="F696" s="26" t="s">
        <v>437</v>
      </c>
      <c r="G696" s="26" t="s">
        <v>438</v>
      </c>
    </row>
    <row r="697" spans="2:7" x14ac:dyDescent="0.45">
      <c r="B697" s="27">
        <v>19</v>
      </c>
      <c r="C697" s="27" t="s">
        <v>564</v>
      </c>
      <c r="D697" s="27" t="s">
        <v>565</v>
      </c>
      <c r="E697" s="27">
        <v>3</v>
      </c>
      <c r="F697" s="27" t="s">
        <v>441</v>
      </c>
      <c r="G697" s="27" t="s">
        <v>549</v>
      </c>
    </row>
    <row r="698" spans="2:7" x14ac:dyDescent="0.45">
      <c r="B698" s="27">
        <v>20</v>
      </c>
      <c r="C698" s="27" t="s">
        <v>566</v>
      </c>
      <c r="D698" s="27" t="s">
        <v>565</v>
      </c>
      <c r="E698" s="27">
        <v>3</v>
      </c>
      <c r="F698" s="27" t="s">
        <v>441</v>
      </c>
      <c r="G698" s="27" t="s">
        <v>469</v>
      </c>
    </row>
    <row r="699" spans="2:7" x14ac:dyDescent="0.45">
      <c r="B699" s="27">
        <v>21</v>
      </c>
      <c r="C699" s="27" t="s">
        <v>564</v>
      </c>
      <c r="D699" s="27" t="s">
        <v>565</v>
      </c>
      <c r="E699" s="27">
        <v>3</v>
      </c>
      <c r="F699" s="27" t="s">
        <v>441</v>
      </c>
      <c r="G699" s="27" t="s">
        <v>551</v>
      </c>
    </row>
    <row r="700" spans="2:7" x14ac:dyDescent="0.45">
      <c r="B700" s="27">
        <v>22</v>
      </c>
      <c r="C700" s="27" t="s">
        <v>566</v>
      </c>
      <c r="D700" s="27" t="s">
        <v>565</v>
      </c>
      <c r="E700" s="27">
        <v>3</v>
      </c>
      <c r="F700" s="27" t="s">
        <v>441</v>
      </c>
      <c r="G700" s="27" t="s">
        <v>457</v>
      </c>
    </row>
    <row r="701" spans="2:7" x14ac:dyDescent="0.45">
      <c r="B701" s="27">
        <v>23</v>
      </c>
      <c r="C701" s="27" t="s">
        <v>567</v>
      </c>
      <c r="D701" s="27" t="s">
        <v>565</v>
      </c>
      <c r="E701" s="27">
        <v>3</v>
      </c>
      <c r="F701" s="27" t="s">
        <v>441</v>
      </c>
      <c r="G701" s="27" t="s">
        <v>553</v>
      </c>
    </row>
    <row r="702" spans="2:7" x14ac:dyDescent="0.45">
      <c r="B702" s="27">
        <v>24</v>
      </c>
      <c r="C702" s="27" t="s">
        <v>568</v>
      </c>
      <c r="D702" s="27" t="s">
        <v>565</v>
      </c>
      <c r="E702" s="27">
        <v>3</v>
      </c>
      <c r="F702" s="27" t="s">
        <v>441</v>
      </c>
      <c r="G702" s="27" t="s">
        <v>461</v>
      </c>
    </row>
    <row r="703" spans="2:7" x14ac:dyDescent="0.45">
      <c r="B703" s="27">
        <v>37</v>
      </c>
      <c r="C703" s="27" t="s">
        <v>569</v>
      </c>
      <c r="D703" s="27" t="s">
        <v>570</v>
      </c>
      <c r="E703" s="27">
        <v>3</v>
      </c>
      <c r="F703" s="27" t="s">
        <v>481</v>
      </c>
      <c r="G703" s="27" t="s">
        <v>549</v>
      </c>
    </row>
    <row r="704" spans="2:7" x14ac:dyDescent="0.45">
      <c r="B704" s="27">
        <v>38</v>
      </c>
      <c r="C704" s="27" t="s">
        <v>571</v>
      </c>
      <c r="D704" s="27" t="s">
        <v>570</v>
      </c>
      <c r="E704" s="27">
        <v>3</v>
      </c>
      <c r="F704" s="27" t="s">
        <v>481</v>
      </c>
      <c r="G704" s="27" t="s">
        <v>469</v>
      </c>
    </row>
    <row r="705" spans="2:7" x14ac:dyDescent="0.45">
      <c r="B705" s="27">
        <v>39</v>
      </c>
      <c r="C705" s="27" t="s">
        <v>572</v>
      </c>
      <c r="D705" s="27" t="s">
        <v>570</v>
      </c>
      <c r="E705" s="27">
        <v>3</v>
      </c>
      <c r="F705" s="27" t="s">
        <v>481</v>
      </c>
      <c r="G705" s="27" t="s">
        <v>549</v>
      </c>
    </row>
    <row r="706" spans="2:7" x14ac:dyDescent="0.45">
      <c r="B706" s="27">
        <v>40</v>
      </c>
      <c r="C706" s="27" t="s">
        <v>573</v>
      </c>
      <c r="D706" s="27" t="s">
        <v>570</v>
      </c>
      <c r="E706" s="27">
        <v>3</v>
      </c>
      <c r="F706" s="27" t="s">
        <v>481</v>
      </c>
      <c r="G706" s="27" t="s">
        <v>469</v>
      </c>
    </row>
    <row r="707" spans="2:7" x14ac:dyDescent="0.45">
      <c r="B707" s="27">
        <v>41</v>
      </c>
      <c r="C707" s="27" t="s">
        <v>569</v>
      </c>
      <c r="D707" s="27" t="s">
        <v>570</v>
      </c>
      <c r="E707" s="27">
        <v>3</v>
      </c>
      <c r="F707" s="27" t="s">
        <v>481</v>
      </c>
      <c r="G707" s="27" t="s">
        <v>551</v>
      </c>
    </row>
    <row r="708" spans="2:7" x14ac:dyDescent="0.45">
      <c r="B708" s="27">
        <v>42</v>
      </c>
      <c r="C708" s="27" t="s">
        <v>571</v>
      </c>
      <c r="D708" s="27" t="s">
        <v>570</v>
      </c>
      <c r="E708" s="27">
        <v>3</v>
      </c>
      <c r="F708" s="27" t="s">
        <v>481</v>
      </c>
      <c r="G708" s="27" t="s">
        <v>457</v>
      </c>
    </row>
    <row r="709" spans="2:7" x14ac:dyDescent="0.45">
      <c r="B709" s="27">
        <v>43</v>
      </c>
      <c r="C709" s="27" t="s">
        <v>574</v>
      </c>
      <c r="D709" s="27" t="s">
        <v>570</v>
      </c>
      <c r="E709" s="27">
        <v>3</v>
      </c>
      <c r="F709" s="27" t="s">
        <v>481</v>
      </c>
      <c r="G709" s="27" t="s">
        <v>553</v>
      </c>
    </row>
    <row r="710" spans="2:7" x14ac:dyDescent="0.45">
      <c r="B710" s="27">
        <v>44</v>
      </c>
      <c r="C710" s="27" t="s">
        <v>575</v>
      </c>
      <c r="D710" s="27" t="s">
        <v>570</v>
      </c>
      <c r="E710" s="27">
        <v>3</v>
      </c>
      <c r="F710" s="27" t="s">
        <v>481</v>
      </c>
      <c r="G710" s="27" t="s">
        <v>461</v>
      </c>
    </row>
    <row r="711" spans="2:7" x14ac:dyDescent="0.45">
      <c r="B711" s="27">
        <v>45</v>
      </c>
      <c r="C711" s="27" t="s">
        <v>572</v>
      </c>
      <c r="D711" s="27" t="s">
        <v>570</v>
      </c>
      <c r="E711" s="27">
        <v>3</v>
      </c>
      <c r="F711" s="27" t="s">
        <v>481</v>
      </c>
      <c r="G711" s="27" t="s">
        <v>551</v>
      </c>
    </row>
    <row r="712" spans="2:7" x14ac:dyDescent="0.45">
      <c r="B712" s="27">
        <v>46</v>
      </c>
      <c r="C712" s="27" t="s">
        <v>573</v>
      </c>
      <c r="D712" s="27" t="s">
        <v>570</v>
      </c>
      <c r="E712" s="27">
        <v>3</v>
      </c>
      <c r="F712" s="27" t="s">
        <v>481</v>
      </c>
      <c r="G712" s="27" t="s">
        <v>457</v>
      </c>
    </row>
    <row r="713" spans="2:7" x14ac:dyDescent="0.45">
      <c r="B713" s="27">
        <v>47</v>
      </c>
      <c r="C713" s="27" t="s">
        <v>576</v>
      </c>
      <c r="D713" s="27" t="s">
        <v>570</v>
      </c>
      <c r="E713" s="27">
        <v>3</v>
      </c>
      <c r="F713" s="27" t="s">
        <v>481</v>
      </c>
      <c r="G713" s="27" t="s">
        <v>553</v>
      </c>
    </row>
    <row r="714" spans="2:7" x14ac:dyDescent="0.45">
      <c r="B714" s="27">
        <v>48</v>
      </c>
      <c r="C714" s="27" t="s">
        <v>577</v>
      </c>
      <c r="D714" s="27" t="s">
        <v>570</v>
      </c>
      <c r="E714" s="27">
        <v>3</v>
      </c>
      <c r="F714" s="27" t="s">
        <v>481</v>
      </c>
      <c r="G714" s="27" t="s">
        <v>461</v>
      </c>
    </row>
    <row r="716" spans="2:7" ht="42" customHeight="1" x14ac:dyDescent="0.45">
      <c r="B716" s="25" t="s">
        <v>578</v>
      </c>
      <c r="C716" s="63" t="s">
        <v>546</v>
      </c>
      <c r="D716" s="56"/>
      <c r="E716" s="56"/>
      <c r="F716" s="56"/>
      <c r="G716" s="56"/>
    </row>
    <row r="717" spans="2:7" x14ac:dyDescent="0.45">
      <c r="B717" s="26" t="s">
        <v>35</v>
      </c>
      <c r="C717" s="26" t="s">
        <v>330</v>
      </c>
      <c r="D717" s="26" t="s">
        <v>435</v>
      </c>
      <c r="E717" s="26" t="s">
        <v>436</v>
      </c>
      <c r="F717" s="26" t="s">
        <v>437</v>
      </c>
      <c r="G717" s="26" t="s">
        <v>438</v>
      </c>
    </row>
    <row r="718" spans="2:7" x14ac:dyDescent="0.45">
      <c r="B718" s="27">
        <v>49</v>
      </c>
      <c r="C718" s="27" t="s">
        <v>579</v>
      </c>
      <c r="D718" s="27" t="s">
        <v>520</v>
      </c>
      <c r="E718" s="27">
        <v>3</v>
      </c>
      <c r="F718" s="27" t="s">
        <v>481</v>
      </c>
      <c r="G718" s="27" t="s">
        <v>469</v>
      </c>
    </row>
    <row r="719" spans="2:7" x14ac:dyDescent="0.45">
      <c r="B719" s="27">
        <v>50</v>
      </c>
      <c r="C719" s="27" t="s">
        <v>580</v>
      </c>
      <c r="D719" s="27" t="s">
        <v>520</v>
      </c>
      <c r="E719" s="27">
        <v>3</v>
      </c>
      <c r="F719" s="27" t="s">
        <v>481</v>
      </c>
      <c r="G719" s="27" t="s">
        <v>581</v>
      </c>
    </row>
    <row r="720" spans="2:7" x14ac:dyDescent="0.45">
      <c r="B720" s="27">
        <v>51</v>
      </c>
      <c r="C720" s="27" t="s">
        <v>582</v>
      </c>
      <c r="D720" s="27" t="s">
        <v>520</v>
      </c>
      <c r="E720" s="27">
        <v>3</v>
      </c>
      <c r="F720" s="27" t="s">
        <v>481</v>
      </c>
      <c r="G720" s="27" t="s">
        <v>469</v>
      </c>
    </row>
    <row r="721" spans="2:7" x14ac:dyDescent="0.45">
      <c r="B721" s="27">
        <v>52</v>
      </c>
      <c r="C721" s="27" t="s">
        <v>583</v>
      </c>
      <c r="D721" s="27" t="s">
        <v>520</v>
      </c>
      <c r="E721" s="27">
        <v>3</v>
      </c>
      <c r="F721" s="27" t="s">
        <v>481</v>
      </c>
      <c r="G721" s="27" t="s">
        <v>581</v>
      </c>
    </row>
    <row r="722" spans="2:7" x14ac:dyDescent="0.45">
      <c r="B722" s="27">
        <v>53</v>
      </c>
      <c r="C722" s="27" t="s">
        <v>579</v>
      </c>
      <c r="D722" s="27" t="s">
        <v>520</v>
      </c>
      <c r="E722" s="27">
        <v>3</v>
      </c>
      <c r="F722" s="27" t="s">
        <v>481</v>
      </c>
      <c r="G722" s="27" t="s">
        <v>457</v>
      </c>
    </row>
    <row r="723" spans="2:7" x14ac:dyDescent="0.45">
      <c r="B723" s="27">
        <v>54</v>
      </c>
      <c r="C723" s="27" t="s">
        <v>580</v>
      </c>
      <c r="D723" s="27" t="s">
        <v>520</v>
      </c>
      <c r="E723" s="27">
        <v>3</v>
      </c>
      <c r="F723" s="27" t="s">
        <v>481</v>
      </c>
      <c r="G723" s="27" t="s">
        <v>553</v>
      </c>
    </row>
    <row r="724" spans="2:7" x14ac:dyDescent="0.45">
      <c r="B724" s="27">
        <v>55</v>
      </c>
      <c r="C724" s="27" t="s">
        <v>584</v>
      </c>
      <c r="D724" s="27" t="s">
        <v>520</v>
      </c>
      <c r="E724" s="27">
        <v>3</v>
      </c>
      <c r="F724" s="27" t="s">
        <v>481</v>
      </c>
      <c r="G724" s="27" t="s">
        <v>461</v>
      </c>
    </row>
    <row r="725" spans="2:7" x14ac:dyDescent="0.45">
      <c r="B725" s="27">
        <v>56</v>
      </c>
      <c r="C725" s="27" t="s">
        <v>582</v>
      </c>
      <c r="D725" s="27" t="s">
        <v>520</v>
      </c>
      <c r="E725" s="27">
        <v>3</v>
      </c>
      <c r="F725" s="27" t="s">
        <v>481</v>
      </c>
      <c r="G725" s="27" t="s">
        <v>457</v>
      </c>
    </row>
    <row r="726" spans="2:7" x14ac:dyDescent="0.45">
      <c r="B726" s="27">
        <v>57</v>
      </c>
      <c r="C726" s="27" t="s">
        <v>583</v>
      </c>
      <c r="D726" s="27" t="s">
        <v>520</v>
      </c>
      <c r="E726" s="27">
        <v>3</v>
      </c>
      <c r="F726" s="27" t="s">
        <v>481</v>
      </c>
      <c r="G726" s="27" t="s">
        <v>553</v>
      </c>
    </row>
    <row r="727" spans="2:7" x14ac:dyDescent="0.45">
      <c r="B727" s="27">
        <v>58</v>
      </c>
      <c r="C727" s="27" t="s">
        <v>585</v>
      </c>
      <c r="D727" s="27" t="s">
        <v>520</v>
      </c>
      <c r="E727" s="27">
        <v>3</v>
      </c>
      <c r="F727" s="27" t="s">
        <v>481</v>
      </c>
      <c r="G727" s="27" t="s">
        <v>461</v>
      </c>
    </row>
    <row r="729" spans="2:7" ht="42" customHeight="1" x14ac:dyDescent="0.45">
      <c r="B729" s="25" t="s">
        <v>586</v>
      </c>
      <c r="C729" s="63" t="s">
        <v>546</v>
      </c>
      <c r="D729" s="56"/>
      <c r="E729" s="56"/>
      <c r="F729" s="56"/>
      <c r="G729" s="56"/>
    </row>
    <row r="730" spans="2:7" x14ac:dyDescent="0.45">
      <c r="B730" s="26" t="s">
        <v>35</v>
      </c>
      <c r="C730" s="26" t="s">
        <v>330</v>
      </c>
      <c r="D730" s="26" t="s">
        <v>435</v>
      </c>
      <c r="E730" s="26" t="s">
        <v>436</v>
      </c>
      <c r="F730" s="26" t="s">
        <v>437</v>
      </c>
      <c r="G730" s="26" t="s">
        <v>438</v>
      </c>
    </row>
    <row r="731" spans="2:7" x14ac:dyDescent="0.45">
      <c r="B731" s="27">
        <v>59</v>
      </c>
      <c r="C731" s="27" t="s">
        <v>587</v>
      </c>
      <c r="D731" s="27" t="s">
        <v>588</v>
      </c>
      <c r="E731" s="27">
        <v>3</v>
      </c>
      <c r="F731" s="27" t="s">
        <v>481</v>
      </c>
      <c r="G731" s="27" t="s">
        <v>589</v>
      </c>
    </row>
    <row r="732" spans="2:7" x14ac:dyDescent="0.45">
      <c r="B732" s="27">
        <v>60</v>
      </c>
      <c r="C732" s="27" t="s">
        <v>590</v>
      </c>
      <c r="D732" s="27" t="s">
        <v>588</v>
      </c>
      <c r="E732" s="27">
        <v>3</v>
      </c>
      <c r="F732" s="27" t="s">
        <v>481</v>
      </c>
      <c r="G732" s="27" t="s">
        <v>591</v>
      </c>
    </row>
    <row r="733" spans="2:7" x14ac:dyDescent="0.45">
      <c r="B733" s="27">
        <v>61</v>
      </c>
      <c r="C733" s="27" t="s">
        <v>592</v>
      </c>
      <c r="D733" s="27" t="s">
        <v>588</v>
      </c>
      <c r="E733" s="27">
        <v>3</v>
      </c>
      <c r="F733" s="27" t="s">
        <v>481</v>
      </c>
      <c r="G733" s="27" t="s">
        <v>581</v>
      </c>
    </row>
    <row r="734" spans="2:7" x14ac:dyDescent="0.45">
      <c r="B734" s="27">
        <v>62</v>
      </c>
      <c r="C734" s="27" t="s">
        <v>593</v>
      </c>
      <c r="D734" s="27" t="s">
        <v>588</v>
      </c>
      <c r="E734" s="27">
        <v>3</v>
      </c>
      <c r="F734" s="27" t="s">
        <v>481</v>
      </c>
      <c r="G734" s="27" t="s">
        <v>475</v>
      </c>
    </row>
    <row r="735" spans="2:7" x14ac:dyDescent="0.45">
      <c r="B735" s="27">
        <v>63</v>
      </c>
      <c r="C735" s="27" t="s">
        <v>592</v>
      </c>
      <c r="D735" s="27" t="s">
        <v>588</v>
      </c>
      <c r="E735" s="27">
        <v>3</v>
      </c>
      <c r="F735" s="27" t="s">
        <v>481</v>
      </c>
      <c r="G735" s="27" t="s">
        <v>553</v>
      </c>
    </row>
    <row r="736" spans="2:7" x14ac:dyDescent="0.45">
      <c r="B736" s="27">
        <v>64</v>
      </c>
      <c r="C736" s="27" t="s">
        <v>593</v>
      </c>
      <c r="D736" s="27" t="s">
        <v>588</v>
      </c>
      <c r="E736" s="27">
        <v>3</v>
      </c>
      <c r="F736" s="27" t="s">
        <v>481</v>
      </c>
      <c r="G736" s="27" t="s">
        <v>461</v>
      </c>
    </row>
    <row r="737" spans="2:7" x14ac:dyDescent="0.45">
      <c r="B737" s="27">
        <v>65</v>
      </c>
      <c r="C737" s="27" t="s">
        <v>594</v>
      </c>
      <c r="D737" s="27" t="s">
        <v>588</v>
      </c>
      <c r="E737" s="27">
        <v>3</v>
      </c>
      <c r="F737" s="27" t="s">
        <v>481</v>
      </c>
      <c r="G737" s="27" t="s">
        <v>551</v>
      </c>
    </row>
    <row r="738" spans="2:7" x14ac:dyDescent="0.45">
      <c r="B738" s="27">
        <v>66</v>
      </c>
      <c r="C738" s="27" t="s">
        <v>595</v>
      </c>
      <c r="D738" s="27" t="s">
        <v>588</v>
      </c>
      <c r="E738" s="27">
        <v>3</v>
      </c>
      <c r="F738" s="27" t="s">
        <v>481</v>
      </c>
      <c r="G738" s="27" t="s">
        <v>457</v>
      </c>
    </row>
    <row r="741" spans="2:7" ht="42" customHeight="1" x14ac:dyDescent="0.45">
      <c r="B741" s="25" t="s">
        <v>596</v>
      </c>
      <c r="C741" s="63"/>
      <c r="D741" s="56"/>
      <c r="E741" s="56"/>
      <c r="F741" s="56"/>
      <c r="G741" s="56"/>
    </row>
    <row r="742" spans="2:7" x14ac:dyDescent="0.45">
      <c r="B742" s="26" t="s">
        <v>35</v>
      </c>
      <c r="C742" s="26" t="s">
        <v>330</v>
      </c>
      <c r="D742" s="26" t="s">
        <v>435</v>
      </c>
      <c r="E742" s="26" t="s">
        <v>436</v>
      </c>
      <c r="F742" s="26" t="s">
        <v>437</v>
      </c>
      <c r="G742" s="26" t="s">
        <v>438</v>
      </c>
    </row>
    <row r="743" spans="2:7" x14ac:dyDescent="0.45">
      <c r="B743" s="27">
        <v>67</v>
      </c>
      <c r="C743" s="27" t="s">
        <v>597</v>
      </c>
      <c r="D743" s="27">
        <v>800</v>
      </c>
      <c r="E743" s="27">
        <v>3</v>
      </c>
      <c r="F743" s="27" t="s">
        <v>481</v>
      </c>
      <c r="G743" s="27" t="s">
        <v>553</v>
      </c>
    </row>
    <row r="744" spans="2:7" x14ac:dyDescent="0.45">
      <c r="B744" s="27">
        <v>68</v>
      </c>
      <c r="C744" s="27" t="s">
        <v>598</v>
      </c>
      <c r="D744" s="27">
        <v>1200</v>
      </c>
      <c r="E744" s="27">
        <v>3</v>
      </c>
      <c r="F744" s="27" t="s">
        <v>481</v>
      </c>
      <c r="G744" s="27" t="s">
        <v>553</v>
      </c>
    </row>
    <row r="745" spans="2:7" x14ac:dyDescent="0.45">
      <c r="B745" s="27">
        <v>69</v>
      </c>
      <c r="C745" s="27" t="s">
        <v>599</v>
      </c>
      <c r="D745" s="27">
        <v>1600</v>
      </c>
      <c r="E745" s="27">
        <v>3</v>
      </c>
      <c r="F745" s="27" t="s">
        <v>481</v>
      </c>
      <c r="G745" s="27" t="s">
        <v>553</v>
      </c>
    </row>
    <row r="746" spans="2:7" x14ac:dyDescent="0.45">
      <c r="B746" s="27">
        <v>70</v>
      </c>
      <c r="C746" s="27" t="s">
        <v>600</v>
      </c>
      <c r="D746" s="27">
        <v>1600</v>
      </c>
      <c r="E746" s="27">
        <v>3</v>
      </c>
      <c r="F746" s="27" t="s">
        <v>481</v>
      </c>
      <c r="G746" s="27" t="s">
        <v>461</v>
      </c>
    </row>
    <row r="747" spans="2:7" x14ac:dyDescent="0.45">
      <c r="B747" s="27">
        <v>71</v>
      </c>
      <c r="C747" s="27" t="s">
        <v>601</v>
      </c>
      <c r="D747" s="27">
        <v>2000</v>
      </c>
      <c r="E747" s="27">
        <v>3</v>
      </c>
      <c r="F747" s="27" t="s">
        <v>481</v>
      </c>
      <c r="G747" s="27" t="s">
        <v>461</v>
      </c>
    </row>
    <row r="748" spans="2:7" x14ac:dyDescent="0.45">
      <c r="B748" s="27">
        <v>72</v>
      </c>
      <c r="C748" s="27" t="s">
        <v>602</v>
      </c>
      <c r="D748" s="27">
        <v>2500</v>
      </c>
      <c r="E748" s="27">
        <v>3</v>
      </c>
      <c r="F748" s="27" t="s">
        <v>481</v>
      </c>
      <c r="G748" s="27" t="s">
        <v>461</v>
      </c>
    </row>
    <row r="753" spans="2:7" ht="42" customHeight="1" x14ac:dyDescent="0.45">
      <c r="B753" s="25" t="s">
        <v>603</v>
      </c>
      <c r="C753" s="63" t="s">
        <v>604</v>
      </c>
      <c r="D753" s="56"/>
      <c r="E753" s="56"/>
      <c r="F753" s="56"/>
      <c r="G753" s="56"/>
    </row>
    <row r="754" spans="2:7" x14ac:dyDescent="0.45">
      <c r="B754" s="26" t="s">
        <v>35</v>
      </c>
      <c r="C754" s="26" t="s">
        <v>330</v>
      </c>
      <c r="D754" s="26" t="s">
        <v>435</v>
      </c>
      <c r="E754" s="26" t="s">
        <v>436</v>
      </c>
      <c r="F754" s="26" t="s">
        <v>437</v>
      </c>
      <c r="G754" s="26" t="s">
        <v>438</v>
      </c>
    </row>
    <row r="755" spans="2:7" x14ac:dyDescent="0.45">
      <c r="B755" s="27">
        <v>73</v>
      </c>
      <c r="C755" s="27"/>
      <c r="D755" s="27" t="s">
        <v>440</v>
      </c>
      <c r="E755" s="27">
        <v>1</v>
      </c>
      <c r="F755" s="27" t="s">
        <v>531</v>
      </c>
      <c r="G755" s="27" t="s">
        <v>442</v>
      </c>
    </row>
    <row r="756" spans="2:7" x14ac:dyDescent="0.45">
      <c r="B756" s="27">
        <v>74</v>
      </c>
      <c r="C756" s="27"/>
      <c r="D756" s="27" t="s">
        <v>443</v>
      </c>
      <c r="E756" s="27">
        <v>2</v>
      </c>
      <c r="F756" s="27" t="s">
        <v>531</v>
      </c>
      <c r="G756" s="27" t="s">
        <v>442</v>
      </c>
    </row>
    <row r="757" spans="2:7" x14ac:dyDescent="0.45">
      <c r="B757" s="27">
        <v>75</v>
      </c>
      <c r="C757" s="27"/>
      <c r="D757" s="27" t="s">
        <v>443</v>
      </c>
      <c r="E757" s="27">
        <v>3</v>
      </c>
      <c r="F757" s="27" t="s">
        <v>531</v>
      </c>
      <c r="G757" s="27" t="s">
        <v>442</v>
      </c>
    </row>
    <row r="758" spans="2:7" x14ac:dyDescent="0.45">
      <c r="B758" s="27">
        <v>76</v>
      </c>
      <c r="C758" s="27"/>
      <c r="D758" s="27" t="s">
        <v>440</v>
      </c>
      <c r="E758" s="27">
        <v>1</v>
      </c>
      <c r="F758" s="27" t="s">
        <v>532</v>
      </c>
      <c r="G758" s="27" t="s">
        <v>442</v>
      </c>
    </row>
    <row r="759" spans="2:7" x14ac:dyDescent="0.45">
      <c r="B759" s="27">
        <v>77</v>
      </c>
      <c r="C759" s="27"/>
      <c r="D759" s="27" t="s">
        <v>443</v>
      </c>
      <c r="E759" s="27">
        <v>2</v>
      </c>
      <c r="F759" s="27" t="s">
        <v>533</v>
      </c>
      <c r="G759" s="27" t="s">
        <v>442</v>
      </c>
    </row>
    <row r="760" spans="2:7" x14ac:dyDescent="0.45">
      <c r="B760" s="27">
        <v>78</v>
      </c>
      <c r="C760" s="27"/>
      <c r="D760" s="27" t="s">
        <v>443</v>
      </c>
      <c r="E760" s="27">
        <v>3</v>
      </c>
      <c r="F760" s="27" t="s">
        <v>533</v>
      </c>
      <c r="G760" s="27" t="s">
        <v>442</v>
      </c>
    </row>
    <row r="761" spans="2:7" x14ac:dyDescent="0.45">
      <c r="B761" s="27">
        <v>79</v>
      </c>
      <c r="C761" s="27"/>
      <c r="D761" s="27" t="s">
        <v>440</v>
      </c>
      <c r="E761" s="27">
        <v>1</v>
      </c>
      <c r="F761" s="27" t="s">
        <v>534</v>
      </c>
      <c r="G761" s="27" t="s">
        <v>442</v>
      </c>
    </row>
    <row r="762" spans="2:7" x14ac:dyDescent="0.45">
      <c r="B762" s="27">
        <v>80</v>
      </c>
      <c r="C762" s="27"/>
      <c r="D762" s="27" t="s">
        <v>443</v>
      </c>
      <c r="E762" s="27">
        <v>2</v>
      </c>
      <c r="F762" s="27" t="s">
        <v>534</v>
      </c>
      <c r="G762" s="27" t="s">
        <v>442</v>
      </c>
    </row>
    <row r="763" spans="2:7" x14ac:dyDescent="0.45">
      <c r="B763" s="27">
        <v>81</v>
      </c>
      <c r="C763" s="27"/>
      <c r="D763" s="27" t="s">
        <v>443</v>
      </c>
      <c r="E763" s="27">
        <v>3</v>
      </c>
      <c r="F763" s="27" t="s">
        <v>534</v>
      </c>
      <c r="G763" s="27" t="s">
        <v>442</v>
      </c>
    </row>
  </sheetData>
  <mergeCells count="58">
    <mergeCell ref="C753:G753"/>
    <mergeCell ref="C9:I9"/>
    <mergeCell ref="C425:G425"/>
    <mergeCell ref="B238:G247"/>
    <mergeCell ref="C12:I12"/>
    <mergeCell ref="B17:G26"/>
    <mergeCell ref="C11:I11"/>
    <mergeCell ref="C437:G437"/>
    <mergeCell ref="C298:G298"/>
    <mergeCell ref="C602:G602"/>
    <mergeCell ref="C6:I6"/>
    <mergeCell ref="B30:G39"/>
    <mergeCell ref="C413:G413"/>
    <mergeCell ref="B95:G104"/>
    <mergeCell ref="C365:G365"/>
    <mergeCell ref="B160:G169"/>
    <mergeCell ref="B251:G260"/>
    <mergeCell ref="B212:G221"/>
    <mergeCell ref="C10:I10"/>
    <mergeCell ref="B56:G65"/>
    <mergeCell ref="B134:G143"/>
    <mergeCell ref="B43:G52"/>
    <mergeCell ref="B121:G130"/>
    <mergeCell ref="B199:G208"/>
    <mergeCell ref="C741:G741"/>
    <mergeCell ref="C377:G377"/>
    <mergeCell ref="C475:G475"/>
    <mergeCell ref="C13:I13"/>
    <mergeCell ref="C662:G662"/>
    <mergeCell ref="B108:G117"/>
    <mergeCell ref="B173:G182"/>
    <mergeCell ref="C265:G265"/>
    <mergeCell ref="C451:G451"/>
    <mergeCell ref="C389:G389"/>
    <mergeCell ref="C401:G401"/>
    <mergeCell ref="C638:G638"/>
    <mergeCell ref="C463:G463"/>
    <mergeCell ref="C550:G550"/>
    <mergeCell ref="C674:G674"/>
    <mergeCell ref="C577:G577"/>
    <mergeCell ref="C8:I8"/>
    <mergeCell ref="B186:G195"/>
    <mergeCell ref="C695:G695"/>
    <mergeCell ref="C7:I7"/>
    <mergeCell ref="B147:G156"/>
    <mergeCell ref="C511:G511"/>
    <mergeCell ref="C487:G487"/>
    <mergeCell ref="C523:G523"/>
    <mergeCell ref="C650:G650"/>
    <mergeCell ref="C626:G626"/>
    <mergeCell ref="B69:G78"/>
    <mergeCell ref="B82:G91"/>
    <mergeCell ref="C729:G729"/>
    <mergeCell ref="C310:G310"/>
    <mergeCell ref="C499:G499"/>
    <mergeCell ref="B225:G234"/>
    <mergeCell ref="C614:G614"/>
    <mergeCell ref="C716:G716"/>
  </mergeCells>
  <pageMargins left="0.75" right="0.75" top="1" bottom="1" header="0.5" footer="0.5"/>
  <pageSetup fitToHeight="0" orientation="portrait"/>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CB146"/>
  <sheetViews>
    <sheetView workbookViewId="0">
      <pane xSplit="2" ySplit="24" topLeftCell="C25" activePane="bottomRight" state="frozen"/>
      <selection pane="topRight"/>
      <selection pane="bottomLeft"/>
      <selection pane="bottomRight"/>
    </sheetView>
  </sheetViews>
  <sheetFormatPr defaultRowHeight="14.25" x14ac:dyDescent="0.45"/>
  <cols>
    <col min="2" max="2" width="30" customWidth="1"/>
    <col min="3" max="3" width="16" customWidth="1"/>
    <col min="5" max="5" width="30" customWidth="1"/>
    <col min="6" max="6" width="34" customWidth="1"/>
    <col min="8" max="8" width="30" customWidth="1"/>
    <col min="9" max="9" width="14" customWidth="1"/>
    <col min="11" max="11" width="30" customWidth="1"/>
    <col min="23" max="23" width="30" customWidth="1"/>
    <col min="64" max="64" width="22" customWidth="1"/>
    <col min="73" max="73" width="40" customWidth="1"/>
    <col min="75" max="75" width="40" customWidth="1"/>
    <col min="76" max="76" width="22" customWidth="1"/>
    <col min="79" max="80" width="13" hidden="1" customWidth="1"/>
  </cols>
  <sheetData>
    <row r="1" spans="2:76" ht="19.5" x14ac:dyDescent="0.45">
      <c r="B1" s="10" t="s">
        <v>605</v>
      </c>
      <c r="E1" s="10" t="str">
        <f>$BX$2</f>
        <v>TABLERO MACHOTE</v>
      </c>
    </row>
    <row r="2" spans="2:76" x14ac:dyDescent="0.45">
      <c r="BW2" t="s">
        <v>34</v>
      </c>
      <c r="BX2" t="str">
        <f>TRIM($C$4&amp;" "&amp;$C$3)</f>
        <v>TABLERO MACHOTE</v>
      </c>
    </row>
    <row r="3" spans="2:76" x14ac:dyDescent="0.45">
      <c r="B3" s="28" t="s">
        <v>606</v>
      </c>
      <c r="C3" s="29" t="s">
        <v>607</v>
      </c>
      <c r="E3" s="28" t="s">
        <v>83</v>
      </c>
      <c r="F3" s="29" t="s">
        <v>608</v>
      </c>
      <c r="H3" s="28" t="s">
        <v>609</v>
      </c>
      <c r="I3" s="29" t="s">
        <v>149</v>
      </c>
      <c r="K3" s="30" t="s">
        <v>610</v>
      </c>
      <c r="L3" s="64">
        <f>BX10</f>
        <v>0</v>
      </c>
      <c r="M3" s="61"/>
      <c r="N3" s="61"/>
      <c r="O3" s="61"/>
      <c r="P3" s="61"/>
      <c r="Q3" s="61"/>
      <c r="R3" s="51"/>
      <c r="BW3" t="s">
        <v>611</v>
      </c>
      <c r="BX3">
        <f>SUMIFS($X$25:$X$124,$T$25:$T$124,"")</f>
        <v>0</v>
      </c>
    </row>
    <row r="4" spans="2:76" x14ac:dyDescent="0.45">
      <c r="B4" s="28" t="s">
        <v>612</v>
      </c>
      <c r="C4" s="29" t="s">
        <v>613</v>
      </c>
      <c r="E4" s="28" t="s">
        <v>84</v>
      </c>
      <c r="F4" s="29" t="s">
        <v>614</v>
      </c>
      <c r="H4" s="28" t="s">
        <v>615</v>
      </c>
      <c r="I4" s="29"/>
      <c r="K4" s="30" t="s">
        <v>40</v>
      </c>
      <c r="L4" s="64">
        <f>BX14</f>
        <v>0</v>
      </c>
      <c r="M4" s="61"/>
      <c r="N4" s="61"/>
      <c r="O4" s="61"/>
      <c r="P4" s="61"/>
      <c r="Q4" s="61"/>
      <c r="R4" s="51"/>
      <c r="BW4" t="s">
        <v>616</v>
      </c>
      <c r="BX4">
        <f>SUMIFS($AJ$25:$AJ$124,$T$25:$T$124,"")</f>
        <v>0</v>
      </c>
    </row>
    <row r="5" spans="2:76" x14ac:dyDescent="0.45">
      <c r="B5" s="28" t="s">
        <v>35</v>
      </c>
      <c r="C5" s="29" t="s">
        <v>335</v>
      </c>
      <c r="E5" s="28" t="s">
        <v>60</v>
      </c>
      <c r="F5" s="29" t="s">
        <v>617</v>
      </c>
      <c r="H5" s="28" t="s">
        <v>618</v>
      </c>
      <c r="I5" s="29"/>
      <c r="K5" s="30" t="s">
        <v>619</v>
      </c>
      <c r="L5" s="65">
        <f>BX12</f>
        <v>1</v>
      </c>
      <c r="M5" s="61"/>
      <c r="N5" s="61"/>
      <c r="O5" s="61"/>
      <c r="P5" s="61"/>
      <c r="Q5" s="61"/>
      <c r="R5" s="51"/>
      <c r="BW5" t="s">
        <v>620</v>
      </c>
      <c r="BX5">
        <f>SUMIFS($AK$25:$AK$124,$T$25:$T$124,"")</f>
        <v>0</v>
      </c>
    </row>
    <row r="6" spans="2:76" x14ac:dyDescent="0.45">
      <c r="B6" s="28" t="s">
        <v>621</v>
      </c>
      <c r="C6" s="29" t="s">
        <v>622</v>
      </c>
      <c r="E6" s="28" t="s">
        <v>623</v>
      </c>
      <c r="F6" s="29" t="str">
        <f>IF(BX23="","",IF(BX23&gt;1600,5,IF(BX23&gt;1000,4,IF(BX23&gt;600,3,IF(BX23&gt;300,2,1)))))</f>
        <v/>
      </c>
      <c r="H6" s="28" t="s">
        <v>624</v>
      </c>
      <c r="I6" s="29"/>
      <c r="K6" s="30" t="s">
        <v>625</v>
      </c>
      <c r="L6" s="66" t="str">
        <f>FIXED(BX19,1)&amp;" / "&amp;FIXED(BX20,1)&amp;" / "&amp;FIXED(BX21,1)</f>
        <v>0,0 / 0,0 / 0,0</v>
      </c>
      <c r="M6" s="61"/>
      <c r="N6" s="61"/>
      <c r="O6" s="61"/>
      <c r="P6" s="61"/>
      <c r="Q6" s="61"/>
      <c r="R6" s="51"/>
      <c r="BW6" t="s">
        <v>626</v>
      </c>
      <c r="BX6">
        <f>SUMIFS($AL$25:$AL$124,$T$25:$T$124,"")</f>
        <v>0</v>
      </c>
    </row>
    <row r="7" spans="2:76" x14ac:dyDescent="0.45">
      <c r="B7" s="11" t="s">
        <v>627</v>
      </c>
      <c r="C7" s="31">
        <f>IFERROR(MAX(VALUE(LEFT($C$6,FIND("/",$C$6)-1)),VALUE(MID($C$6,FIND("/",$C$6)+1,9))),N(VALUE($C$6)))</f>
        <v>208</v>
      </c>
      <c r="E7" s="28" t="s">
        <v>628</v>
      </c>
      <c r="F7" s="29">
        <v>0</v>
      </c>
      <c r="H7" s="28" t="s">
        <v>629</v>
      </c>
      <c r="I7" s="29" t="str">
        <f>IF(N(BX44)&gt;0,BX44,"")</f>
        <v/>
      </c>
      <c r="K7" s="30" t="s">
        <v>630</v>
      </c>
      <c r="L7" s="66" t="str">
        <f>BX24</f>
        <v/>
      </c>
      <c r="M7" s="61"/>
      <c r="N7" s="61"/>
      <c r="O7" s="61"/>
      <c r="P7" s="61"/>
      <c r="Q7" s="61"/>
      <c r="R7" s="51"/>
      <c r="BW7" t="s">
        <v>631</v>
      </c>
      <c r="BX7">
        <f>IFERROR(ROUND(IF($C$8=3,(MAX(BX4:BX6)-MIN(BX4:BX6))/MAX(BX4:BX6)*100,IF($C$8=2,(MAX(BX4:BX5)-MIN(BX4:BX5))/MAX(BX4:BX5)*100,0)),2),0)</f>
        <v>0</v>
      </c>
    </row>
    <row r="8" spans="2:76" x14ac:dyDescent="0.45">
      <c r="B8" s="11" t="s">
        <v>74</v>
      </c>
      <c r="C8" s="31">
        <f>IF($C$5="3F",3,IF(ISNUMBER(FIND("/",$C$6)),2,1))</f>
        <v>3</v>
      </c>
      <c r="E8" s="28" t="s">
        <v>632</v>
      </c>
      <c r="F8" s="29">
        <v>0.9</v>
      </c>
      <c r="H8" s="28" t="s">
        <v>633</v>
      </c>
      <c r="I8" s="29"/>
      <c r="K8" s="30" t="s">
        <v>634</v>
      </c>
      <c r="L8" s="66" t="str">
        <f>BX99&amp;IF(BX100&lt;&gt;""," + "&amp;BX100&amp;" N","")&amp;IF(BX101&lt;&gt;""," + "&amp;BX101&amp;" T","")&amp;" "&amp;IF($F$3="","CU",$F$3)&amp;" "&amp;IF($F$4="","XHHW-2",$F$4)</f>
        <v xml:space="preserve"> CU XHHW-2</v>
      </c>
      <c r="M8" s="61"/>
      <c r="N8" s="61"/>
      <c r="O8" s="61"/>
      <c r="P8" s="61"/>
      <c r="Q8" s="61"/>
      <c r="R8" s="51"/>
      <c r="BW8" t="s">
        <v>635</v>
      </c>
      <c r="BX8">
        <f>$F$146</f>
        <v>0</v>
      </c>
    </row>
    <row r="9" spans="2:76" x14ac:dyDescent="0.45">
      <c r="B9" s="11" t="s">
        <v>124</v>
      </c>
      <c r="C9" s="31">
        <f>IF($C$5="3F",4,IF($C$8=2,3,2))</f>
        <v>4</v>
      </c>
      <c r="E9" s="28" t="s">
        <v>636</v>
      </c>
      <c r="F9" s="29">
        <v>125</v>
      </c>
      <c r="K9" s="30" t="s">
        <v>60</v>
      </c>
      <c r="L9" s="66" t="str">
        <f>BX102</f>
        <v/>
      </c>
      <c r="M9" s="61"/>
      <c r="N9" s="61"/>
      <c r="O9" s="61"/>
      <c r="P9" s="61"/>
      <c r="Q9" s="61"/>
      <c r="R9" s="51"/>
      <c r="BW9" t="s">
        <v>637</v>
      </c>
      <c r="BX9">
        <f>$G$146</f>
        <v>0</v>
      </c>
    </row>
    <row r="10" spans="2:76" x14ac:dyDescent="0.45">
      <c r="B10" s="28" t="s">
        <v>37</v>
      </c>
      <c r="C10" s="29"/>
      <c r="E10" s="28" t="s">
        <v>638</v>
      </c>
      <c r="F10" s="29" t="str">
        <f>IF(BX23="","",VLOOKUP(BX23,T_PROT,2,TRUE))</f>
        <v/>
      </c>
      <c r="H10" s="28" t="s">
        <v>639</v>
      </c>
      <c r="I10" s="29" t="s">
        <v>149</v>
      </c>
      <c r="K10" s="30" t="s">
        <v>640</v>
      </c>
      <c r="L10" s="66" t="str">
        <f>FIXED(BX47,2)&amp;" / "&amp;FIXED(BX49,2)</f>
        <v>208,00 / 208,00</v>
      </c>
      <c r="M10" s="61"/>
      <c r="N10" s="61"/>
      <c r="O10" s="61"/>
      <c r="P10" s="61"/>
      <c r="Q10" s="61"/>
      <c r="R10" s="51"/>
      <c r="BW10" t="s">
        <v>641</v>
      </c>
      <c r="BX10">
        <f>$H$146</f>
        <v>0</v>
      </c>
    </row>
    <row r="11" spans="2:76" x14ac:dyDescent="0.45">
      <c r="B11" s="28" t="s">
        <v>642</v>
      </c>
      <c r="C11" s="29"/>
      <c r="E11" s="28" t="s">
        <v>643</v>
      </c>
      <c r="F11" s="29" t="s">
        <v>644</v>
      </c>
      <c r="H11" s="28" t="s">
        <v>645</v>
      </c>
      <c r="I11" s="29"/>
      <c r="K11" s="30" t="s">
        <v>646</v>
      </c>
      <c r="L11" s="64">
        <f>BX51</f>
        <v>0</v>
      </c>
      <c r="M11" s="61"/>
      <c r="N11" s="61"/>
      <c r="O11" s="61"/>
      <c r="P11" s="61"/>
      <c r="Q11" s="61"/>
      <c r="R11" s="51"/>
      <c r="BW11" t="s">
        <v>647</v>
      </c>
      <c r="BX11">
        <f>$L$146</f>
        <v>0</v>
      </c>
    </row>
    <row r="12" spans="2:76" x14ac:dyDescent="0.45">
      <c r="B12" s="28" t="s">
        <v>648</v>
      </c>
      <c r="C12" s="29">
        <v>10</v>
      </c>
      <c r="E12" s="28" t="s">
        <v>649</v>
      </c>
      <c r="F12" s="29">
        <v>75</v>
      </c>
      <c r="H12" s="28" t="s">
        <v>650</v>
      </c>
      <c r="I12" s="29">
        <v>2</v>
      </c>
      <c r="K12" s="30" t="s">
        <v>651</v>
      </c>
      <c r="L12" s="64">
        <f>BX58</f>
        <v>0</v>
      </c>
      <c r="M12" s="61"/>
      <c r="N12" s="61"/>
      <c r="O12" s="61"/>
      <c r="P12" s="61"/>
      <c r="Q12" s="61"/>
      <c r="R12" s="51"/>
      <c r="BW12" t="s">
        <v>652</v>
      </c>
      <c r="BX12">
        <f>IF(BX10=0,1,BX11/BX10)</f>
        <v>1</v>
      </c>
    </row>
    <row r="13" spans="2:76" x14ac:dyDescent="0.45">
      <c r="B13" s="28" t="s">
        <v>653</v>
      </c>
      <c r="C13" s="29">
        <v>0.1</v>
      </c>
      <c r="E13" s="28" t="s">
        <v>654</v>
      </c>
      <c r="F13" s="29" t="str">
        <f>IF(AND($C$8=3,$C$9=4),"4-6","1-3")</f>
        <v>4-6</v>
      </c>
      <c r="K13" s="30" t="s">
        <v>655</v>
      </c>
      <c r="L13" s="66" t="str">
        <f>BX103</f>
        <v/>
      </c>
      <c r="M13" s="61"/>
      <c r="N13" s="61"/>
      <c r="O13" s="61"/>
      <c r="P13" s="61"/>
      <c r="Q13" s="61"/>
      <c r="R13" s="51"/>
      <c r="BW13" t="s">
        <v>656</v>
      </c>
      <c r="BX13">
        <f>IF(AND(N($C$19)&gt;0,N($C$19)&lt;=1),$C$19,1)</f>
        <v>1</v>
      </c>
    </row>
    <row r="14" spans="2:76" x14ac:dyDescent="0.45">
      <c r="B14" s="28" t="s">
        <v>657</v>
      </c>
      <c r="C14" s="29"/>
      <c r="E14" s="28" t="s">
        <v>658</v>
      </c>
      <c r="F14" s="29" t="s">
        <v>659</v>
      </c>
      <c r="H14" s="28" t="s">
        <v>660</v>
      </c>
      <c r="I14" s="29" t="s">
        <v>149</v>
      </c>
      <c r="K14" s="30" t="s">
        <v>45</v>
      </c>
      <c r="L14" s="66" t="str">
        <f>BX63&amp;" ("&amp;BX60&amp;", "&amp;BX68&amp;") · "&amp;BX64&amp;" A · "&amp;BX67&amp;" esp."</f>
        <v>CH30B3150L (Eaton, CH) · 150 A · 30 esp.</v>
      </c>
      <c r="M14" s="61"/>
      <c r="N14" s="61"/>
      <c r="O14" s="61"/>
      <c r="P14" s="61"/>
      <c r="Q14" s="61"/>
      <c r="R14" s="51"/>
      <c r="BW14" t="s">
        <v>661</v>
      </c>
      <c r="BX14">
        <f>BX10*BX12*BX13</f>
        <v>0</v>
      </c>
    </row>
    <row r="15" spans="2:76" x14ac:dyDescent="0.45">
      <c r="B15" s="28" t="s">
        <v>662</v>
      </c>
      <c r="C15" s="29" t="str">
        <f>MARCA_DEF</f>
        <v>Eaton</v>
      </c>
      <c r="E15" s="28" t="s">
        <v>663</v>
      </c>
      <c r="F15" s="29" t="s">
        <v>149</v>
      </c>
      <c r="H15" s="28" t="s">
        <v>664</v>
      </c>
      <c r="I15" s="29" t="s">
        <v>665</v>
      </c>
      <c r="K15" s="30" t="s">
        <v>666</v>
      </c>
      <c r="L15" s="66" t="str">
        <f>BX72&amp;" "&amp;BX73&amp;" · "&amp;BX74&amp;" kA"</f>
        <v xml:space="preserve">  ·  kA</v>
      </c>
      <c r="M15" s="61"/>
      <c r="N15" s="61"/>
      <c r="O15" s="61"/>
      <c r="P15" s="61"/>
      <c r="Q15" s="61"/>
      <c r="R15" s="51"/>
      <c r="BW15" t="s">
        <v>667</v>
      </c>
      <c r="BX15">
        <f>IF(N($F$8)&gt;0,$F$8,0.9)</f>
        <v>0.9</v>
      </c>
    </row>
    <row r="16" spans="2:76" x14ac:dyDescent="0.45">
      <c r="B16" s="28" t="s">
        <v>332</v>
      </c>
      <c r="C16" s="29" t="s">
        <v>397</v>
      </c>
      <c r="E16" s="28" t="s">
        <v>668</v>
      </c>
      <c r="F16" s="29" t="str">
        <f>IF(OR($C$16="Zapatas",N(BX24)=0),"",BREAKER_SEL(BX60,IF($C$8=3,3,IF(AND($C$7&gt;=208,$C$7&lt;=240),2,$C$8)),BX24,$C$7,BX58,BX70,IF(OR($F$14="",$F$14="TM"),"STD",$F$14)))</f>
        <v/>
      </c>
      <c r="H16" s="28" t="s">
        <v>669</v>
      </c>
      <c r="I16" s="29" t="s">
        <v>315</v>
      </c>
      <c r="K16" s="30" t="s">
        <v>670</v>
      </c>
      <c r="L16" s="66" t="str">
        <f>BX79&amp;" · "&amp;BX80&amp;"/"&amp;BX81&amp;" kA"</f>
        <v>SPD 250 208Y 3 C · 250/150 kA</v>
      </c>
      <c r="M16" s="61"/>
      <c r="N16" s="61"/>
      <c r="O16" s="61"/>
      <c r="P16" s="61"/>
      <c r="Q16" s="61"/>
      <c r="R16" s="51"/>
      <c r="BW16" t="s">
        <v>671</v>
      </c>
      <c r="BX16">
        <f>IF($BX$3=0,0,$BX$14*BX4/$BX$3)</f>
        <v>0</v>
      </c>
    </row>
    <row r="17" spans="1:80" x14ac:dyDescent="0.45">
      <c r="B17" s="28" t="s">
        <v>672</v>
      </c>
      <c r="C17" s="29"/>
      <c r="E17" s="28" t="s">
        <v>673</v>
      </c>
      <c r="F17" s="29">
        <f>TABLERO_SEL(BX60,$C$7,$C$5,N(BX24),BX61,RESERVA_ESP,$C$20,$C$16,N($C$17))</f>
        <v>98</v>
      </c>
      <c r="H17" s="28" t="s">
        <v>674</v>
      </c>
      <c r="I17" s="29"/>
      <c r="K17" s="30" t="s">
        <v>675</v>
      </c>
      <c r="L17" s="64">
        <f>BX7</f>
        <v>0</v>
      </c>
      <c r="M17" s="61"/>
      <c r="N17" s="61"/>
      <c r="O17" s="61"/>
      <c r="P17" s="61"/>
      <c r="Q17" s="61"/>
      <c r="R17" s="51"/>
      <c r="BW17" t="s">
        <v>676</v>
      </c>
      <c r="BX17">
        <f>IF($BX$3=0,0,$BX$14*BX5/$BX$3)</f>
        <v>0</v>
      </c>
    </row>
    <row r="18" spans="1:80" x14ac:dyDescent="0.45">
      <c r="B18" s="28" t="s">
        <v>71</v>
      </c>
      <c r="C18" s="29" t="s">
        <v>677</v>
      </c>
      <c r="E18" s="28" t="s">
        <v>678</v>
      </c>
      <c r="F18" s="29">
        <f>SPD_SEL(BX60,$C$6,$C$8,BX77)</f>
        <v>16</v>
      </c>
      <c r="H18" s="28" t="s">
        <v>679</v>
      </c>
      <c r="I18" s="29"/>
      <c r="K18" s="30" t="s">
        <v>680</v>
      </c>
      <c r="L18" s="66" t="str">
        <f>IF(BX29="","",IF(PARTE(BX29,3)="1","Cumple","NO CUMPLE")&amp;" · disponible "&amp;FIXED(PARTEN(BX29,4),1)&amp;" A vs "&amp;FIXED(N(BX23),1)&amp;" A")</f>
        <v/>
      </c>
      <c r="M18" s="61"/>
      <c r="N18" s="61"/>
      <c r="O18" s="61"/>
      <c r="P18" s="61"/>
      <c r="Q18" s="61"/>
      <c r="R18" s="51"/>
      <c r="BW18" t="s">
        <v>681</v>
      </c>
      <c r="BX18">
        <f>IF($BX$3=0,0,$BX$14*BX6/$BX$3)</f>
        <v>0</v>
      </c>
    </row>
    <row r="19" spans="1:80" x14ac:dyDescent="0.45">
      <c r="B19" s="28" t="s">
        <v>682</v>
      </c>
      <c r="C19" s="29">
        <v>1</v>
      </c>
      <c r="E19" s="28" t="s">
        <v>683</v>
      </c>
      <c r="F19" s="29" t="s">
        <v>149</v>
      </c>
      <c r="H19" s="28" t="s">
        <v>684</v>
      </c>
      <c r="I19" s="29">
        <v>12</v>
      </c>
      <c r="K19" s="30" t="s">
        <v>660</v>
      </c>
      <c r="L19" s="66" t="str">
        <f>IF(BX84,$I$15&amp;IF(BX115&lt;&gt;""," "&amp;BX115&amp;" (WCR "&amp;BX117&amp;" kA, Icc "&amp;FIXED(N(BX113),2)&amp;" kA)","")&amp;" · "&amp;BX95&amp;" · ΔV "&amp;FIXED(N(BX93),2)&amp;" % · normal→"&amp;$I$15&amp;" "&amp;FIXED(BX40-N($I$23),1)&amp;" m · "&amp;$I$15&amp;"→tablero "&amp;FIXED(N($I$23),1)&amp;" m · Icc bornes "&amp;FIXED(N(BX88)/1000,2)&amp;" kA","")</f>
        <v/>
      </c>
      <c r="M19" s="61"/>
      <c r="N19" s="61"/>
      <c r="O19" s="61"/>
      <c r="P19" s="61"/>
      <c r="Q19" s="61"/>
      <c r="R19" s="51"/>
      <c r="BW19" t="s">
        <v>685</v>
      </c>
      <c r="BX19">
        <f>IF(BX16=0,0,IF(AND($C$7=120,$C$8=1),BX16*1000/$C$7,IF(AND($C$7=208,$C$8=1),BX16*1000/$C$7,IF(AND($C$7=240,$C$8=2),BX16*1000/($C$7/2),IF(AND($C$7=230,$C$8=1),BX16*1000/$C$7,IF(AND($C$7=240,$C$8=1),BX16*1000/($C$7/2),IF(AND($C$7=277,$C$8=1),BX16*1000/$C$7,BX16*1000/($C$7/1.732))))))))</f>
        <v>0</v>
      </c>
    </row>
    <row r="20" spans="1:80" x14ac:dyDescent="0.45">
      <c r="B20" s="28" t="s">
        <v>686</v>
      </c>
      <c r="C20" s="29" t="s">
        <v>34</v>
      </c>
      <c r="H20" s="28" t="s">
        <v>687</v>
      </c>
      <c r="I20" s="29"/>
      <c r="K20" s="30" t="s">
        <v>688</v>
      </c>
      <c r="L20" s="66" t="str">
        <f>BX97</f>
        <v/>
      </c>
      <c r="M20" s="61"/>
      <c r="N20" s="61"/>
      <c r="O20" s="61"/>
      <c r="P20" s="61"/>
      <c r="Q20" s="61"/>
      <c r="R20" s="51"/>
      <c r="BW20" t="s">
        <v>689</v>
      </c>
      <c r="BX20">
        <f>IF(BX17=0,0,IF(AND($C$7=120,$C$8=1),BX17*1000/$C$7,IF(AND($C$7=208,$C$8=1),BX17*1000/$C$7,IF(AND($C$7=240,$C$8=2),BX17*1000/($C$7/2),IF(AND($C$7=230,$C$8=1),BX17*1000/$C$7,IF(AND($C$7=240,$C$8=1),BX17*1000/($C$7/2),IF(AND($C$7=277,$C$8=1),BX17*1000/$C$7,BX17*1000/($C$7/1.732))))))))</f>
        <v>0</v>
      </c>
    </row>
    <row r="21" spans="1:80" x14ac:dyDescent="0.45">
      <c r="C21" s="32" t="s">
        <v>690</v>
      </c>
      <c r="H21" s="28" t="s">
        <v>691</v>
      </c>
      <c r="I21" s="29"/>
      <c r="BW21" t="s">
        <v>692</v>
      </c>
      <c r="BX21">
        <f>IF(BX18=0,0,IF(AND($C$7=120,$C$8=1),BX18*1000/$C$7,IF(AND($C$7=208,$C$8=1),BX18*1000/$C$7,IF(AND($C$7=240,$C$8=2),BX18*1000/($C$7/2),IF(AND($C$7=230,$C$8=1),BX18*1000/$C$7,IF(AND($C$7=240,$C$8=1),BX18*1000/($C$7/2),IF(AND($C$7=277,$C$8=1),BX18*1000/$C$7,BX18*1000/($C$7/1.732))))))))</f>
        <v>0</v>
      </c>
    </row>
    <row r="22" spans="1:80" x14ac:dyDescent="0.45">
      <c r="A22" s="33" t="s">
        <v>693</v>
      </c>
      <c r="H22" s="28" t="s">
        <v>694</v>
      </c>
      <c r="I22" s="29" t="s">
        <v>695</v>
      </c>
      <c r="BW22" t="s">
        <v>696</v>
      </c>
      <c r="BX22">
        <f>IF($F$15="SI",1,IF(N($F$9)&gt;0,$F$9/100,1.25))</f>
        <v>1.25</v>
      </c>
    </row>
    <row r="23" spans="1:80" ht="14.65" x14ac:dyDescent="0.45">
      <c r="A23" s="34" t="s">
        <v>697</v>
      </c>
      <c r="H23" s="28" t="s">
        <v>698</v>
      </c>
      <c r="I23" s="29"/>
      <c r="W23" s="35" t="s">
        <v>699</v>
      </c>
      <c r="BW23" t="s">
        <v>700</v>
      </c>
      <c r="BX23" t="str">
        <f>IF(BX10=0,"",IF($C$8=3,MAX(BX19:BX21),IF(BX4&gt;0,BX19,IF(BX5&gt;0,BX20,BX21)))*BX22)</f>
        <v/>
      </c>
    </row>
    <row r="24" spans="1:80" ht="22.5" x14ac:dyDescent="0.45">
      <c r="A24" s="7" t="s">
        <v>701</v>
      </c>
      <c r="B24" s="7" t="s">
        <v>702</v>
      </c>
      <c r="C24" s="7" t="s">
        <v>703</v>
      </c>
      <c r="D24" s="7" t="s">
        <v>704</v>
      </c>
      <c r="E24" s="7" t="s">
        <v>121</v>
      </c>
      <c r="F24" s="7" t="s">
        <v>122</v>
      </c>
      <c r="G24" s="7" t="s">
        <v>705</v>
      </c>
      <c r="H24" s="7" t="s">
        <v>38</v>
      </c>
      <c r="I24" s="7" t="s">
        <v>706</v>
      </c>
      <c r="J24" s="7" t="s">
        <v>707</v>
      </c>
      <c r="K24" s="7" t="s">
        <v>708</v>
      </c>
      <c r="L24" s="7" t="s">
        <v>83</v>
      </c>
      <c r="M24" s="7" t="s">
        <v>709</v>
      </c>
      <c r="N24" s="7" t="s">
        <v>710</v>
      </c>
      <c r="O24" s="7" t="s">
        <v>711</v>
      </c>
      <c r="P24" s="7" t="s">
        <v>712</v>
      </c>
      <c r="Q24" s="7" t="s">
        <v>437</v>
      </c>
      <c r="R24" s="7" t="s">
        <v>713</v>
      </c>
      <c r="S24" s="7" t="s">
        <v>714</v>
      </c>
      <c r="T24" s="7" t="s">
        <v>715</v>
      </c>
      <c r="U24" s="7" t="s">
        <v>716</v>
      </c>
      <c r="V24" s="7" t="s">
        <v>119</v>
      </c>
      <c r="W24" s="36" t="s">
        <v>122</v>
      </c>
      <c r="X24" s="36" t="s">
        <v>705</v>
      </c>
      <c r="Y24" s="36" t="s">
        <v>123</v>
      </c>
      <c r="Z24" s="36" t="s">
        <v>74</v>
      </c>
      <c r="AA24" s="36" t="s">
        <v>124</v>
      </c>
      <c r="AB24" s="36" t="s">
        <v>707</v>
      </c>
      <c r="AC24" s="36" t="s">
        <v>708</v>
      </c>
      <c r="AD24" s="36" t="s">
        <v>127</v>
      </c>
      <c r="AE24" s="36" t="s">
        <v>717</v>
      </c>
      <c r="AF24" s="36" t="s">
        <v>129</v>
      </c>
      <c r="AG24" s="36" t="s">
        <v>718</v>
      </c>
      <c r="AH24" s="36" t="s">
        <v>719</v>
      </c>
      <c r="AI24" s="36" t="s">
        <v>720</v>
      </c>
      <c r="AJ24" s="36" t="s">
        <v>721</v>
      </c>
      <c r="AK24" s="36" t="s">
        <v>722</v>
      </c>
      <c r="AL24" s="36" t="s">
        <v>723</v>
      </c>
      <c r="AM24" s="36" t="s">
        <v>724</v>
      </c>
      <c r="AN24" s="36" t="s">
        <v>725</v>
      </c>
      <c r="AO24" s="36" t="s">
        <v>726</v>
      </c>
      <c r="AP24" s="36" t="s">
        <v>727</v>
      </c>
      <c r="AQ24" s="36" t="s">
        <v>728</v>
      </c>
      <c r="AR24" s="36" t="s">
        <v>729</v>
      </c>
      <c r="AS24" s="36" t="s">
        <v>730</v>
      </c>
      <c r="AT24" s="36" t="s">
        <v>712</v>
      </c>
      <c r="AU24" s="36" t="s">
        <v>710</v>
      </c>
      <c r="AV24" s="36" t="s">
        <v>731</v>
      </c>
      <c r="AW24" s="36" t="s">
        <v>732</v>
      </c>
      <c r="AX24" s="36" t="s">
        <v>612</v>
      </c>
      <c r="AY24" s="36" t="s">
        <v>88</v>
      </c>
      <c r="AZ24" s="36" t="s">
        <v>89</v>
      </c>
      <c r="BA24" s="36" t="s">
        <v>733</v>
      </c>
      <c r="BB24" s="36" t="s">
        <v>734</v>
      </c>
      <c r="BC24" s="36" t="s">
        <v>735</v>
      </c>
      <c r="BD24" s="36" t="s">
        <v>736</v>
      </c>
      <c r="BE24" s="36" t="s">
        <v>737</v>
      </c>
      <c r="BF24" s="36" t="s">
        <v>738</v>
      </c>
      <c r="BG24" s="36" t="s">
        <v>739</v>
      </c>
      <c r="BH24" s="36" t="s">
        <v>740</v>
      </c>
      <c r="BI24" s="36" t="s">
        <v>741</v>
      </c>
      <c r="BJ24" s="36" t="s">
        <v>437</v>
      </c>
      <c r="BK24" s="36" t="s">
        <v>713</v>
      </c>
      <c r="BL24" s="36" t="s">
        <v>67</v>
      </c>
      <c r="BM24" s="36" t="s">
        <v>79</v>
      </c>
      <c r="BN24" s="36" t="s">
        <v>742</v>
      </c>
      <c r="BO24" s="36" t="s">
        <v>743</v>
      </c>
      <c r="BP24" s="36" t="s">
        <v>744</v>
      </c>
      <c r="BQ24" s="36" t="s">
        <v>74</v>
      </c>
      <c r="BR24" s="36" t="s">
        <v>88</v>
      </c>
      <c r="BS24" s="36" t="s">
        <v>89</v>
      </c>
      <c r="BT24" s="36" t="s">
        <v>733</v>
      </c>
      <c r="BU24" s="36" t="s">
        <v>745</v>
      </c>
      <c r="BW24" t="s">
        <v>746</v>
      </c>
      <c r="BX24" t="str">
        <f>IF(BX23="","",IF(N($F$10)&gt;0,$F$10,VLOOKUP(BX23,T_PROT,2,TRUE)))</f>
        <v/>
      </c>
    </row>
    <row r="25" spans="1:80" ht="14.65" x14ac:dyDescent="0.45">
      <c r="A25" s="37"/>
      <c r="B25" s="14">
        <v>1</v>
      </c>
      <c r="C25" s="37"/>
      <c r="D25" s="37"/>
      <c r="E25" s="37"/>
      <c r="F25" s="37" t="str">
        <f t="shared" ref="F25:F56" si="0">IF($E25="","",IFERROR(VLOOKUP($E25,T_DET,3,FALSE),""))</f>
        <v/>
      </c>
      <c r="G25" s="38"/>
      <c r="H25" s="37"/>
      <c r="I25" s="37" t="str">
        <f t="shared" ref="I25:I56" si="1">IF($E25="","",IFERROR(VLOOKUP($E25,T_DET,11,FALSE)*100,125))</f>
        <v/>
      </c>
      <c r="J25" s="37" t="str">
        <f t="shared" ref="J25:J56" si="2">IF($E25="","",IFERROR(VLOOKUP($E25,T_DET,7,FALSE),1))</f>
        <v/>
      </c>
      <c r="K25" s="37" t="str">
        <f t="shared" ref="K25:K56" si="3">IF($E25="","",IFERROR(VLOOKUP($E25,T_DET,8,FALSE),1))</f>
        <v/>
      </c>
      <c r="L25" s="37" t="str">
        <f t="shared" ref="L25:L56" si="4">IF(AND($E25="",$G25=""),"","CU")</f>
        <v/>
      </c>
      <c r="M25" s="37" t="str">
        <f t="shared" ref="M25:M56" si="5">IF(AND($E25="",$G25=""),"","THHN")</f>
        <v/>
      </c>
      <c r="N25" s="37" t="str">
        <f t="shared" ref="N25:N56" si="6">IF($AS25="","",IF($AS25&gt;1600,5,IF($AS25&gt;1000,4,IF($AS25&gt;600,3,IF($AS25&gt;300,2,1)))))</f>
        <v/>
      </c>
      <c r="O25" s="37" t="str">
        <f t="shared" ref="O25:O56" si="7">IF(AND($E25="",$G25=""),"",0)</f>
        <v/>
      </c>
      <c r="P25" s="37" t="str">
        <f t="shared" ref="P25:P56" si="8">IF($AS25="","",VLOOKUP($AS25,T_PROT,2,TRUE))</f>
        <v/>
      </c>
      <c r="Q25" s="37" t="str">
        <f>IF($X25=0,"",NEC_UNIDAD($W25,$E25,$Y25,$Z25,N($AT25),$C$7,OCUPACION))</f>
        <v/>
      </c>
      <c r="R25" s="37" t="str">
        <f>IF($X25=0,"",BREAKER_SEL($BX$60,$BI25,$AT25,$C$7,$BX$58,$BX$69,$BJ25))</f>
        <v/>
      </c>
      <c r="S25" s="37"/>
      <c r="T25" s="37"/>
      <c r="U25" s="37"/>
      <c r="V25" s="37"/>
      <c r="W25" s="11" t="str">
        <f t="shared" ref="W25:W56" si="9">IF($F25&lt;&gt;"",$F25,IFERROR(VLOOKUP($E25,T_DET,3,FALSE),""))</f>
        <v/>
      </c>
      <c r="X25" s="39">
        <f t="shared" ref="X25:X56" si="10">IF(ISNUMBER($G25),$G25,0)</f>
        <v>0</v>
      </c>
      <c r="Y25" s="11">
        <f t="shared" ref="Y25:Y56" si="11">IFERROR(VLOOKUP($E25,T_DET,4,FALSE),0)</f>
        <v>0</v>
      </c>
      <c r="Z25" s="11">
        <f t="shared" ref="Z25:Z56" si="12">IFERROR(IF(AND(VLOOKUP($E25,T_DET,5,FALSE)=1,VLOOKUP($E25,T_DET,4,FALSE)&gt;=208,VLOOKUP($E25,T_DET,4,FALSE)&lt;=240,COUNT($B25:$D25)=2),2,VLOOKUP($E25,T_DET,5,FALSE)),0)</f>
        <v>0</v>
      </c>
      <c r="AA25" s="11">
        <f t="shared" ref="AA25:AA56" si="13">IFERROR(VLOOKUP($E25,T_DET,6,FALSE),0)</f>
        <v>0</v>
      </c>
      <c r="AB25" s="11">
        <f t="shared" ref="AB25:AB56" si="14">IF(ISNUMBER($J25),$J25,IFERROR(VLOOKUP($E25,T_DET,7,FALSE),1))</f>
        <v>1</v>
      </c>
      <c r="AC25" s="11">
        <f t="shared" ref="AC25:AC56" si="15">IF(AND(N($K25)&gt;0,N($K25)&lt;=1),$K25,IFERROR(VLOOKUP($E25,T_DET,8,FALSE),1))</f>
        <v>1</v>
      </c>
      <c r="AD25" s="11">
        <f t="shared" ref="AD25:AD56" si="16">IFERROR(VLOOKUP($E25,T_DET,9,FALSE),1)</f>
        <v>1</v>
      </c>
      <c r="AE25" s="11" t="str">
        <f t="shared" ref="AE25:AE56" si="17">IFERROR(VLOOKUP($E25,T_DET,2,FALSE),"")</f>
        <v/>
      </c>
      <c r="AF25" s="11">
        <f t="shared" ref="AF25:AF56" si="18">IF(ISNUMBER($I25),$I25/100,IFERROR(VLOOKUP($E25,T_DET,11,FALSE),1.25))</f>
        <v>1.25</v>
      </c>
      <c r="AG25" s="11">
        <f t="shared" ref="AG25:AG56" si="19">IF(N($B25)&gt;0,MOD(INT(($B25-1)/2),IF($C$8=3,3,2)),-1)</f>
        <v>0</v>
      </c>
      <c r="AH25" s="11">
        <f t="shared" ref="AH25:AH56" si="20">IF(N($CA25)&gt;0,MOD(INT(($CA25-1)/2),IF($C$8=3,3,2)),-1)</f>
        <v>-1</v>
      </c>
      <c r="AI25" s="11">
        <f t="shared" ref="AI25:AI56" si="21">IF(N($CB25)&gt;0,MOD(INT(($CB25-1)/2),IF($C$8=3,3,2)),-1)</f>
        <v>-1</v>
      </c>
      <c r="AJ25" s="39">
        <f t="shared" ref="AJ25:AJ56" si="22">IF(OR($X25=0,$Z25=0),0,IF($C$8=1,$X25,IF(OR($AG25=0,$AH25=0,$AI25=0),$X25/$Z25,0)))</f>
        <v>0</v>
      </c>
      <c r="AK25" s="39">
        <f t="shared" ref="AK25:AK56" si="23">IF(OR($X25=0,$Z25=0,$C$8=1),0,IF(OR($AG25=1,$AH25=1,$AI25=1),$X25/$Z25,0))</f>
        <v>0</v>
      </c>
      <c r="AL25" s="39">
        <f t="shared" ref="AL25:AL56" si="24">IF(OR($X25=0,$Z25=0,$C$8&lt;3),0,IF(OR($AG25=2,$AH25=2,$AI25=2),$X25/$Z25,0))</f>
        <v>0</v>
      </c>
      <c r="AM25" s="11">
        <f t="shared" ref="AM25:AM56" si="25">$AJ25*$AB25*$AC25</f>
        <v>0</v>
      </c>
      <c r="AN25" s="11">
        <f t="shared" ref="AN25:AN56" si="26">$AK25*$AB25*$AC25</f>
        <v>0</v>
      </c>
      <c r="AO25" s="11">
        <f t="shared" ref="AO25:AO56" si="27">$AL25*$AB25*$AC25</f>
        <v>0</v>
      </c>
      <c r="AP25" s="40">
        <f t="shared" ref="AP25:AP56" si="28">IF($AJ25=0,0,IF(AND($Y25=120,$Z25=1),$AM25*1000/$Y25,IF(AND($Y25=208,$Z25=1),$AM25*1000/$Y25,IF(AND($Y25=208,$Z25=2),$AJ25*2*1000/$Y25,IF(AND($Y25=230,$Z25=1),$AM25*1000/$Y25,IF(AND($Y25=240,$Z25=1),$AM25*1000/($Y25/2),IF(AND($Y25=277,$Z25=1),$AM25*1000/$Y25,$AM25*1000/($Y25/1.732))))))))</f>
        <v>0</v>
      </c>
      <c r="AQ25" s="40">
        <f t="shared" ref="AQ25:AQ56" si="29">IF($AK25=0,0,IF(AND($Y25=120,$Z25=1),$AN25*1000/$Y25,IF(AND($Y25=208,$Z25=1),$AN25*1000/$Y25,IF(AND($Y25=208,$Z25=2),$AK25*2*1000/$Y25,IF(AND($Y25=230,$Z25=1),$AN25*1000/$Y25,IF(AND($Y25=240,$Z25=1),$AN25*1000/($Y25/2),IF(AND($Y25=277,$Z25=1),$AN25*1000/$Y25,$AN25*1000/($Y25/1.732))))))))</f>
        <v>0</v>
      </c>
      <c r="AR25" s="40">
        <f t="shared" ref="AR25:AR56" si="30">IF($AL25=0,0,IF(AND($Y25=120,$Z25=1),$AO25*1000/$Y25,IF(AND($Y25=208,$Z25=1),$AO25*1000/$Y25,IF(AND($Y25=208,$Z25=2),$AL25*2*1000/$Y25,IF(AND($Y25=230,$Z25=1),$AO25*1000/$Y25,IF(AND($Y25=240,$Z25=1),$AO25*1000/($Y25/2),IF(AND($Y25=277,$Z25=1),$AO25*1000/$Y25,$AO25*1000/($Y25/1.732))))))))</f>
        <v>0</v>
      </c>
      <c r="AS25" s="40" t="str">
        <f t="shared" ref="AS25:AS56" si="31">IF($X25=0,"",IF($C$8=3,MAX($AP25:$AR25),IF($AJ25&gt;0,$AP25,IF($AK25&gt;0,$AQ25,$AR25)))*$AF25)</f>
        <v/>
      </c>
      <c r="AT25" s="11" t="str">
        <f t="shared" ref="AT25:AT56" si="32">IF($AS25="","",IF(N($P25)&gt;0,$P25,VLOOKUP($AS25,T_PROT,2,TRUE)))</f>
        <v/>
      </c>
      <c r="AU25" s="11">
        <f t="shared" ref="AU25:AU56" si="33">IF($AS25="",1,IF(N($N25)&gt;0,$N25,IF($AS25&gt;1600,5,IF($AS25&gt;1000,4,IF($AS25&gt;600,3,IF($AS25&gt;300,2,1))))))</f>
        <v>1</v>
      </c>
      <c r="AV25" s="11">
        <f t="shared" ref="AV25:AV56" si="34">1+N($O25)/100</f>
        <v>1</v>
      </c>
      <c r="AW25" s="11" t="str">
        <f t="shared" ref="AW25:AW56" si="35">IF($AT25="","",VLOOKUP($AT25*$AV25/$AU25,CHOOSE(IF(OR($L25="AL",$L25="AL-MC"),2,1),T_AMPCU,T_AMPAL),2,TRUE))</f>
        <v/>
      </c>
      <c r="AX25" s="11" t="str">
        <f t="shared" ref="AX25:AX56" si="36">IF($AW25="","",IF($AU25=1,"",$AU25&amp;"x")&amp;IF($Z25=3,"3#",IF(AND($Y25&gt;=208,$Y25&lt;=240),"2#","")))</f>
        <v/>
      </c>
      <c r="AY25" s="11" t="str">
        <f t="shared" ref="AY25:AY56" si="37">IF($AW25="","",IF($AA25=0,"",IF(AND($Y25&gt;=208,$Z25=3,$AA25=4),$AW25,IF(AND($Z25=3,$AA25=3),"",IF(AND($Y25&gt;=208,$Z25=1,$AA25=3),"",$AW25)))))</f>
        <v/>
      </c>
      <c r="AZ25" s="11" t="str">
        <f t="shared" ref="AZ25:AZ56" si="38">IF($AT25="","",INDEX(T_TIERRA,MATCH(TRUE,INDEX(T_TIERRA_A&gt;=$AT25,0),0),IFERROR(MATCH(IF($L25="","CU",$L25),T_TIERRA_H,0),1)))</f>
        <v/>
      </c>
      <c r="BA25" s="11" t="str">
        <f t="shared" ref="BA25:BA56" si="39">IF($AW25="","",IF(OR($L25="CU-MC",$L25="AL-MC"),"MC",IFERROR(VLOOKUP($AW25,T_CONDUIT,IF($M25="RHW",3,IF($M25="XHHW",4,2)),FALSE),"")))</f>
        <v/>
      </c>
      <c r="BB25" s="11" t="str">
        <f t="shared" ref="BB25:BB56" si="40">IF($AW25="","",IFERROR(INDEX(CHOOSE(IF(OR($L25="AL",$L25="AL-MC"),2,1),T_FAC_CU,T_FAC_AL),IF($AD25=1,1,IF($AD25&gt;0.949,2,IF($AD25&gt;0.899,3,IF($AD25&gt;0.799,4,99)))),MATCH($AW25,T_FAC_H,0)),""))</f>
        <v/>
      </c>
      <c r="BC25" s="11" t="str">
        <f t="shared" ref="BC25:BC56" si="41">IF($BB25="","",$BB25*IF(AND($Z25=1,OR($Y25=120,$Y25=230,$Y25=277)),1.1547,IF(AND($Z25=1,OR($Y25=208,$Y25=240)),1.15,1)))</f>
        <v/>
      </c>
      <c r="BD25" s="11" t="str">
        <f t="shared" ref="BD25:BD56" si="42">IF($X25=0,"",IF($Y25=$C$7,$BX$49,$BX$54))</f>
        <v/>
      </c>
      <c r="BE25" s="39" t="str">
        <f t="shared" ref="BE25:BE56" si="43">IF(OR($X25=0,$BC25=""),"",N($H25)*3.28*IF($AJ25&gt;0,$AP25,IF($AK25&gt;0,$AQ25,$AR25))*$BC25/(10000*$AU25))</f>
        <v/>
      </c>
      <c r="BF25" s="11" t="str">
        <f t="shared" ref="BF25:BF56" si="44">IF($BE25="","",$BD25-$BE25)</f>
        <v/>
      </c>
      <c r="BG25" s="11" t="str">
        <f t="shared" ref="BG25:BG56" si="45">IF($BF25="","",$Y25-$BF25)</f>
        <v/>
      </c>
      <c r="BH25" s="39" t="str">
        <f t="shared" ref="BH25:BH56" si="46">IF($BG25="","",$BG25*100/$Y25)</f>
        <v/>
      </c>
      <c r="BI25" s="11" t="str">
        <f t="shared" ref="BI25:BI56" si="47">IF($X25=0,"",IF($Z25=3,3,IF(AND($Y25&gt;=208,$Y25&lt;=240),2,MAX($Z25,1))))</f>
        <v/>
      </c>
      <c r="BJ25" s="11" t="str">
        <f>IF($X25=0,"",IF($Q25&lt;&gt;"",$Q25,NEC_UNIDAD($W25,$E25,$Y25,$Z25,N($AT25),$C$7,OCUPACION)))</f>
        <v/>
      </c>
      <c r="BK25" s="11" t="str">
        <f>IF($X25=0,"",IF(N($R25)&gt;0,$R25,BREAKER_SEL($BX$60,$BI25,$AT25,$C$7,$BX$58,$BX$69,$BJ25)))</f>
        <v/>
      </c>
      <c r="BL25" s="11" t="str">
        <f>IF($BK25="","",BREAKER_REF($BX$60,$BK25,$BI25,$AT25,FALSE))</f>
        <v/>
      </c>
      <c r="BM25" s="11" t="str">
        <f>IF($BK25="","",BREAKER_DATO($BX$60,$BK25,"sccr"))</f>
        <v/>
      </c>
      <c r="BN25" s="11" t="str">
        <f>IF(OR($BK25="",N($BM25)&gt;=$BX$58,$BX$71="",N($BX$74)&lt;$BX$58),"",SERIE_KA($BX$60,BREAKER_DATO($BX$60,$BK25,"modelo"),$BX$72,N($BX$24),$C$7,$BX$58))</f>
        <v/>
      </c>
      <c r="BO25" s="11" t="str">
        <f>IF($BK25="","",BREAKER_DATO($BX$60,$BK25,"unidad"))</f>
        <v/>
      </c>
      <c r="BP25" s="11" t="str">
        <f>IF($BK25="","",BREAKER_DATO($BX$60,$BK25,"marco"))</f>
        <v/>
      </c>
      <c r="BQ25" s="11" t="str">
        <f t="shared" ref="BQ25:BQ56" si="48">IF($AW25="","",$AX25&amp;$AW25)</f>
        <v/>
      </c>
      <c r="BR25" s="11" t="str">
        <f t="shared" ref="BR25:BR56" si="49">IF(OR($AY25="",$AW25=""),"",IF($AU25=1,"",$AU25&amp;"x")&amp;$AY25)</f>
        <v/>
      </c>
      <c r="BS25" s="11" t="str">
        <f t="shared" ref="BS25:BS56" si="50">IF($AZ25="","",IF($AU25=1,"",$AU25&amp;"x")&amp;$AZ25)</f>
        <v/>
      </c>
      <c r="BT25" s="11" t="str">
        <f t="shared" ref="BT25:BT56" si="51">IF($BA25="","",IF($AU25=1,"",$AU25&amp;"x")&amp;$BA25)</f>
        <v/>
      </c>
      <c r="BU25" s="11" t="str">
        <f t="shared" ref="BU25:BU56" si="52">IF($X25=0,"",TRIM(IF($E25="","Sin detalle de carga. ","")&amp;IF(N($BH25)&gt;CVMAX_TOT,"Caída "&amp;FIXED($BH25,2)&amp;" %. ","")&amp;IF(AND($BM25&lt;&gt;"",N($BM25)&lt;$BX$58,$BN25=""),"SCCR "&amp;$BM25&amp;" kA &lt; Icc. ","")&amp;IF(AND($Z25&gt;0,COUNT($B25:$D25)&gt;$Z25),"Más polos que fases del detalle. ","")&amp;IF(AND(COUNT($B25:$D25)&lt;$Z25,$Z25&gt;1),"Faltan polos: el detalle es de "&amp;$Z25&amp;" fases. ","")&amp;IF(COUNTIF($CA$25:$CB$124,$B25)&gt;0,"Posición ocupada por otro circuito. ","")&amp;IF($BN25&lt;&gt;"","Serie "&amp;$BN25&amp;" kA (110.22(C)). ","")))</f>
        <v/>
      </c>
      <c r="BW25" t="s">
        <v>747</v>
      </c>
      <c r="BX25">
        <f>IF(BX23="",1,IF(N($F$6)&gt;0,$F$6,IF(BX23&gt;1600,5,IF(BX23&gt;1000,4,IF(BX23&gt;600,3,IF(BX23&gt;300,2,1))))))</f>
        <v>1</v>
      </c>
      <c r="CA25" s="11" t="str">
        <f t="shared" ref="CA25:CA56" si="53">IF(N($C25)&gt;0,$C25,"")</f>
        <v/>
      </c>
      <c r="CB25" s="11" t="str">
        <f t="shared" ref="CB25:CB56" si="54">IF(N($D25)&gt;0,$D25,"")</f>
        <v/>
      </c>
    </row>
    <row r="26" spans="1:80" ht="14.65" x14ac:dyDescent="0.45">
      <c r="A26" s="37"/>
      <c r="B26" s="14">
        <v>3</v>
      </c>
      <c r="C26" s="37"/>
      <c r="D26" s="37"/>
      <c r="E26" s="37"/>
      <c r="F26" s="37" t="str">
        <f t="shared" si="0"/>
        <v/>
      </c>
      <c r="G26" s="38"/>
      <c r="H26" s="37"/>
      <c r="I26" s="37" t="str">
        <f t="shared" si="1"/>
        <v/>
      </c>
      <c r="J26" s="37" t="str">
        <f t="shared" si="2"/>
        <v/>
      </c>
      <c r="K26" s="37" t="str">
        <f t="shared" si="3"/>
        <v/>
      </c>
      <c r="L26" s="37" t="str">
        <f t="shared" si="4"/>
        <v/>
      </c>
      <c r="M26" s="37" t="str">
        <f t="shared" si="5"/>
        <v/>
      </c>
      <c r="N26" s="37" t="str">
        <f t="shared" si="6"/>
        <v/>
      </c>
      <c r="O26" s="37" t="str">
        <f t="shared" si="7"/>
        <v/>
      </c>
      <c r="P26" s="37" t="str">
        <f t="shared" si="8"/>
        <v/>
      </c>
      <c r="Q26" s="37" t="str">
        <f>IF($X26=0,"",NEC_UNIDAD($W26,$E26,$Y26,$Z26,N($AT26),$C$7,OCUPACION))</f>
        <v/>
      </c>
      <c r="R26" s="37" t="str">
        <f>IF($X26=0,"",BREAKER_SEL($BX$60,$BI26,$AT26,$C$7,$BX$58,$BX$69,$BJ26))</f>
        <v/>
      </c>
      <c r="S26" s="37"/>
      <c r="T26" s="37"/>
      <c r="U26" s="37"/>
      <c r="V26" s="37"/>
      <c r="W26" s="11" t="str">
        <f t="shared" si="9"/>
        <v/>
      </c>
      <c r="X26" s="39">
        <f t="shared" si="10"/>
        <v>0</v>
      </c>
      <c r="Y26" s="11">
        <f t="shared" si="11"/>
        <v>0</v>
      </c>
      <c r="Z26" s="11">
        <f t="shared" si="12"/>
        <v>0</v>
      </c>
      <c r="AA26" s="11">
        <f t="shared" si="13"/>
        <v>0</v>
      </c>
      <c r="AB26" s="11">
        <f t="shared" si="14"/>
        <v>1</v>
      </c>
      <c r="AC26" s="11">
        <f t="shared" si="15"/>
        <v>1</v>
      </c>
      <c r="AD26" s="11">
        <f t="shared" si="16"/>
        <v>1</v>
      </c>
      <c r="AE26" s="11" t="str">
        <f t="shared" si="17"/>
        <v/>
      </c>
      <c r="AF26" s="11">
        <f t="shared" si="18"/>
        <v>1.25</v>
      </c>
      <c r="AG26" s="11">
        <f t="shared" si="19"/>
        <v>1</v>
      </c>
      <c r="AH26" s="11">
        <f t="shared" si="20"/>
        <v>-1</v>
      </c>
      <c r="AI26" s="11">
        <f t="shared" si="21"/>
        <v>-1</v>
      </c>
      <c r="AJ26" s="39">
        <f t="shared" si="22"/>
        <v>0</v>
      </c>
      <c r="AK26" s="39">
        <f t="shared" si="23"/>
        <v>0</v>
      </c>
      <c r="AL26" s="39">
        <f t="shared" si="24"/>
        <v>0</v>
      </c>
      <c r="AM26" s="11">
        <f t="shared" si="25"/>
        <v>0</v>
      </c>
      <c r="AN26" s="11">
        <f t="shared" si="26"/>
        <v>0</v>
      </c>
      <c r="AO26" s="11">
        <f t="shared" si="27"/>
        <v>0</v>
      </c>
      <c r="AP26" s="40">
        <f t="shared" si="28"/>
        <v>0</v>
      </c>
      <c r="AQ26" s="40">
        <f t="shared" si="29"/>
        <v>0</v>
      </c>
      <c r="AR26" s="40">
        <f t="shared" si="30"/>
        <v>0</v>
      </c>
      <c r="AS26" s="40" t="str">
        <f t="shared" si="31"/>
        <v/>
      </c>
      <c r="AT26" s="11" t="str">
        <f t="shared" si="32"/>
        <v/>
      </c>
      <c r="AU26" s="11">
        <f t="shared" si="33"/>
        <v>1</v>
      </c>
      <c r="AV26" s="11">
        <f t="shared" si="34"/>
        <v>1</v>
      </c>
      <c r="AW26" s="11" t="str">
        <f t="shared" si="35"/>
        <v/>
      </c>
      <c r="AX26" s="11" t="str">
        <f t="shared" si="36"/>
        <v/>
      </c>
      <c r="AY26" s="11" t="str">
        <f t="shared" si="37"/>
        <v/>
      </c>
      <c r="AZ26" s="11" t="str">
        <f t="shared" si="38"/>
        <v/>
      </c>
      <c r="BA26" s="11" t="str">
        <f t="shared" si="39"/>
        <v/>
      </c>
      <c r="BB26" s="11" t="str">
        <f t="shared" si="40"/>
        <v/>
      </c>
      <c r="BC26" s="11" t="str">
        <f t="shared" si="41"/>
        <v/>
      </c>
      <c r="BD26" s="11" t="str">
        <f t="shared" si="42"/>
        <v/>
      </c>
      <c r="BE26" s="39" t="str">
        <f t="shared" si="43"/>
        <v/>
      </c>
      <c r="BF26" s="11" t="str">
        <f t="shared" si="44"/>
        <v/>
      </c>
      <c r="BG26" s="11" t="str">
        <f t="shared" si="45"/>
        <v/>
      </c>
      <c r="BH26" s="39" t="str">
        <f t="shared" si="46"/>
        <v/>
      </c>
      <c r="BI26" s="11" t="str">
        <f t="shared" si="47"/>
        <v/>
      </c>
      <c r="BJ26" s="11" t="str">
        <f>IF($X26=0,"",IF($Q26&lt;&gt;"",$Q26,NEC_UNIDAD($W26,$E26,$Y26,$Z26,N($AT26),$C$7,OCUPACION)))</f>
        <v/>
      </c>
      <c r="BK26" s="11" t="str">
        <f>IF($X26=0,"",IF(N($R26)&gt;0,$R26,BREAKER_SEL($BX$60,$BI26,$AT26,$C$7,$BX$58,$BX$69,$BJ26)))</f>
        <v/>
      </c>
      <c r="BL26" s="11" t="str">
        <f>IF($BK26="","",BREAKER_REF($BX$60,$BK26,$BI26,$AT26,FALSE))</f>
        <v/>
      </c>
      <c r="BM26" s="11" t="str">
        <f>IF($BK26="","",BREAKER_DATO($BX$60,$BK26,"sccr"))</f>
        <v/>
      </c>
      <c r="BN26" s="11" t="str">
        <f>IF(OR($BK26="",N($BM26)&gt;=$BX$58,$BX$71="",N($BX$74)&lt;$BX$58),"",SERIE_KA($BX$60,BREAKER_DATO($BX$60,$BK26,"modelo"),$BX$72,N($BX$24),$C$7,$BX$58))</f>
        <v/>
      </c>
      <c r="BO26" s="11" t="str">
        <f>IF($BK26="","",BREAKER_DATO($BX$60,$BK26,"unidad"))</f>
        <v/>
      </c>
      <c r="BP26" s="11" t="str">
        <f>IF($BK26="","",BREAKER_DATO($BX$60,$BK26,"marco"))</f>
        <v/>
      </c>
      <c r="BQ26" s="11" t="str">
        <f t="shared" si="48"/>
        <v/>
      </c>
      <c r="BR26" s="11" t="str">
        <f t="shared" si="49"/>
        <v/>
      </c>
      <c r="BS26" s="11" t="str">
        <f t="shared" si="50"/>
        <v/>
      </c>
      <c r="BT26" s="11" t="str">
        <f t="shared" si="51"/>
        <v/>
      </c>
      <c r="BU26" s="11" t="str">
        <f t="shared" si="52"/>
        <v/>
      </c>
      <c r="BW26" t="s">
        <v>748</v>
      </c>
      <c r="BX26">
        <f>1+N($F$7)/100</f>
        <v>1</v>
      </c>
      <c r="CA26" s="11" t="str">
        <f t="shared" si="53"/>
        <v/>
      </c>
      <c r="CB26" s="11" t="str">
        <f t="shared" si="54"/>
        <v/>
      </c>
    </row>
    <row r="27" spans="1:80" ht="14.65" x14ac:dyDescent="0.45">
      <c r="A27" s="37"/>
      <c r="B27" s="14">
        <v>5</v>
      </c>
      <c r="C27" s="37"/>
      <c r="D27" s="37"/>
      <c r="E27" s="37"/>
      <c r="F27" s="37" t="str">
        <f t="shared" si="0"/>
        <v/>
      </c>
      <c r="G27" s="38"/>
      <c r="H27" s="37"/>
      <c r="I27" s="37" t="str">
        <f t="shared" si="1"/>
        <v/>
      </c>
      <c r="J27" s="37" t="str">
        <f t="shared" si="2"/>
        <v/>
      </c>
      <c r="K27" s="37" t="str">
        <f t="shared" si="3"/>
        <v/>
      </c>
      <c r="L27" s="37" t="str">
        <f t="shared" si="4"/>
        <v/>
      </c>
      <c r="M27" s="37" t="str">
        <f t="shared" si="5"/>
        <v/>
      </c>
      <c r="N27" s="37" t="str">
        <f t="shared" si="6"/>
        <v/>
      </c>
      <c r="O27" s="37" t="str">
        <f t="shared" si="7"/>
        <v/>
      </c>
      <c r="P27" s="37" t="str">
        <f t="shared" si="8"/>
        <v/>
      </c>
      <c r="Q27" s="37" t="str">
        <f>IF($X27=0,"",NEC_UNIDAD($W27,$E27,$Y27,$Z27,N($AT27),$C$7,OCUPACION))</f>
        <v/>
      </c>
      <c r="R27" s="37" t="str">
        <f>IF($X27=0,"",BREAKER_SEL($BX$60,$BI27,$AT27,$C$7,$BX$58,$BX$69,$BJ27))</f>
        <v/>
      </c>
      <c r="S27" s="37"/>
      <c r="T27" s="37"/>
      <c r="U27" s="37"/>
      <c r="V27" s="37"/>
      <c r="W27" s="11" t="str">
        <f t="shared" si="9"/>
        <v/>
      </c>
      <c r="X27" s="39">
        <f t="shared" si="10"/>
        <v>0</v>
      </c>
      <c r="Y27" s="11">
        <f t="shared" si="11"/>
        <v>0</v>
      </c>
      <c r="Z27" s="11">
        <f t="shared" si="12"/>
        <v>0</v>
      </c>
      <c r="AA27" s="11">
        <f t="shared" si="13"/>
        <v>0</v>
      </c>
      <c r="AB27" s="11">
        <f t="shared" si="14"/>
        <v>1</v>
      </c>
      <c r="AC27" s="11">
        <f t="shared" si="15"/>
        <v>1</v>
      </c>
      <c r="AD27" s="11">
        <f t="shared" si="16"/>
        <v>1</v>
      </c>
      <c r="AE27" s="11" t="str">
        <f t="shared" si="17"/>
        <v/>
      </c>
      <c r="AF27" s="11">
        <f t="shared" si="18"/>
        <v>1.25</v>
      </c>
      <c r="AG27" s="11">
        <f t="shared" si="19"/>
        <v>2</v>
      </c>
      <c r="AH27" s="11">
        <f t="shared" si="20"/>
        <v>-1</v>
      </c>
      <c r="AI27" s="11">
        <f t="shared" si="21"/>
        <v>-1</v>
      </c>
      <c r="AJ27" s="39">
        <f t="shared" si="22"/>
        <v>0</v>
      </c>
      <c r="AK27" s="39">
        <f t="shared" si="23"/>
        <v>0</v>
      </c>
      <c r="AL27" s="39">
        <f t="shared" si="24"/>
        <v>0</v>
      </c>
      <c r="AM27" s="11">
        <f t="shared" si="25"/>
        <v>0</v>
      </c>
      <c r="AN27" s="11">
        <f t="shared" si="26"/>
        <v>0</v>
      </c>
      <c r="AO27" s="11">
        <f t="shared" si="27"/>
        <v>0</v>
      </c>
      <c r="AP27" s="40">
        <f t="shared" si="28"/>
        <v>0</v>
      </c>
      <c r="AQ27" s="40">
        <f t="shared" si="29"/>
        <v>0</v>
      </c>
      <c r="AR27" s="40">
        <f t="shared" si="30"/>
        <v>0</v>
      </c>
      <c r="AS27" s="40" t="str">
        <f t="shared" si="31"/>
        <v/>
      </c>
      <c r="AT27" s="11" t="str">
        <f t="shared" si="32"/>
        <v/>
      </c>
      <c r="AU27" s="11">
        <f t="shared" si="33"/>
        <v>1</v>
      </c>
      <c r="AV27" s="11">
        <f t="shared" si="34"/>
        <v>1</v>
      </c>
      <c r="AW27" s="11" t="str">
        <f t="shared" si="35"/>
        <v/>
      </c>
      <c r="AX27" s="11" t="str">
        <f t="shared" si="36"/>
        <v/>
      </c>
      <c r="AY27" s="11" t="str">
        <f t="shared" si="37"/>
        <v/>
      </c>
      <c r="AZ27" s="11" t="str">
        <f t="shared" si="38"/>
        <v/>
      </c>
      <c r="BA27" s="11" t="str">
        <f t="shared" si="39"/>
        <v/>
      </c>
      <c r="BB27" s="11" t="str">
        <f t="shared" si="40"/>
        <v/>
      </c>
      <c r="BC27" s="11" t="str">
        <f t="shared" si="41"/>
        <v/>
      </c>
      <c r="BD27" s="11" t="str">
        <f t="shared" si="42"/>
        <v/>
      </c>
      <c r="BE27" s="39" t="str">
        <f t="shared" si="43"/>
        <v/>
      </c>
      <c r="BF27" s="11" t="str">
        <f t="shared" si="44"/>
        <v/>
      </c>
      <c r="BG27" s="11" t="str">
        <f t="shared" si="45"/>
        <v/>
      </c>
      <c r="BH27" s="39" t="str">
        <f t="shared" si="46"/>
        <v/>
      </c>
      <c r="BI27" s="11" t="str">
        <f t="shared" si="47"/>
        <v/>
      </c>
      <c r="BJ27" s="11" t="str">
        <f>IF($X27=0,"",IF($Q27&lt;&gt;"",$Q27,NEC_UNIDAD($W27,$E27,$Y27,$Z27,N($AT27),$C$7,OCUPACION)))</f>
        <v/>
      </c>
      <c r="BK27" s="11" t="str">
        <f>IF($X27=0,"",IF(N($R27)&gt;0,$R27,BREAKER_SEL($BX$60,$BI27,$AT27,$C$7,$BX$58,$BX$69,$BJ27)))</f>
        <v/>
      </c>
      <c r="BL27" s="11" t="str">
        <f>IF($BK27="","",BREAKER_REF($BX$60,$BK27,$BI27,$AT27,FALSE))</f>
        <v/>
      </c>
      <c r="BM27" s="11" t="str">
        <f>IF($BK27="","",BREAKER_DATO($BX$60,$BK27,"sccr"))</f>
        <v/>
      </c>
      <c r="BN27" s="11" t="str">
        <f>IF(OR($BK27="",N($BM27)&gt;=$BX$58,$BX$71="",N($BX$74)&lt;$BX$58),"",SERIE_KA($BX$60,BREAKER_DATO($BX$60,$BK27,"modelo"),$BX$72,N($BX$24),$C$7,$BX$58))</f>
        <v/>
      </c>
      <c r="BO27" s="11" t="str">
        <f>IF($BK27="","",BREAKER_DATO($BX$60,$BK27,"unidad"))</f>
        <v/>
      </c>
      <c r="BP27" s="11" t="str">
        <f>IF($BK27="","",BREAKER_DATO($BX$60,$BK27,"marco"))</f>
        <v/>
      </c>
      <c r="BQ27" s="11" t="str">
        <f t="shared" si="48"/>
        <v/>
      </c>
      <c r="BR27" s="11" t="str">
        <f t="shared" si="49"/>
        <v/>
      </c>
      <c r="BS27" s="11" t="str">
        <f t="shared" si="50"/>
        <v/>
      </c>
      <c r="BT27" s="11" t="str">
        <f t="shared" si="51"/>
        <v/>
      </c>
      <c r="BU27" s="11" t="str">
        <f t="shared" si="52"/>
        <v/>
      </c>
      <c r="BW27" t="s">
        <v>749</v>
      </c>
      <c r="BX27" t="str">
        <f>IF(BX24="","",VLOOKUP(BX24*BX26/BX25,CHOOSE(IF(OR($F$3="AL",$F$3="AL-MC"),2,1),T_AMPCU,T_AMPAL),2,TRUE))</f>
        <v/>
      </c>
      <c r="CA27" s="11" t="str">
        <f t="shared" si="53"/>
        <v/>
      </c>
      <c r="CB27" s="11" t="str">
        <f t="shared" si="54"/>
        <v/>
      </c>
    </row>
    <row r="28" spans="1:80" ht="14.65" x14ac:dyDescent="0.45">
      <c r="A28" s="37"/>
      <c r="B28" s="14">
        <v>7</v>
      </c>
      <c r="C28" s="37"/>
      <c r="D28" s="37"/>
      <c r="E28" s="37"/>
      <c r="F28" s="37" t="str">
        <f t="shared" si="0"/>
        <v/>
      </c>
      <c r="G28" s="38"/>
      <c r="H28" s="37"/>
      <c r="I28" s="37" t="str">
        <f t="shared" si="1"/>
        <v/>
      </c>
      <c r="J28" s="37" t="str">
        <f t="shared" si="2"/>
        <v/>
      </c>
      <c r="K28" s="37" t="str">
        <f t="shared" si="3"/>
        <v/>
      </c>
      <c r="L28" s="37" t="str">
        <f t="shared" si="4"/>
        <v/>
      </c>
      <c r="M28" s="37" t="str">
        <f t="shared" si="5"/>
        <v/>
      </c>
      <c r="N28" s="37" t="str">
        <f t="shared" si="6"/>
        <v/>
      </c>
      <c r="O28" s="37" t="str">
        <f t="shared" si="7"/>
        <v/>
      </c>
      <c r="P28" s="37" t="str">
        <f t="shared" si="8"/>
        <v/>
      </c>
      <c r="Q28" s="37" t="str">
        <f>IF($X28=0,"",NEC_UNIDAD($W28,$E28,$Y28,$Z28,N($AT28),$C$7,OCUPACION))</f>
        <v/>
      </c>
      <c r="R28" s="37" t="str">
        <f>IF($X28=0,"",BREAKER_SEL($BX$60,$BI28,$AT28,$C$7,$BX$58,$BX$69,$BJ28))</f>
        <v/>
      </c>
      <c r="S28" s="37"/>
      <c r="T28" s="37"/>
      <c r="U28" s="37"/>
      <c r="V28" s="37"/>
      <c r="W28" s="11" t="str">
        <f t="shared" si="9"/>
        <v/>
      </c>
      <c r="X28" s="39">
        <f t="shared" si="10"/>
        <v>0</v>
      </c>
      <c r="Y28" s="11">
        <f t="shared" si="11"/>
        <v>0</v>
      </c>
      <c r="Z28" s="11">
        <f t="shared" si="12"/>
        <v>0</v>
      </c>
      <c r="AA28" s="11">
        <f t="shared" si="13"/>
        <v>0</v>
      </c>
      <c r="AB28" s="11">
        <f t="shared" si="14"/>
        <v>1</v>
      </c>
      <c r="AC28" s="11">
        <f t="shared" si="15"/>
        <v>1</v>
      </c>
      <c r="AD28" s="11">
        <f t="shared" si="16"/>
        <v>1</v>
      </c>
      <c r="AE28" s="11" t="str">
        <f t="shared" si="17"/>
        <v/>
      </c>
      <c r="AF28" s="11">
        <f t="shared" si="18"/>
        <v>1.25</v>
      </c>
      <c r="AG28" s="11">
        <f t="shared" si="19"/>
        <v>0</v>
      </c>
      <c r="AH28" s="11">
        <f t="shared" si="20"/>
        <v>-1</v>
      </c>
      <c r="AI28" s="11">
        <f t="shared" si="21"/>
        <v>-1</v>
      </c>
      <c r="AJ28" s="39">
        <f t="shared" si="22"/>
        <v>0</v>
      </c>
      <c r="AK28" s="39">
        <f t="shared" si="23"/>
        <v>0</v>
      </c>
      <c r="AL28" s="39">
        <f t="shared" si="24"/>
        <v>0</v>
      </c>
      <c r="AM28" s="11">
        <f t="shared" si="25"/>
        <v>0</v>
      </c>
      <c r="AN28" s="11">
        <f t="shared" si="26"/>
        <v>0</v>
      </c>
      <c r="AO28" s="11">
        <f t="shared" si="27"/>
        <v>0</v>
      </c>
      <c r="AP28" s="40">
        <f t="shared" si="28"/>
        <v>0</v>
      </c>
      <c r="AQ28" s="40">
        <f t="shared" si="29"/>
        <v>0</v>
      </c>
      <c r="AR28" s="40">
        <f t="shared" si="30"/>
        <v>0</v>
      </c>
      <c r="AS28" s="40" t="str">
        <f t="shared" si="31"/>
        <v/>
      </c>
      <c r="AT28" s="11" t="str">
        <f t="shared" si="32"/>
        <v/>
      </c>
      <c r="AU28" s="11">
        <f t="shared" si="33"/>
        <v>1</v>
      </c>
      <c r="AV28" s="11">
        <f t="shared" si="34"/>
        <v>1</v>
      </c>
      <c r="AW28" s="11" t="str">
        <f t="shared" si="35"/>
        <v/>
      </c>
      <c r="AX28" s="11" t="str">
        <f t="shared" si="36"/>
        <v/>
      </c>
      <c r="AY28" s="11" t="str">
        <f t="shared" si="37"/>
        <v/>
      </c>
      <c r="AZ28" s="11" t="str">
        <f t="shared" si="38"/>
        <v/>
      </c>
      <c r="BA28" s="11" t="str">
        <f t="shared" si="39"/>
        <v/>
      </c>
      <c r="BB28" s="11" t="str">
        <f t="shared" si="40"/>
        <v/>
      </c>
      <c r="BC28" s="11" t="str">
        <f t="shared" si="41"/>
        <v/>
      </c>
      <c r="BD28" s="11" t="str">
        <f t="shared" si="42"/>
        <v/>
      </c>
      <c r="BE28" s="39" t="str">
        <f t="shared" si="43"/>
        <v/>
      </c>
      <c r="BF28" s="11" t="str">
        <f t="shared" si="44"/>
        <v/>
      </c>
      <c r="BG28" s="11" t="str">
        <f t="shared" si="45"/>
        <v/>
      </c>
      <c r="BH28" s="39" t="str">
        <f t="shared" si="46"/>
        <v/>
      </c>
      <c r="BI28" s="11" t="str">
        <f t="shared" si="47"/>
        <v/>
      </c>
      <c r="BJ28" s="11" t="str">
        <f>IF($X28=0,"",IF($Q28&lt;&gt;"",$Q28,NEC_UNIDAD($W28,$E28,$Y28,$Z28,N($AT28),$C$7,OCUPACION)))</f>
        <v/>
      </c>
      <c r="BK28" s="11" t="str">
        <f>IF($X28=0,"",IF(N($R28)&gt;0,$R28,BREAKER_SEL($BX$60,$BI28,$AT28,$C$7,$BX$58,$BX$69,$BJ28)))</f>
        <v/>
      </c>
      <c r="BL28" s="11" t="str">
        <f>IF($BK28="","",BREAKER_REF($BX$60,$BK28,$BI28,$AT28,FALSE))</f>
        <v/>
      </c>
      <c r="BM28" s="11" t="str">
        <f>IF($BK28="","",BREAKER_DATO($BX$60,$BK28,"sccr"))</f>
        <v/>
      </c>
      <c r="BN28" s="11" t="str">
        <f>IF(OR($BK28="",N($BM28)&gt;=$BX$58,$BX$71="",N($BX$74)&lt;$BX$58),"",SERIE_KA($BX$60,BREAKER_DATO($BX$60,$BK28,"modelo"),$BX$72,N($BX$24),$C$7,$BX$58))</f>
        <v/>
      </c>
      <c r="BO28" s="11" t="str">
        <f>IF($BK28="","",BREAKER_DATO($BX$60,$BK28,"unidad"))</f>
        <v/>
      </c>
      <c r="BP28" s="11" t="str">
        <f>IF($BK28="","",BREAKER_DATO($BX$60,$BK28,"marco"))</f>
        <v/>
      </c>
      <c r="BQ28" s="11" t="str">
        <f t="shared" si="48"/>
        <v/>
      </c>
      <c r="BR28" s="11" t="str">
        <f t="shared" si="49"/>
        <v/>
      </c>
      <c r="BS28" s="11" t="str">
        <f t="shared" si="50"/>
        <v/>
      </c>
      <c r="BT28" s="11" t="str">
        <f t="shared" si="51"/>
        <v/>
      </c>
      <c r="BU28" s="11" t="str">
        <f t="shared" si="52"/>
        <v/>
      </c>
      <c r="BW28" t="s">
        <v>750</v>
      </c>
      <c r="BX28" t="str">
        <f>IF($F$13&lt;&gt;"",$F$13,IF(AND($C$8=3,$C$9=4),"4-6","1-3"))</f>
        <v>4-6</v>
      </c>
      <c r="CA28" s="11" t="str">
        <f t="shared" si="53"/>
        <v/>
      </c>
      <c r="CB28" s="11" t="str">
        <f t="shared" si="54"/>
        <v/>
      </c>
    </row>
    <row r="29" spans="1:80" ht="14.65" x14ac:dyDescent="0.45">
      <c r="A29" s="37"/>
      <c r="B29" s="14">
        <v>9</v>
      </c>
      <c r="C29" s="37"/>
      <c r="D29" s="37"/>
      <c r="E29" s="37"/>
      <c r="F29" s="37" t="str">
        <f t="shared" si="0"/>
        <v/>
      </c>
      <c r="G29" s="38"/>
      <c r="H29" s="37"/>
      <c r="I29" s="37" t="str">
        <f t="shared" si="1"/>
        <v/>
      </c>
      <c r="J29" s="37" t="str">
        <f t="shared" si="2"/>
        <v/>
      </c>
      <c r="K29" s="37" t="str">
        <f t="shared" si="3"/>
        <v/>
      </c>
      <c r="L29" s="37" t="str">
        <f t="shared" si="4"/>
        <v/>
      </c>
      <c r="M29" s="37" t="str">
        <f t="shared" si="5"/>
        <v/>
      </c>
      <c r="N29" s="37" t="str">
        <f t="shared" si="6"/>
        <v/>
      </c>
      <c r="O29" s="37" t="str">
        <f t="shared" si="7"/>
        <v/>
      </c>
      <c r="P29" s="37" t="str">
        <f t="shared" si="8"/>
        <v/>
      </c>
      <c r="Q29" s="37" t="str">
        <f>IF($X29=0,"",NEC_UNIDAD($W29,$E29,$Y29,$Z29,N($AT29),$C$7,OCUPACION))</f>
        <v/>
      </c>
      <c r="R29" s="37" t="str">
        <f>IF($X29=0,"",BREAKER_SEL($BX$60,$BI29,$AT29,$C$7,$BX$58,$BX$69,$BJ29))</f>
        <v/>
      </c>
      <c r="S29" s="37"/>
      <c r="T29" s="37"/>
      <c r="U29" s="37"/>
      <c r="V29" s="37"/>
      <c r="W29" s="11" t="str">
        <f t="shared" si="9"/>
        <v/>
      </c>
      <c r="X29" s="39">
        <f t="shared" si="10"/>
        <v>0</v>
      </c>
      <c r="Y29" s="11">
        <f t="shared" si="11"/>
        <v>0</v>
      </c>
      <c r="Z29" s="11">
        <f t="shared" si="12"/>
        <v>0</v>
      </c>
      <c r="AA29" s="11">
        <f t="shared" si="13"/>
        <v>0</v>
      </c>
      <c r="AB29" s="11">
        <f t="shared" si="14"/>
        <v>1</v>
      </c>
      <c r="AC29" s="11">
        <f t="shared" si="15"/>
        <v>1</v>
      </c>
      <c r="AD29" s="11">
        <f t="shared" si="16"/>
        <v>1</v>
      </c>
      <c r="AE29" s="11" t="str">
        <f t="shared" si="17"/>
        <v/>
      </c>
      <c r="AF29" s="11">
        <f t="shared" si="18"/>
        <v>1.25</v>
      </c>
      <c r="AG29" s="11">
        <f t="shared" si="19"/>
        <v>1</v>
      </c>
      <c r="AH29" s="11">
        <f t="shared" si="20"/>
        <v>-1</v>
      </c>
      <c r="AI29" s="11">
        <f t="shared" si="21"/>
        <v>-1</v>
      </c>
      <c r="AJ29" s="39">
        <f t="shared" si="22"/>
        <v>0</v>
      </c>
      <c r="AK29" s="39">
        <f t="shared" si="23"/>
        <v>0</v>
      </c>
      <c r="AL29" s="39">
        <f t="shared" si="24"/>
        <v>0</v>
      </c>
      <c r="AM29" s="11">
        <f t="shared" si="25"/>
        <v>0</v>
      </c>
      <c r="AN29" s="11">
        <f t="shared" si="26"/>
        <v>0</v>
      </c>
      <c r="AO29" s="11">
        <f t="shared" si="27"/>
        <v>0</v>
      </c>
      <c r="AP29" s="40">
        <f t="shared" si="28"/>
        <v>0</v>
      </c>
      <c r="AQ29" s="40">
        <f t="shared" si="29"/>
        <v>0</v>
      </c>
      <c r="AR29" s="40">
        <f t="shared" si="30"/>
        <v>0</v>
      </c>
      <c r="AS29" s="40" t="str">
        <f t="shared" si="31"/>
        <v/>
      </c>
      <c r="AT29" s="11" t="str">
        <f t="shared" si="32"/>
        <v/>
      </c>
      <c r="AU29" s="11">
        <f t="shared" si="33"/>
        <v>1</v>
      </c>
      <c r="AV29" s="11">
        <f t="shared" si="34"/>
        <v>1</v>
      </c>
      <c r="AW29" s="11" t="str">
        <f t="shared" si="35"/>
        <v/>
      </c>
      <c r="AX29" s="11" t="str">
        <f t="shared" si="36"/>
        <v/>
      </c>
      <c r="AY29" s="11" t="str">
        <f t="shared" si="37"/>
        <v/>
      </c>
      <c r="AZ29" s="11" t="str">
        <f t="shared" si="38"/>
        <v/>
      </c>
      <c r="BA29" s="11" t="str">
        <f t="shared" si="39"/>
        <v/>
      </c>
      <c r="BB29" s="11" t="str">
        <f t="shared" si="40"/>
        <v/>
      </c>
      <c r="BC29" s="11" t="str">
        <f t="shared" si="41"/>
        <v/>
      </c>
      <c r="BD29" s="11" t="str">
        <f t="shared" si="42"/>
        <v/>
      </c>
      <c r="BE29" s="39" t="str">
        <f t="shared" si="43"/>
        <v/>
      </c>
      <c r="BF29" s="11" t="str">
        <f t="shared" si="44"/>
        <v/>
      </c>
      <c r="BG29" s="11" t="str">
        <f t="shared" si="45"/>
        <v/>
      </c>
      <c r="BH29" s="39" t="str">
        <f t="shared" si="46"/>
        <v/>
      </c>
      <c r="BI29" s="11" t="str">
        <f t="shared" si="47"/>
        <v/>
      </c>
      <c r="BJ29" s="11" t="str">
        <f>IF($X29=0,"",IF($Q29&lt;&gt;"",$Q29,NEC_UNIDAD($W29,$E29,$Y29,$Z29,N($AT29),$C$7,OCUPACION)))</f>
        <v/>
      </c>
      <c r="BK29" s="11" t="str">
        <f>IF($X29=0,"",IF(N($R29)&gt;0,$R29,BREAKER_SEL($BX$60,$BI29,$AT29,$C$7,$BX$58,$BX$69,$BJ29)))</f>
        <v/>
      </c>
      <c r="BL29" s="11" t="str">
        <f>IF($BK29="","",BREAKER_REF($BX$60,$BK29,$BI29,$AT29,FALSE))</f>
        <v/>
      </c>
      <c r="BM29" s="11" t="str">
        <f>IF($BK29="","",BREAKER_DATO($BX$60,$BK29,"sccr"))</f>
        <v/>
      </c>
      <c r="BN29" s="11" t="str">
        <f>IF(OR($BK29="",N($BM29)&gt;=$BX$58,$BX$71="",N($BX$74)&lt;$BX$58),"",SERIE_KA($BX$60,BREAKER_DATO($BX$60,$BK29,"modelo"),$BX$72,N($BX$24),$C$7,$BX$58))</f>
        <v/>
      </c>
      <c r="BO29" s="11" t="str">
        <f>IF($BK29="","",BREAKER_DATO($BX$60,$BK29,"unidad"))</f>
        <v/>
      </c>
      <c r="BP29" s="11" t="str">
        <f>IF($BK29="","",BREAKER_DATO($BX$60,$BK29,"marco"))</f>
        <v/>
      </c>
      <c r="BQ29" s="11" t="str">
        <f t="shared" si="48"/>
        <v/>
      </c>
      <c r="BR29" s="11" t="str">
        <f t="shared" si="49"/>
        <v/>
      </c>
      <c r="BS29" s="11" t="str">
        <f t="shared" si="50"/>
        <v/>
      </c>
      <c r="BT29" s="11" t="str">
        <f t="shared" si="51"/>
        <v/>
      </c>
      <c r="BU29" s="11" t="str">
        <f t="shared" si="52"/>
        <v/>
      </c>
      <c r="BW29" t="s">
        <v>751</v>
      </c>
      <c r="BX29" t="str">
        <f>IF(BX27="","",CAL_AJUSTE(BX27,IF($F$3="","CU",$F$3),BX25,IF($F$4="","XHHW-2",$F$4),IF($F$11="","26-30",$F$11),IF(N($F$12)&gt;0,$F$12,75),BX28,BX23,BX24,AND(AUTO_AMP="SI",$F$19&lt;&gt;"SI"),BX26))</f>
        <v/>
      </c>
      <c r="CA29" s="11" t="str">
        <f t="shared" si="53"/>
        <v/>
      </c>
      <c r="CB29" s="11" t="str">
        <f t="shared" si="54"/>
        <v/>
      </c>
    </row>
    <row r="30" spans="1:80" ht="14.65" x14ac:dyDescent="0.45">
      <c r="A30" s="37"/>
      <c r="B30" s="14">
        <v>11</v>
      </c>
      <c r="C30" s="37"/>
      <c r="D30" s="37"/>
      <c r="E30" s="37"/>
      <c r="F30" s="37" t="str">
        <f t="shared" si="0"/>
        <v/>
      </c>
      <c r="G30" s="38"/>
      <c r="H30" s="37"/>
      <c r="I30" s="37" t="str">
        <f t="shared" si="1"/>
        <v/>
      </c>
      <c r="J30" s="37" t="str">
        <f t="shared" si="2"/>
        <v/>
      </c>
      <c r="K30" s="37" t="str">
        <f t="shared" si="3"/>
        <v/>
      </c>
      <c r="L30" s="37" t="str">
        <f t="shared" si="4"/>
        <v/>
      </c>
      <c r="M30" s="37" t="str">
        <f t="shared" si="5"/>
        <v/>
      </c>
      <c r="N30" s="37" t="str">
        <f t="shared" si="6"/>
        <v/>
      </c>
      <c r="O30" s="37" t="str">
        <f t="shared" si="7"/>
        <v/>
      </c>
      <c r="P30" s="37" t="str">
        <f t="shared" si="8"/>
        <v/>
      </c>
      <c r="Q30" s="37" t="str">
        <f>IF($X30=0,"",NEC_UNIDAD($W30,$E30,$Y30,$Z30,N($AT30),$C$7,OCUPACION))</f>
        <v/>
      </c>
      <c r="R30" s="37" t="str">
        <f>IF($X30=0,"",BREAKER_SEL($BX$60,$BI30,$AT30,$C$7,$BX$58,$BX$69,$BJ30))</f>
        <v/>
      </c>
      <c r="S30" s="37"/>
      <c r="T30" s="37"/>
      <c r="U30" s="37"/>
      <c r="V30" s="37"/>
      <c r="W30" s="11" t="str">
        <f t="shared" si="9"/>
        <v/>
      </c>
      <c r="X30" s="39">
        <f t="shared" si="10"/>
        <v>0</v>
      </c>
      <c r="Y30" s="11">
        <f t="shared" si="11"/>
        <v>0</v>
      </c>
      <c r="Z30" s="11">
        <f t="shared" si="12"/>
        <v>0</v>
      </c>
      <c r="AA30" s="11">
        <f t="shared" si="13"/>
        <v>0</v>
      </c>
      <c r="AB30" s="11">
        <f t="shared" si="14"/>
        <v>1</v>
      </c>
      <c r="AC30" s="11">
        <f t="shared" si="15"/>
        <v>1</v>
      </c>
      <c r="AD30" s="11">
        <f t="shared" si="16"/>
        <v>1</v>
      </c>
      <c r="AE30" s="11" t="str">
        <f t="shared" si="17"/>
        <v/>
      </c>
      <c r="AF30" s="11">
        <f t="shared" si="18"/>
        <v>1.25</v>
      </c>
      <c r="AG30" s="11">
        <f t="shared" si="19"/>
        <v>2</v>
      </c>
      <c r="AH30" s="11">
        <f t="shared" si="20"/>
        <v>-1</v>
      </c>
      <c r="AI30" s="11">
        <f t="shared" si="21"/>
        <v>-1</v>
      </c>
      <c r="AJ30" s="39">
        <f t="shared" si="22"/>
        <v>0</v>
      </c>
      <c r="AK30" s="39">
        <f t="shared" si="23"/>
        <v>0</v>
      </c>
      <c r="AL30" s="39">
        <f t="shared" si="24"/>
        <v>0</v>
      </c>
      <c r="AM30" s="11">
        <f t="shared" si="25"/>
        <v>0</v>
      </c>
      <c r="AN30" s="11">
        <f t="shared" si="26"/>
        <v>0</v>
      </c>
      <c r="AO30" s="11">
        <f t="shared" si="27"/>
        <v>0</v>
      </c>
      <c r="AP30" s="40">
        <f t="shared" si="28"/>
        <v>0</v>
      </c>
      <c r="AQ30" s="40">
        <f t="shared" si="29"/>
        <v>0</v>
      </c>
      <c r="AR30" s="40">
        <f t="shared" si="30"/>
        <v>0</v>
      </c>
      <c r="AS30" s="40" t="str">
        <f t="shared" si="31"/>
        <v/>
      </c>
      <c r="AT30" s="11" t="str">
        <f t="shared" si="32"/>
        <v/>
      </c>
      <c r="AU30" s="11">
        <f t="shared" si="33"/>
        <v>1</v>
      </c>
      <c r="AV30" s="11">
        <f t="shared" si="34"/>
        <v>1</v>
      </c>
      <c r="AW30" s="11" t="str">
        <f t="shared" si="35"/>
        <v/>
      </c>
      <c r="AX30" s="11" t="str">
        <f t="shared" si="36"/>
        <v/>
      </c>
      <c r="AY30" s="11" t="str">
        <f t="shared" si="37"/>
        <v/>
      </c>
      <c r="AZ30" s="11" t="str">
        <f t="shared" si="38"/>
        <v/>
      </c>
      <c r="BA30" s="11" t="str">
        <f t="shared" si="39"/>
        <v/>
      </c>
      <c r="BB30" s="11" t="str">
        <f t="shared" si="40"/>
        <v/>
      </c>
      <c r="BC30" s="11" t="str">
        <f t="shared" si="41"/>
        <v/>
      </c>
      <c r="BD30" s="11" t="str">
        <f t="shared" si="42"/>
        <v/>
      </c>
      <c r="BE30" s="39" t="str">
        <f t="shared" si="43"/>
        <v/>
      </c>
      <c r="BF30" s="11" t="str">
        <f t="shared" si="44"/>
        <v/>
      </c>
      <c r="BG30" s="11" t="str">
        <f t="shared" si="45"/>
        <v/>
      </c>
      <c r="BH30" s="39" t="str">
        <f t="shared" si="46"/>
        <v/>
      </c>
      <c r="BI30" s="11" t="str">
        <f t="shared" si="47"/>
        <v/>
      </c>
      <c r="BJ30" s="11" t="str">
        <f>IF($X30=0,"",IF($Q30&lt;&gt;"",$Q30,NEC_UNIDAD($W30,$E30,$Y30,$Z30,N($AT30),$C$7,OCUPACION)))</f>
        <v/>
      </c>
      <c r="BK30" s="11" t="str">
        <f>IF($X30=0,"",IF(N($R30)&gt;0,$R30,BREAKER_SEL($BX$60,$BI30,$AT30,$C$7,$BX$58,$BX$69,$BJ30)))</f>
        <v/>
      </c>
      <c r="BL30" s="11" t="str">
        <f>IF($BK30="","",BREAKER_REF($BX$60,$BK30,$BI30,$AT30,FALSE))</f>
        <v/>
      </c>
      <c r="BM30" s="11" t="str">
        <f>IF($BK30="","",BREAKER_DATO($BX$60,$BK30,"sccr"))</f>
        <v/>
      </c>
      <c r="BN30" s="11" t="str">
        <f>IF(OR($BK30="",N($BM30)&gt;=$BX$58,$BX$71="",N($BX$74)&lt;$BX$58),"",SERIE_KA($BX$60,BREAKER_DATO($BX$60,$BK30,"modelo"),$BX$72,N($BX$24),$C$7,$BX$58))</f>
        <v/>
      </c>
      <c r="BO30" s="11" t="str">
        <f>IF($BK30="","",BREAKER_DATO($BX$60,$BK30,"unidad"))</f>
        <v/>
      </c>
      <c r="BP30" s="11" t="str">
        <f>IF($BK30="","",BREAKER_DATO($BX$60,$BK30,"marco"))</f>
        <v/>
      </c>
      <c r="BQ30" s="11" t="str">
        <f t="shared" si="48"/>
        <v/>
      </c>
      <c r="BR30" s="11" t="str">
        <f t="shared" si="49"/>
        <v/>
      </c>
      <c r="BS30" s="11" t="str">
        <f t="shared" si="50"/>
        <v/>
      </c>
      <c r="BT30" s="11" t="str">
        <f t="shared" si="51"/>
        <v/>
      </c>
      <c r="BU30" s="11" t="str">
        <f t="shared" si="52"/>
        <v/>
      </c>
      <c r="BW30" t="s">
        <v>752</v>
      </c>
      <c r="BX30">
        <f>IF(BX29="",BX25,PARTEN(BX29,1))</f>
        <v>1</v>
      </c>
      <c r="CA30" s="11" t="str">
        <f t="shared" si="53"/>
        <v/>
      </c>
      <c r="CB30" s="11" t="str">
        <f t="shared" si="54"/>
        <v/>
      </c>
    </row>
    <row r="31" spans="1:80" ht="14.65" x14ac:dyDescent="0.45">
      <c r="A31" s="37"/>
      <c r="B31" s="14">
        <v>13</v>
      </c>
      <c r="C31" s="37"/>
      <c r="D31" s="37"/>
      <c r="E31" s="37"/>
      <c r="F31" s="37" t="str">
        <f t="shared" si="0"/>
        <v/>
      </c>
      <c r="G31" s="38"/>
      <c r="H31" s="37"/>
      <c r="I31" s="37" t="str">
        <f t="shared" si="1"/>
        <v/>
      </c>
      <c r="J31" s="37" t="str">
        <f t="shared" si="2"/>
        <v/>
      </c>
      <c r="K31" s="37" t="str">
        <f t="shared" si="3"/>
        <v/>
      </c>
      <c r="L31" s="37" t="str">
        <f t="shared" si="4"/>
        <v/>
      </c>
      <c r="M31" s="37" t="str">
        <f t="shared" si="5"/>
        <v/>
      </c>
      <c r="N31" s="37" t="str">
        <f t="shared" si="6"/>
        <v/>
      </c>
      <c r="O31" s="37" t="str">
        <f t="shared" si="7"/>
        <v/>
      </c>
      <c r="P31" s="37" t="str">
        <f t="shared" si="8"/>
        <v/>
      </c>
      <c r="Q31" s="37" t="str">
        <f>IF($X31=0,"",NEC_UNIDAD($W31,$E31,$Y31,$Z31,N($AT31),$C$7,OCUPACION))</f>
        <v/>
      </c>
      <c r="R31" s="37" t="str">
        <f>IF($X31=0,"",BREAKER_SEL($BX$60,$BI31,$AT31,$C$7,$BX$58,$BX$69,$BJ31))</f>
        <v/>
      </c>
      <c r="S31" s="37"/>
      <c r="T31" s="37"/>
      <c r="U31" s="37"/>
      <c r="V31" s="37"/>
      <c r="W31" s="11" t="str">
        <f t="shared" si="9"/>
        <v/>
      </c>
      <c r="X31" s="39">
        <f t="shared" si="10"/>
        <v>0</v>
      </c>
      <c r="Y31" s="11">
        <f t="shared" si="11"/>
        <v>0</v>
      </c>
      <c r="Z31" s="11">
        <f t="shared" si="12"/>
        <v>0</v>
      </c>
      <c r="AA31" s="11">
        <f t="shared" si="13"/>
        <v>0</v>
      </c>
      <c r="AB31" s="11">
        <f t="shared" si="14"/>
        <v>1</v>
      </c>
      <c r="AC31" s="11">
        <f t="shared" si="15"/>
        <v>1</v>
      </c>
      <c r="AD31" s="11">
        <f t="shared" si="16"/>
        <v>1</v>
      </c>
      <c r="AE31" s="11" t="str">
        <f t="shared" si="17"/>
        <v/>
      </c>
      <c r="AF31" s="11">
        <f t="shared" si="18"/>
        <v>1.25</v>
      </c>
      <c r="AG31" s="11">
        <f t="shared" si="19"/>
        <v>0</v>
      </c>
      <c r="AH31" s="11">
        <f t="shared" si="20"/>
        <v>-1</v>
      </c>
      <c r="AI31" s="11">
        <f t="shared" si="21"/>
        <v>-1</v>
      </c>
      <c r="AJ31" s="39">
        <f t="shared" si="22"/>
        <v>0</v>
      </c>
      <c r="AK31" s="39">
        <f t="shared" si="23"/>
        <v>0</v>
      </c>
      <c r="AL31" s="39">
        <f t="shared" si="24"/>
        <v>0</v>
      </c>
      <c r="AM31" s="11">
        <f t="shared" si="25"/>
        <v>0</v>
      </c>
      <c r="AN31" s="11">
        <f t="shared" si="26"/>
        <v>0</v>
      </c>
      <c r="AO31" s="11">
        <f t="shared" si="27"/>
        <v>0</v>
      </c>
      <c r="AP31" s="40">
        <f t="shared" si="28"/>
        <v>0</v>
      </c>
      <c r="AQ31" s="40">
        <f t="shared" si="29"/>
        <v>0</v>
      </c>
      <c r="AR31" s="40">
        <f t="shared" si="30"/>
        <v>0</v>
      </c>
      <c r="AS31" s="40" t="str">
        <f t="shared" si="31"/>
        <v/>
      </c>
      <c r="AT31" s="11" t="str">
        <f t="shared" si="32"/>
        <v/>
      </c>
      <c r="AU31" s="11">
        <f t="shared" si="33"/>
        <v>1</v>
      </c>
      <c r="AV31" s="11">
        <f t="shared" si="34"/>
        <v>1</v>
      </c>
      <c r="AW31" s="11" t="str">
        <f t="shared" si="35"/>
        <v/>
      </c>
      <c r="AX31" s="11" t="str">
        <f t="shared" si="36"/>
        <v/>
      </c>
      <c r="AY31" s="11" t="str">
        <f t="shared" si="37"/>
        <v/>
      </c>
      <c r="AZ31" s="11" t="str">
        <f t="shared" si="38"/>
        <v/>
      </c>
      <c r="BA31" s="11" t="str">
        <f t="shared" si="39"/>
        <v/>
      </c>
      <c r="BB31" s="11" t="str">
        <f t="shared" si="40"/>
        <v/>
      </c>
      <c r="BC31" s="11" t="str">
        <f t="shared" si="41"/>
        <v/>
      </c>
      <c r="BD31" s="11" t="str">
        <f t="shared" si="42"/>
        <v/>
      </c>
      <c r="BE31" s="39" t="str">
        <f t="shared" si="43"/>
        <v/>
      </c>
      <c r="BF31" s="11" t="str">
        <f t="shared" si="44"/>
        <v/>
      </c>
      <c r="BG31" s="11" t="str">
        <f t="shared" si="45"/>
        <v/>
      </c>
      <c r="BH31" s="39" t="str">
        <f t="shared" si="46"/>
        <v/>
      </c>
      <c r="BI31" s="11" t="str">
        <f t="shared" si="47"/>
        <v/>
      </c>
      <c r="BJ31" s="11" t="str">
        <f>IF($X31=0,"",IF($Q31&lt;&gt;"",$Q31,NEC_UNIDAD($W31,$E31,$Y31,$Z31,N($AT31),$C$7,OCUPACION)))</f>
        <v/>
      </c>
      <c r="BK31" s="11" t="str">
        <f>IF($X31=0,"",IF(N($R31)&gt;0,$R31,BREAKER_SEL($BX$60,$BI31,$AT31,$C$7,$BX$58,$BX$69,$BJ31)))</f>
        <v/>
      </c>
      <c r="BL31" s="11" t="str">
        <f>IF($BK31="","",BREAKER_REF($BX$60,$BK31,$BI31,$AT31,FALSE))</f>
        <v/>
      </c>
      <c r="BM31" s="11" t="str">
        <f>IF($BK31="","",BREAKER_DATO($BX$60,$BK31,"sccr"))</f>
        <v/>
      </c>
      <c r="BN31" s="11" t="str">
        <f>IF(OR($BK31="",N($BM31)&gt;=$BX$58,$BX$71="",N($BX$74)&lt;$BX$58),"",SERIE_KA($BX$60,BREAKER_DATO($BX$60,$BK31,"modelo"),$BX$72,N($BX$24),$C$7,$BX$58))</f>
        <v/>
      </c>
      <c r="BO31" s="11" t="str">
        <f>IF($BK31="","",BREAKER_DATO($BX$60,$BK31,"unidad"))</f>
        <v/>
      </c>
      <c r="BP31" s="11" t="str">
        <f>IF($BK31="","",BREAKER_DATO($BX$60,$BK31,"marco"))</f>
        <v/>
      </c>
      <c r="BQ31" s="11" t="str">
        <f t="shared" si="48"/>
        <v/>
      </c>
      <c r="BR31" s="11" t="str">
        <f t="shared" si="49"/>
        <v/>
      </c>
      <c r="BS31" s="11" t="str">
        <f t="shared" si="50"/>
        <v/>
      </c>
      <c r="BT31" s="11" t="str">
        <f t="shared" si="51"/>
        <v/>
      </c>
      <c r="BU31" s="11" t="str">
        <f t="shared" si="52"/>
        <v/>
      </c>
      <c r="BW31" t="s">
        <v>732</v>
      </c>
      <c r="BX31" t="str">
        <f>IF(BX29="",BX27,PARTE(BX29,2))</f>
        <v/>
      </c>
      <c r="CA31" s="11" t="str">
        <f t="shared" si="53"/>
        <v/>
      </c>
      <c r="CB31" s="11" t="str">
        <f t="shared" si="54"/>
        <v/>
      </c>
    </row>
    <row r="32" spans="1:80" ht="14.65" x14ac:dyDescent="0.45">
      <c r="A32" s="37"/>
      <c r="B32" s="14">
        <v>15</v>
      </c>
      <c r="C32" s="37"/>
      <c r="D32" s="37"/>
      <c r="E32" s="37"/>
      <c r="F32" s="37" t="str">
        <f t="shared" si="0"/>
        <v/>
      </c>
      <c r="G32" s="38"/>
      <c r="H32" s="37"/>
      <c r="I32" s="37" t="str">
        <f t="shared" si="1"/>
        <v/>
      </c>
      <c r="J32" s="37" t="str">
        <f t="shared" si="2"/>
        <v/>
      </c>
      <c r="K32" s="37" t="str">
        <f t="shared" si="3"/>
        <v/>
      </c>
      <c r="L32" s="37" t="str">
        <f t="shared" si="4"/>
        <v/>
      </c>
      <c r="M32" s="37" t="str">
        <f t="shared" si="5"/>
        <v/>
      </c>
      <c r="N32" s="37" t="str">
        <f t="shared" si="6"/>
        <v/>
      </c>
      <c r="O32" s="37" t="str">
        <f t="shared" si="7"/>
        <v/>
      </c>
      <c r="P32" s="37" t="str">
        <f t="shared" si="8"/>
        <v/>
      </c>
      <c r="Q32" s="37" t="str">
        <f>IF($X32=0,"",NEC_UNIDAD($W32,$E32,$Y32,$Z32,N($AT32),$C$7,OCUPACION))</f>
        <v/>
      </c>
      <c r="R32" s="37" t="str">
        <f>IF($X32=0,"",BREAKER_SEL($BX$60,$BI32,$AT32,$C$7,$BX$58,$BX$69,$BJ32))</f>
        <v/>
      </c>
      <c r="S32" s="37"/>
      <c r="T32" s="37"/>
      <c r="U32" s="37"/>
      <c r="V32" s="37"/>
      <c r="W32" s="11" t="str">
        <f t="shared" si="9"/>
        <v/>
      </c>
      <c r="X32" s="39">
        <f t="shared" si="10"/>
        <v>0</v>
      </c>
      <c r="Y32" s="11">
        <f t="shared" si="11"/>
        <v>0</v>
      </c>
      <c r="Z32" s="11">
        <f t="shared" si="12"/>
        <v>0</v>
      </c>
      <c r="AA32" s="11">
        <f t="shared" si="13"/>
        <v>0</v>
      </c>
      <c r="AB32" s="11">
        <f t="shared" si="14"/>
        <v>1</v>
      </c>
      <c r="AC32" s="11">
        <f t="shared" si="15"/>
        <v>1</v>
      </c>
      <c r="AD32" s="11">
        <f t="shared" si="16"/>
        <v>1</v>
      </c>
      <c r="AE32" s="11" t="str">
        <f t="shared" si="17"/>
        <v/>
      </c>
      <c r="AF32" s="11">
        <f t="shared" si="18"/>
        <v>1.25</v>
      </c>
      <c r="AG32" s="11">
        <f t="shared" si="19"/>
        <v>1</v>
      </c>
      <c r="AH32" s="11">
        <f t="shared" si="20"/>
        <v>-1</v>
      </c>
      <c r="AI32" s="11">
        <f t="shared" si="21"/>
        <v>-1</v>
      </c>
      <c r="AJ32" s="39">
        <f t="shared" si="22"/>
        <v>0</v>
      </c>
      <c r="AK32" s="39">
        <f t="shared" si="23"/>
        <v>0</v>
      </c>
      <c r="AL32" s="39">
        <f t="shared" si="24"/>
        <v>0</v>
      </c>
      <c r="AM32" s="11">
        <f t="shared" si="25"/>
        <v>0</v>
      </c>
      <c r="AN32" s="11">
        <f t="shared" si="26"/>
        <v>0</v>
      </c>
      <c r="AO32" s="11">
        <f t="shared" si="27"/>
        <v>0</v>
      </c>
      <c r="AP32" s="40">
        <f t="shared" si="28"/>
        <v>0</v>
      </c>
      <c r="AQ32" s="40">
        <f t="shared" si="29"/>
        <v>0</v>
      </c>
      <c r="AR32" s="40">
        <f t="shared" si="30"/>
        <v>0</v>
      </c>
      <c r="AS32" s="40" t="str">
        <f t="shared" si="31"/>
        <v/>
      </c>
      <c r="AT32" s="11" t="str">
        <f t="shared" si="32"/>
        <v/>
      </c>
      <c r="AU32" s="11">
        <f t="shared" si="33"/>
        <v>1</v>
      </c>
      <c r="AV32" s="11">
        <f t="shared" si="34"/>
        <v>1</v>
      </c>
      <c r="AW32" s="11" t="str">
        <f t="shared" si="35"/>
        <v/>
      </c>
      <c r="AX32" s="11" t="str">
        <f t="shared" si="36"/>
        <v/>
      </c>
      <c r="AY32" s="11" t="str">
        <f t="shared" si="37"/>
        <v/>
      </c>
      <c r="AZ32" s="11" t="str">
        <f t="shared" si="38"/>
        <v/>
      </c>
      <c r="BA32" s="11" t="str">
        <f t="shared" si="39"/>
        <v/>
      </c>
      <c r="BB32" s="11" t="str">
        <f t="shared" si="40"/>
        <v/>
      </c>
      <c r="BC32" s="11" t="str">
        <f t="shared" si="41"/>
        <v/>
      </c>
      <c r="BD32" s="11" t="str">
        <f t="shared" si="42"/>
        <v/>
      </c>
      <c r="BE32" s="39" t="str">
        <f t="shared" si="43"/>
        <v/>
      </c>
      <c r="BF32" s="11" t="str">
        <f t="shared" si="44"/>
        <v/>
      </c>
      <c r="BG32" s="11" t="str">
        <f t="shared" si="45"/>
        <v/>
      </c>
      <c r="BH32" s="39" t="str">
        <f t="shared" si="46"/>
        <v/>
      </c>
      <c r="BI32" s="11" t="str">
        <f t="shared" si="47"/>
        <v/>
      </c>
      <c r="BJ32" s="11" t="str">
        <f>IF($X32=0,"",IF($Q32&lt;&gt;"",$Q32,NEC_UNIDAD($W32,$E32,$Y32,$Z32,N($AT32),$C$7,OCUPACION)))</f>
        <v/>
      </c>
      <c r="BK32" s="11" t="str">
        <f>IF($X32=0,"",IF(N($R32)&gt;0,$R32,BREAKER_SEL($BX$60,$BI32,$AT32,$C$7,$BX$58,$BX$69,$BJ32)))</f>
        <v/>
      </c>
      <c r="BL32" s="11" t="str">
        <f>IF($BK32="","",BREAKER_REF($BX$60,$BK32,$BI32,$AT32,FALSE))</f>
        <v/>
      </c>
      <c r="BM32" s="11" t="str">
        <f>IF($BK32="","",BREAKER_DATO($BX$60,$BK32,"sccr"))</f>
        <v/>
      </c>
      <c r="BN32" s="11" t="str">
        <f>IF(OR($BK32="",N($BM32)&gt;=$BX$58,$BX$71="",N($BX$74)&lt;$BX$58),"",SERIE_KA($BX$60,BREAKER_DATO($BX$60,$BK32,"modelo"),$BX$72,N($BX$24),$C$7,$BX$58))</f>
        <v/>
      </c>
      <c r="BO32" s="11" t="str">
        <f>IF($BK32="","",BREAKER_DATO($BX$60,$BK32,"unidad"))</f>
        <v/>
      </c>
      <c r="BP32" s="11" t="str">
        <f>IF($BK32="","",BREAKER_DATO($BX$60,$BK32,"marco"))</f>
        <v/>
      </c>
      <c r="BQ32" s="11" t="str">
        <f t="shared" si="48"/>
        <v/>
      </c>
      <c r="BR32" s="11" t="str">
        <f t="shared" si="49"/>
        <v/>
      </c>
      <c r="BS32" s="11" t="str">
        <f t="shared" si="50"/>
        <v/>
      </c>
      <c r="BT32" s="11" t="str">
        <f t="shared" si="51"/>
        <v/>
      </c>
      <c r="BU32" s="11" t="str">
        <f t="shared" si="52"/>
        <v/>
      </c>
      <c r="BW32" t="s">
        <v>753</v>
      </c>
      <c r="BX32" t="str">
        <f>IF(BX30=1,"",BX30&amp;"x")&amp;IF($C$8=3,"3#",IF(AND($C$7&gt;=208,$C$7&lt;=240),"2#",""))</f>
        <v>3#</v>
      </c>
      <c r="CA32" s="11" t="str">
        <f t="shared" si="53"/>
        <v/>
      </c>
      <c r="CB32" s="11" t="str">
        <f t="shared" si="54"/>
        <v/>
      </c>
    </row>
    <row r="33" spans="1:80" ht="14.65" x14ac:dyDescent="0.45">
      <c r="A33" s="37"/>
      <c r="B33" s="14">
        <v>17</v>
      </c>
      <c r="C33" s="37"/>
      <c r="D33" s="37"/>
      <c r="E33" s="37"/>
      <c r="F33" s="37" t="str">
        <f t="shared" si="0"/>
        <v/>
      </c>
      <c r="G33" s="38"/>
      <c r="H33" s="37"/>
      <c r="I33" s="37" t="str">
        <f t="shared" si="1"/>
        <v/>
      </c>
      <c r="J33" s="37" t="str">
        <f t="shared" si="2"/>
        <v/>
      </c>
      <c r="K33" s="37" t="str">
        <f t="shared" si="3"/>
        <v/>
      </c>
      <c r="L33" s="37" t="str">
        <f t="shared" si="4"/>
        <v/>
      </c>
      <c r="M33" s="37" t="str">
        <f t="shared" si="5"/>
        <v/>
      </c>
      <c r="N33" s="37" t="str">
        <f t="shared" si="6"/>
        <v/>
      </c>
      <c r="O33" s="37" t="str">
        <f t="shared" si="7"/>
        <v/>
      </c>
      <c r="P33" s="37" t="str">
        <f t="shared" si="8"/>
        <v/>
      </c>
      <c r="Q33" s="37" t="str">
        <f>IF($X33=0,"",NEC_UNIDAD($W33,$E33,$Y33,$Z33,N($AT33),$C$7,OCUPACION))</f>
        <v/>
      </c>
      <c r="R33" s="37" t="str">
        <f>IF($X33=0,"",BREAKER_SEL($BX$60,$BI33,$AT33,$C$7,$BX$58,$BX$69,$BJ33))</f>
        <v/>
      </c>
      <c r="S33" s="37"/>
      <c r="T33" s="37"/>
      <c r="U33" s="37"/>
      <c r="V33" s="37"/>
      <c r="W33" s="11" t="str">
        <f t="shared" si="9"/>
        <v/>
      </c>
      <c r="X33" s="39">
        <f t="shared" si="10"/>
        <v>0</v>
      </c>
      <c r="Y33" s="11">
        <f t="shared" si="11"/>
        <v>0</v>
      </c>
      <c r="Z33" s="11">
        <f t="shared" si="12"/>
        <v>0</v>
      </c>
      <c r="AA33" s="11">
        <f t="shared" si="13"/>
        <v>0</v>
      </c>
      <c r="AB33" s="11">
        <f t="shared" si="14"/>
        <v>1</v>
      </c>
      <c r="AC33" s="11">
        <f t="shared" si="15"/>
        <v>1</v>
      </c>
      <c r="AD33" s="11">
        <f t="shared" si="16"/>
        <v>1</v>
      </c>
      <c r="AE33" s="11" t="str">
        <f t="shared" si="17"/>
        <v/>
      </c>
      <c r="AF33" s="11">
        <f t="shared" si="18"/>
        <v>1.25</v>
      </c>
      <c r="AG33" s="11">
        <f t="shared" si="19"/>
        <v>2</v>
      </c>
      <c r="AH33" s="11">
        <f t="shared" si="20"/>
        <v>-1</v>
      </c>
      <c r="AI33" s="11">
        <f t="shared" si="21"/>
        <v>-1</v>
      </c>
      <c r="AJ33" s="39">
        <f t="shared" si="22"/>
        <v>0</v>
      </c>
      <c r="AK33" s="39">
        <f t="shared" si="23"/>
        <v>0</v>
      </c>
      <c r="AL33" s="39">
        <f t="shared" si="24"/>
        <v>0</v>
      </c>
      <c r="AM33" s="11">
        <f t="shared" si="25"/>
        <v>0</v>
      </c>
      <c r="AN33" s="11">
        <f t="shared" si="26"/>
        <v>0</v>
      </c>
      <c r="AO33" s="11">
        <f t="shared" si="27"/>
        <v>0</v>
      </c>
      <c r="AP33" s="40">
        <f t="shared" si="28"/>
        <v>0</v>
      </c>
      <c r="AQ33" s="40">
        <f t="shared" si="29"/>
        <v>0</v>
      </c>
      <c r="AR33" s="40">
        <f t="shared" si="30"/>
        <v>0</v>
      </c>
      <c r="AS33" s="40" t="str">
        <f t="shared" si="31"/>
        <v/>
      </c>
      <c r="AT33" s="11" t="str">
        <f t="shared" si="32"/>
        <v/>
      </c>
      <c r="AU33" s="11">
        <f t="shared" si="33"/>
        <v>1</v>
      </c>
      <c r="AV33" s="11">
        <f t="shared" si="34"/>
        <v>1</v>
      </c>
      <c r="AW33" s="11" t="str">
        <f t="shared" si="35"/>
        <v/>
      </c>
      <c r="AX33" s="11" t="str">
        <f t="shared" si="36"/>
        <v/>
      </c>
      <c r="AY33" s="11" t="str">
        <f t="shared" si="37"/>
        <v/>
      </c>
      <c r="AZ33" s="11" t="str">
        <f t="shared" si="38"/>
        <v/>
      </c>
      <c r="BA33" s="11" t="str">
        <f t="shared" si="39"/>
        <v/>
      </c>
      <c r="BB33" s="11" t="str">
        <f t="shared" si="40"/>
        <v/>
      </c>
      <c r="BC33" s="11" t="str">
        <f t="shared" si="41"/>
        <v/>
      </c>
      <c r="BD33" s="11" t="str">
        <f t="shared" si="42"/>
        <v/>
      </c>
      <c r="BE33" s="39" t="str">
        <f t="shared" si="43"/>
        <v/>
      </c>
      <c r="BF33" s="11" t="str">
        <f t="shared" si="44"/>
        <v/>
      </c>
      <c r="BG33" s="11" t="str">
        <f t="shared" si="45"/>
        <v/>
      </c>
      <c r="BH33" s="39" t="str">
        <f t="shared" si="46"/>
        <v/>
      </c>
      <c r="BI33" s="11" t="str">
        <f t="shared" si="47"/>
        <v/>
      </c>
      <c r="BJ33" s="11" t="str">
        <f>IF($X33=0,"",IF($Q33&lt;&gt;"",$Q33,NEC_UNIDAD($W33,$E33,$Y33,$Z33,N($AT33),$C$7,OCUPACION)))</f>
        <v/>
      </c>
      <c r="BK33" s="11" t="str">
        <f>IF($X33=0,"",IF(N($R33)&gt;0,$R33,BREAKER_SEL($BX$60,$BI33,$AT33,$C$7,$BX$58,$BX$69,$BJ33)))</f>
        <v/>
      </c>
      <c r="BL33" s="11" t="str">
        <f>IF($BK33="","",BREAKER_REF($BX$60,$BK33,$BI33,$AT33,FALSE))</f>
        <v/>
      </c>
      <c r="BM33" s="11" t="str">
        <f>IF($BK33="","",BREAKER_DATO($BX$60,$BK33,"sccr"))</f>
        <v/>
      </c>
      <c r="BN33" s="11" t="str">
        <f>IF(OR($BK33="",N($BM33)&gt;=$BX$58,$BX$71="",N($BX$74)&lt;$BX$58),"",SERIE_KA($BX$60,BREAKER_DATO($BX$60,$BK33,"modelo"),$BX$72,N($BX$24),$C$7,$BX$58))</f>
        <v/>
      </c>
      <c r="BO33" s="11" t="str">
        <f>IF($BK33="","",BREAKER_DATO($BX$60,$BK33,"unidad"))</f>
        <v/>
      </c>
      <c r="BP33" s="11" t="str">
        <f>IF($BK33="","",BREAKER_DATO($BX$60,$BK33,"marco"))</f>
        <v/>
      </c>
      <c r="BQ33" s="11" t="str">
        <f t="shared" si="48"/>
        <v/>
      </c>
      <c r="BR33" s="11" t="str">
        <f t="shared" si="49"/>
        <v/>
      </c>
      <c r="BS33" s="11" t="str">
        <f t="shared" si="50"/>
        <v/>
      </c>
      <c r="BT33" s="11" t="str">
        <f t="shared" si="51"/>
        <v/>
      </c>
      <c r="BU33" s="11" t="str">
        <f t="shared" si="52"/>
        <v/>
      </c>
      <c r="BW33" t="s">
        <v>88</v>
      </c>
      <c r="BX33" t="str">
        <f>IF(BX31="","",IF($C$9=0,"",IF(AND($C$7&gt;=208,$C$8=3,$C$9=4),BX31,IF(AND($C$8=3,$C$9=3),"",IF(AND($C$7&gt;=208,$C$8=1,$C$9=3),"",BX31)))))</f>
        <v/>
      </c>
      <c r="CA33" s="11" t="str">
        <f t="shared" si="53"/>
        <v/>
      </c>
      <c r="CB33" s="11" t="str">
        <f t="shared" si="54"/>
        <v/>
      </c>
    </row>
    <row r="34" spans="1:80" ht="14.65" x14ac:dyDescent="0.45">
      <c r="A34" s="37"/>
      <c r="B34" s="14">
        <v>19</v>
      </c>
      <c r="C34" s="37"/>
      <c r="D34" s="37"/>
      <c r="E34" s="37"/>
      <c r="F34" s="37" t="str">
        <f t="shared" si="0"/>
        <v/>
      </c>
      <c r="G34" s="38"/>
      <c r="H34" s="37"/>
      <c r="I34" s="37" t="str">
        <f t="shared" si="1"/>
        <v/>
      </c>
      <c r="J34" s="37" t="str">
        <f t="shared" si="2"/>
        <v/>
      </c>
      <c r="K34" s="37" t="str">
        <f t="shared" si="3"/>
        <v/>
      </c>
      <c r="L34" s="37" t="str">
        <f t="shared" si="4"/>
        <v/>
      </c>
      <c r="M34" s="37" t="str">
        <f t="shared" si="5"/>
        <v/>
      </c>
      <c r="N34" s="37" t="str">
        <f t="shared" si="6"/>
        <v/>
      </c>
      <c r="O34" s="37" t="str">
        <f t="shared" si="7"/>
        <v/>
      </c>
      <c r="P34" s="37" t="str">
        <f t="shared" si="8"/>
        <v/>
      </c>
      <c r="Q34" s="37" t="str">
        <f>IF($X34=0,"",NEC_UNIDAD($W34,$E34,$Y34,$Z34,N($AT34),$C$7,OCUPACION))</f>
        <v/>
      </c>
      <c r="R34" s="37" t="str">
        <f>IF($X34=0,"",BREAKER_SEL($BX$60,$BI34,$AT34,$C$7,$BX$58,$BX$69,$BJ34))</f>
        <v/>
      </c>
      <c r="S34" s="37"/>
      <c r="T34" s="37"/>
      <c r="U34" s="37"/>
      <c r="V34" s="37"/>
      <c r="W34" s="11" t="str">
        <f t="shared" si="9"/>
        <v/>
      </c>
      <c r="X34" s="39">
        <f t="shared" si="10"/>
        <v>0</v>
      </c>
      <c r="Y34" s="11">
        <f t="shared" si="11"/>
        <v>0</v>
      </c>
      <c r="Z34" s="11">
        <f t="shared" si="12"/>
        <v>0</v>
      </c>
      <c r="AA34" s="11">
        <f t="shared" si="13"/>
        <v>0</v>
      </c>
      <c r="AB34" s="11">
        <f t="shared" si="14"/>
        <v>1</v>
      </c>
      <c r="AC34" s="11">
        <f t="shared" si="15"/>
        <v>1</v>
      </c>
      <c r="AD34" s="11">
        <f t="shared" si="16"/>
        <v>1</v>
      </c>
      <c r="AE34" s="11" t="str">
        <f t="shared" si="17"/>
        <v/>
      </c>
      <c r="AF34" s="11">
        <f t="shared" si="18"/>
        <v>1.25</v>
      </c>
      <c r="AG34" s="11">
        <f t="shared" si="19"/>
        <v>0</v>
      </c>
      <c r="AH34" s="11">
        <f t="shared" si="20"/>
        <v>-1</v>
      </c>
      <c r="AI34" s="11">
        <f t="shared" si="21"/>
        <v>-1</v>
      </c>
      <c r="AJ34" s="39">
        <f t="shared" si="22"/>
        <v>0</v>
      </c>
      <c r="AK34" s="39">
        <f t="shared" si="23"/>
        <v>0</v>
      </c>
      <c r="AL34" s="39">
        <f t="shared" si="24"/>
        <v>0</v>
      </c>
      <c r="AM34" s="11">
        <f t="shared" si="25"/>
        <v>0</v>
      </c>
      <c r="AN34" s="11">
        <f t="shared" si="26"/>
        <v>0</v>
      </c>
      <c r="AO34" s="11">
        <f t="shared" si="27"/>
        <v>0</v>
      </c>
      <c r="AP34" s="40">
        <f t="shared" si="28"/>
        <v>0</v>
      </c>
      <c r="AQ34" s="40">
        <f t="shared" si="29"/>
        <v>0</v>
      </c>
      <c r="AR34" s="40">
        <f t="shared" si="30"/>
        <v>0</v>
      </c>
      <c r="AS34" s="40" t="str">
        <f t="shared" si="31"/>
        <v/>
      </c>
      <c r="AT34" s="11" t="str">
        <f t="shared" si="32"/>
        <v/>
      </c>
      <c r="AU34" s="11">
        <f t="shared" si="33"/>
        <v>1</v>
      </c>
      <c r="AV34" s="11">
        <f t="shared" si="34"/>
        <v>1</v>
      </c>
      <c r="AW34" s="11" t="str">
        <f t="shared" si="35"/>
        <v/>
      </c>
      <c r="AX34" s="11" t="str">
        <f t="shared" si="36"/>
        <v/>
      </c>
      <c r="AY34" s="11" t="str">
        <f t="shared" si="37"/>
        <v/>
      </c>
      <c r="AZ34" s="11" t="str">
        <f t="shared" si="38"/>
        <v/>
      </c>
      <c r="BA34" s="11" t="str">
        <f t="shared" si="39"/>
        <v/>
      </c>
      <c r="BB34" s="11" t="str">
        <f t="shared" si="40"/>
        <v/>
      </c>
      <c r="BC34" s="11" t="str">
        <f t="shared" si="41"/>
        <v/>
      </c>
      <c r="BD34" s="11" t="str">
        <f t="shared" si="42"/>
        <v/>
      </c>
      <c r="BE34" s="39" t="str">
        <f t="shared" si="43"/>
        <v/>
      </c>
      <c r="BF34" s="11" t="str">
        <f t="shared" si="44"/>
        <v/>
      </c>
      <c r="BG34" s="11" t="str">
        <f t="shared" si="45"/>
        <v/>
      </c>
      <c r="BH34" s="39" t="str">
        <f t="shared" si="46"/>
        <v/>
      </c>
      <c r="BI34" s="11" t="str">
        <f t="shared" si="47"/>
        <v/>
      </c>
      <c r="BJ34" s="11" t="str">
        <f>IF($X34=0,"",IF($Q34&lt;&gt;"",$Q34,NEC_UNIDAD($W34,$E34,$Y34,$Z34,N($AT34),$C$7,OCUPACION)))</f>
        <v/>
      </c>
      <c r="BK34" s="11" t="str">
        <f>IF($X34=0,"",IF(N($R34)&gt;0,$R34,BREAKER_SEL($BX$60,$BI34,$AT34,$C$7,$BX$58,$BX$69,$BJ34)))</f>
        <v/>
      </c>
      <c r="BL34" s="11" t="str">
        <f>IF($BK34="","",BREAKER_REF($BX$60,$BK34,$BI34,$AT34,FALSE))</f>
        <v/>
      </c>
      <c r="BM34" s="11" t="str">
        <f>IF($BK34="","",BREAKER_DATO($BX$60,$BK34,"sccr"))</f>
        <v/>
      </c>
      <c r="BN34" s="11" t="str">
        <f>IF(OR($BK34="",N($BM34)&gt;=$BX$58,$BX$71="",N($BX$74)&lt;$BX$58),"",SERIE_KA($BX$60,BREAKER_DATO($BX$60,$BK34,"modelo"),$BX$72,N($BX$24),$C$7,$BX$58))</f>
        <v/>
      </c>
      <c r="BO34" s="11" t="str">
        <f>IF($BK34="","",BREAKER_DATO($BX$60,$BK34,"unidad"))</f>
        <v/>
      </c>
      <c r="BP34" s="11" t="str">
        <f>IF($BK34="","",BREAKER_DATO($BX$60,$BK34,"marco"))</f>
        <v/>
      </c>
      <c r="BQ34" s="11" t="str">
        <f t="shared" si="48"/>
        <v/>
      </c>
      <c r="BR34" s="11" t="str">
        <f t="shared" si="49"/>
        <v/>
      </c>
      <c r="BS34" s="11" t="str">
        <f t="shared" si="50"/>
        <v/>
      </c>
      <c r="BT34" s="11" t="str">
        <f t="shared" si="51"/>
        <v/>
      </c>
      <c r="BU34" s="11" t="str">
        <f t="shared" si="52"/>
        <v/>
      </c>
      <c r="BW34" t="s">
        <v>754</v>
      </c>
      <c r="BX34" t="str">
        <f>IF(BX24="","",INDEX(T_TIERRA,MATCH(TRUE,INDEX(T_TIERRA_A&gt;=BX24,0),0),IFERROR(MATCH(IF($F$3="","CU",$F$3),T_TIERRA_H,0),1)))</f>
        <v/>
      </c>
      <c r="CA34" s="11" t="str">
        <f t="shared" si="53"/>
        <v/>
      </c>
      <c r="CB34" s="11" t="str">
        <f t="shared" si="54"/>
        <v/>
      </c>
    </row>
    <row r="35" spans="1:80" ht="14.65" x14ac:dyDescent="0.45">
      <c r="A35" s="37"/>
      <c r="B35" s="14">
        <v>21</v>
      </c>
      <c r="C35" s="37"/>
      <c r="D35" s="37"/>
      <c r="E35" s="37"/>
      <c r="F35" s="37" t="str">
        <f t="shared" si="0"/>
        <v/>
      </c>
      <c r="G35" s="38"/>
      <c r="H35" s="37"/>
      <c r="I35" s="37" t="str">
        <f t="shared" si="1"/>
        <v/>
      </c>
      <c r="J35" s="37" t="str">
        <f t="shared" si="2"/>
        <v/>
      </c>
      <c r="K35" s="37" t="str">
        <f t="shared" si="3"/>
        <v/>
      </c>
      <c r="L35" s="37" t="str">
        <f t="shared" si="4"/>
        <v/>
      </c>
      <c r="M35" s="37" t="str">
        <f t="shared" si="5"/>
        <v/>
      </c>
      <c r="N35" s="37" t="str">
        <f t="shared" si="6"/>
        <v/>
      </c>
      <c r="O35" s="37" t="str">
        <f t="shared" si="7"/>
        <v/>
      </c>
      <c r="P35" s="37" t="str">
        <f t="shared" si="8"/>
        <v/>
      </c>
      <c r="Q35" s="37" t="str">
        <f>IF($X35=0,"",NEC_UNIDAD($W35,$E35,$Y35,$Z35,N($AT35),$C$7,OCUPACION))</f>
        <v/>
      </c>
      <c r="R35" s="37" t="str">
        <f>IF($X35=0,"",BREAKER_SEL($BX$60,$BI35,$AT35,$C$7,$BX$58,$BX$69,$BJ35))</f>
        <v/>
      </c>
      <c r="S35" s="37"/>
      <c r="T35" s="37"/>
      <c r="U35" s="37"/>
      <c r="V35" s="37"/>
      <c r="W35" s="11" t="str">
        <f t="shared" si="9"/>
        <v/>
      </c>
      <c r="X35" s="39">
        <f t="shared" si="10"/>
        <v>0</v>
      </c>
      <c r="Y35" s="11">
        <f t="shared" si="11"/>
        <v>0</v>
      </c>
      <c r="Z35" s="11">
        <f t="shared" si="12"/>
        <v>0</v>
      </c>
      <c r="AA35" s="11">
        <f t="shared" si="13"/>
        <v>0</v>
      </c>
      <c r="AB35" s="11">
        <f t="shared" si="14"/>
        <v>1</v>
      </c>
      <c r="AC35" s="11">
        <f t="shared" si="15"/>
        <v>1</v>
      </c>
      <c r="AD35" s="11">
        <f t="shared" si="16"/>
        <v>1</v>
      </c>
      <c r="AE35" s="11" t="str">
        <f t="shared" si="17"/>
        <v/>
      </c>
      <c r="AF35" s="11">
        <f t="shared" si="18"/>
        <v>1.25</v>
      </c>
      <c r="AG35" s="11">
        <f t="shared" si="19"/>
        <v>1</v>
      </c>
      <c r="AH35" s="11">
        <f t="shared" si="20"/>
        <v>-1</v>
      </c>
      <c r="AI35" s="11">
        <f t="shared" si="21"/>
        <v>-1</v>
      </c>
      <c r="AJ35" s="39">
        <f t="shared" si="22"/>
        <v>0</v>
      </c>
      <c r="AK35" s="39">
        <f t="shared" si="23"/>
        <v>0</v>
      </c>
      <c r="AL35" s="39">
        <f t="shared" si="24"/>
        <v>0</v>
      </c>
      <c r="AM35" s="11">
        <f t="shared" si="25"/>
        <v>0</v>
      </c>
      <c r="AN35" s="11">
        <f t="shared" si="26"/>
        <v>0</v>
      </c>
      <c r="AO35" s="11">
        <f t="shared" si="27"/>
        <v>0</v>
      </c>
      <c r="AP35" s="40">
        <f t="shared" si="28"/>
        <v>0</v>
      </c>
      <c r="AQ35" s="40">
        <f t="shared" si="29"/>
        <v>0</v>
      </c>
      <c r="AR35" s="40">
        <f t="shared" si="30"/>
        <v>0</v>
      </c>
      <c r="AS35" s="40" t="str">
        <f t="shared" si="31"/>
        <v/>
      </c>
      <c r="AT35" s="11" t="str">
        <f t="shared" si="32"/>
        <v/>
      </c>
      <c r="AU35" s="11">
        <f t="shared" si="33"/>
        <v>1</v>
      </c>
      <c r="AV35" s="11">
        <f t="shared" si="34"/>
        <v>1</v>
      </c>
      <c r="AW35" s="11" t="str">
        <f t="shared" si="35"/>
        <v/>
      </c>
      <c r="AX35" s="11" t="str">
        <f t="shared" si="36"/>
        <v/>
      </c>
      <c r="AY35" s="11" t="str">
        <f t="shared" si="37"/>
        <v/>
      </c>
      <c r="AZ35" s="11" t="str">
        <f t="shared" si="38"/>
        <v/>
      </c>
      <c r="BA35" s="11" t="str">
        <f t="shared" si="39"/>
        <v/>
      </c>
      <c r="BB35" s="11" t="str">
        <f t="shared" si="40"/>
        <v/>
      </c>
      <c r="BC35" s="11" t="str">
        <f t="shared" si="41"/>
        <v/>
      </c>
      <c r="BD35" s="11" t="str">
        <f t="shared" si="42"/>
        <v/>
      </c>
      <c r="BE35" s="39" t="str">
        <f t="shared" si="43"/>
        <v/>
      </c>
      <c r="BF35" s="11" t="str">
        <f t="shared" si="44"/>
        <v/>
      </c>
      <c r="BG35" s="11" t="str">
        <f t="shared" si="45"/>
        <v/>
      </c>
      <c r="BH35" s="39" t="str">
        <f t="shared" si="46"/>
        <v/>
      </c>
      <c r="BI35" s="11" t="str">
        <f t="shared" si="47"/>
        <v/>
      </c>
      <c r="BJ35" s="11" t="str">
        <f>IF($X35=0,"",IF($Q35&lt;&gt;"",$Q35,NEC_UNIDAD($W35,$E35,$Y35,$Z35,N($AT35),$C$7,OCUPACION)))</f>
        <v/>
      </c>
      <c r="BK35" s="11" t="str">
        <f>IF($X35=0,"",IF(N($R35)&gt;0,$R35,BREAKER_SEL($BX$60,$BI35,$AT35,$C$7,$BX$58,$BX$69,$BJ35)))</f>
        <v/>
      </c>
      <c r="BL35" s="11" t="str">
        <f>IF($BK35="","",BREAKER_REF($BX$60,$BK35,$BI35,$AT35,FALSE))</f>
        <v/>
      </c>
      <c r="BM35" s="11" t="str">
        <f>IF($BK35="","",BREAKER_DATO($BX$60,$BK35,"sccr"))</f>
        <v/>
      </c>
      <c r="BN35" s="11" t="str">
        <f>IF(OR($BK35="",N($BM35)&gt;=$BX$58,$BX$71="",N($BX$74)&lt;$BX$58),"",SERIE_KA($BX$60,BREAKER_DATO($BX$60,$BK35,"modelo"),$BX$72,N($BX$24),$C$7,$BX$58))</f>
        <v/>
      </c>
      <c r="BO35" s="11" t="str">
        <f>IF($BK35="","",BREAKER_DATO($BX$60,$BK35,"unidad"))</f>
        <v/>
      </c>
      <c r="BP35" s="11" t="str">
        <f>IF($BK35="","",BREAKER_DATO($BX$60,$BK35,"marco"))</f>
        <v/>
      </c>
      <c r="BQ35" s="11" t="str">
        <f t="shared" si="48"/>
        <v/>
      </c>
      <c r="BR35" s="11" t="str">
        <f t="shared" si="49"/>
        <v/>
      </c>
      <c r="BS35" s="11" t="str">
        <f t="shared" si="50"/>
        <v/>
      </c>
      <c r="BT35" s="11" t="str">
        <f t="shared" si="51"/>
        <v/>
      </c>
      <c r="BU35" s="11" t="str">
        <f t="shared" si="52"/>
        <v/>
      </c>
      <c r="BW35" t="s">
        <v>755</v>
      </c>
      <c r="BX35" t="str">
        <f>IF(BX31="","",IFERROR(IF(OR($F$3="AL",$F$3="AL-MC"),INDEX(T_ELEC_AL,MATCH(BX31,T_ELEC_CALAL,0)),INDEX(T_ELEC_CU,MATCH(BX31,T_ELEC_CALCU,0))),""))</f>
        <v/>
      </c>
      <c r="CA35" s="11" t="str">
        <f t="shared" si="53"/>
        <v/>
      </c>
      <c r="CB35" s="11" t="str">
        <f t="shared" si="54"/>
        <v/>
      </c>
    </row>
    <row r="36" spans="1:80" ht="14.65" x14ac:dyDescent="0.45">
      <c r="A36" s="37"/>
      <c r="B36" s="14">
        <v>23</v>
      </c>
      <c r="C36" s="37"/>
      <c r="D36" s="37"/>
      <c r="E36" s="37"/>
      <c r="F36" s="37" t="str">
        <f t="shared" si="0"/>
        <v/>
      </c>
      <c r="G36" s="38"/>
      <c r="H36" s="37"/>
      <c r="I36" s="37" t="str">
        <f t="shared" si="1"/>
        <v/>
      </c>
      <c r="J36" s="37" t="str">
        <f t="shared" si="2"/>
        <v/>
      </c>
      <c r="K36" s="37" t="str">
        <f t="shared" si="3"/>
        <v/>
      </c>
      <c r="L36" s="37" t="str">
        <f t="shared" si="4"/>
        <v/>
      </c>
      <c r="M36" s="37" t="str">
        <f t="shared" si="5"/>
        <v/>
      </c>
      <c r="N36" s="37" t="str">
        <f t="shared" si="6"/>
        <v/>
      </c>
      <c r="O36" s="37" t="str">
        <f t="shared" si="7"/>
        <v/>
      </c>
      <c r="P36" s="37" t="str">
        <f t="shared" si="8"/>
        <v/>
      </c>
      <c r="Q36" s="37" t="str">
        <f>IF($X36=0,"",NEC_UNIDAD($W36,$E36,$Y36,$Z36,N($AT36),$C$7,OCUPACION))</f>
        <v/>
      </c>
      <c r="R36" s="37" t="str">
        <f>IF($X36=0,"",BREAKER_SEL($BX$60,$BI36,$AT36,$C$7,$BX$58,$BX$69,$BJ36))</f>
        <v/>
      </c>
      <c r="S36" s="37"/>
      <c r="T36" s="37"/>
      <c r="U36" s="37"/>
      <c r="V36" s="37"/>
      <c r="W36" s="11" t="str">
        <f t="shared" si="9"/>
        <v/>
      </c>
      <c r="X36" s="39">
        <f t="shared" si="10"/>
        <v>0</v>
      </c>
      <c r="Y36" s="11">
        <f t="shared" si="11"/>
        <v>0</v>
      </c>
      <c r="Z36" s="11">
        <f t="shared" si="12"/>
        <v>0</v>
      </c>
      <c r="AA36" s="11">
        <f t="shared" si="13"/>
        <v>0</v>
      </c>
      <c r="AB36" s="11">
        <f t="shared" si="14"/>
        <v>1</v>
      </c>
      <c r="AC36" s="11">
        <f t="shared" si="15"/>
        <v>1</v>
      </c>
      <c r="AD36" s="11">
        <f t="shared" si="16"/>
        <v>1</v>
      </c>
      <c r="AE36" s="11" t="str">
        <f t="shared" si="17"/>
        <v/>
      </c>
      <c r="AF36" s="11">
        <f t="shared" si="18"/>
        <v>1.25</v>
      </c>
      <c r="AG36" s="11">
        <f t="shared" si="19"/>
        <v>2</v>
      </c>
      <c r="AH36" s="11">
        <f t="shared" si="20"/>
        <v>-1</v>
      </c>
      <c r="AI36" s="11">
        <f t="shared" si="21"/>
        <v>-1</v>
      </c>
      <c r="AJ36" s="39">
        <f t="shared" si="22"/>
        <v>0</v>
      </c>
      <c r="AK36" s="39">
        <f t="shared" si="23"/>
        <v>0</v>
      </c>
      <c r="AL36" s="39">
        <f t="shared" si="24"/>
        <v>0</v>
      </c>
      <c r="AM36" s="11">
        <f t="shared" si="25"/>
        <v>0</v>
      </c>
      <c r="AN36" s="11">
        <f t="shared" si="26"/>
        <v>0</v>
      </c>
      <c r="AO36" s="11">
        <f t="shared" si="27"/>
        <v>0</v>
      </c>
      <c r="AP36" s="40">
        <f t="shared" si="28"/>
        <v>0</v>
      </c>
      <c r="AQ36" s="40">
        <f t="shared" si="29"/>
        <v>0</v>
      </c>
      <c r="AR36" s="40">
        <f t="shared" si="30"/>
        <v>0</v>
      </c>
      <c r="AS36" s="40" t="str">
        <f t="shared" si="31"/>
        <v/>
      </c>
      <c r="AT36" s="11" t="str">
        <f t="shared" si="32"/>
        <v/>
      </c>
      <c r="AU36" s="11">
        <f t="shared" si="33"/>
        <v>1</v>
      </c>
      <c r="AV36" s="11">
        <f t="shared" si="34"/>
        <v>1</v>
      </c>
      <c r="AW36" s="11" t="str">
        <f t="shared" si="35"/>
        <v/>
      </c>
      <c r="AX36" s="11" t="str">
        <f t="shared" si="36"/>
        <v/>
      </c>
      <c r="AY36" s="11" t="str">
        <f t="shared" si="37"/>
        <v/>
      </c>
      <c r="AZ36" s="11" t="str">
        <f t="shared" si="38"/>
        <v/>
      </c>
      <c r="BA36" s="11" t="str">
        <f t="shared" si="39"/>
        <v/>
      </c>
      <c r="BB36" s="11" t="str">
        <f t="shared" si="40"/>
        <v/>
      </c>
      <c r="BC36" s="11" t="str">
        <f t="shared" si="41"/>
        <v/>
      </c>
      <c r="BD36" s="11" t="str">
        <f t="shared" si="42"/>
        <v/>
      </c>
      <c r="BE36" s="39" t="str">
        <f t="shared" si="43"/>
        <v/>
      </c>
      <c r="BF36" s="11" t="str">
        <f t="shared" si="44"/>
        <v/>
      </c>
      <c r="BG36" s="11" t="str">
        <f t="shared" si="45"/>
        <v/>
      </c>
      <c r="BH36" s="39" t="str">
        <f t="shared" si="46"/>
        <v/>
      </c>
      <c r="BI36" s="11" t="str">
        <f t="shared" si="47"/>
        <v/>
      </c>
      <c r="BJ36" s="11" t="str">
        <f>IF($X36=0,"",IF($Q36&lt;&gt;"",$Q36,NEC_UNIDAD($W36,$E36,$Y36,$Z36,N($AT36),$C$7,OCUPACION)))</f>
        <v/>
      </c>
      <c r="BK36" s="11" t="str">
        <f>IF($X36=0,"",IF(N($R36)&gt;0,$R36,BREAKER_SEL($BX$60,$BI36,$AT36,$C$7,$BX$58,$BX$69,$BJ36)))</f>
        <v/>
      </c>
      <c r="BL36" s="11" t="str">
        <f>IF($BK36="","",BREAKER_REF($BX$60,$BK36,$BI36,$AT36,FALSE))</f>
        <v/>
      </c>
      <c r="BM36" s="11" t="str">
        <f>IF($BK36="","",BREAKER_DATO($BX$60,$BK36,"sccr"))</f>
        <v/>
      </c>
      <c r="BN36" s="11" t="str">
        <f>IF(OR($BK36="",N($BM36)&gt;=$BX$58,$BX$71="",N($BX$74)&lt;$BX$58),"",SERIE_KA($BX$60,BREAKER_DATO($BX$60,$BK36,"modelo"),$BX$72,N($BX$24),$C$7,$BX$58))</f>
        <v/>
      </c>
      <c r="BO36" s="11" t="str">
        <f>IF($BK36="","",BREAKER_DATO($BX$60,$BK36,"unidad"))</f>
        <v/>
      </c>
      <c r="BP36" s="11" t="str">
        <f>IF($BK36="","",BREAKER_DATO($BX$60,$BK36,"marco"))</f>
        <v/>
      </c>
      <c r="BQ36" s="11" t="str">
        <f t="shared" si="48"/>
        <v/>
      </c>
      <c r="BR36" s="11" t="str">
        <f t="shared" si="49"/>
        <v/>
      </c>
      <c r="BS36" s="11" t="str">
        <f t="shared" si="50"/>
        <v/>
      </c>
      <c r="BT36" s="11" t="str">
        <f t="shared" si="51"/>
        <v/>
      </c>
      <c r="BU36" s="11" t="str">
        <f t="shared" si="52"/>
        <v/>
      </c>
      <c r="BW36" t="s">
        <v>756</v>
      </c>
      <c r="BX36" t="str">
        <f>IF(BX31="","",IF(OR($F$3="CU-MC",$F$3="AL-MC"),"MC",IFERROR(VLOOKUP(BX31,T_CONDUIT,IF($F$4="RHW",3,IF($F$4="XHHW",4,2)),FALSE),"")))</f>
        <v/>
      </c>
      <c r="CA36" s="11" t="str">
        <f t="shared" si="53"/>
        <v/>
      </c>
      <c r="CB36" s="11" t="str">
        <f t="shared" si="54"/>
        <v/>
      </c>
    </row>
    <row r="37" spans="1:80" ht="14.65" x14ac:dyDescent="0.45">
      <c r="A37" s="37"/>
      <c r="B37" s="14">
        <v>25</v>
      </c>
      <c r="C37" s="37"/>
      <c r="D37" s="37"/>
      <c r="E37" s="37"/>
      <c r="F37" s="37" t="str">
        <f t="shared" si="0"/>
        <v/>
      </c>
      <c r="G37" s="38"/>
      <c r="H37" s="37"/>
      <c r="I37" s="37" t="str">
        <f t="shared" si="1"/>
        <v/>
      </c>
      <c r="J37" s="37" t="str">
        <f t="shared" si="2"/>
        <v/>
      </c>
      <c r="K37" s="37" t="str">
        <f t="shared" si="3"/>
        <v/>
      </c>
      <c r="L37" s="37" t="str">
        <f t="shared" si="4"/>
        <v/>
      </c>
      <c r="M37" s="37" t="str">
        <f t="shared" si="5"/>
        <v/>
      </c>
      <c r="N37" s="37" t="str">
        <f t="shared" si="6"/>
        <v/>
      </c>
      <c r="O37" s="37" t="str">
        <f t="shared" si="7"/>
        <v/>
      </c>
      <c r="P37" s="37" t="str">
        <f t="shared" si="8"/>
        <v/>
      </c>
      <c r="Q37" s="37" t="str">
        <f>IF($X37=0,"",NEC_UNIDAD($W37,$E37,$Y37,$Z37,N($AT37),$C$7,OCUPACION))</f>
        <v/>
      </c>
      <c r="R37" s="37" t="str">
        <f>IF($X37=0,"",BREAKER_SEL($BX$60,$BI37,$AT37,$C$7,$BX$58,$BX$69,$BJ37))</f>
        <v/>
      </c>
      <c r="S37" s="37"/>
      <c r="T37" s="37"/>
      <c r="U37" s="37"/>
      <c r="V37" s="37"/>
      <c r="W37" s="11" t="str">
        <f t="shared" si="9"/>
        <v/>
      </c>
      <c r="X37" s="39">
        <f t="shared" si="10"/>
        <v>0</v>
      </c>
      <c r="Y37" s="11">
        <f t="shared" si="11"/>
        <v>0</v>
      </c>
      <c r="Z37" s="11">
        <f t="shared" si="12"/>
        <v>0</v>
      </c>
      <c r="AA37" s="11">
        <f t="shared" si="13"/>
        <v>0</v>
      </c>
      <c r="AB37" s="11">
        <f t="shared" si="14"/>
        <v>1</v>
      </c>
      <c r="AC37" s="11">
        <f t="shared" si="15"/>
        <v>1</v>
      </c>
      <c r="AD37" s="11">
        <f t="shared" si="16"/>
        <v>1</v>
      </c>
      <c r="AE37" s="11" t="str">
        <f t="shared" si="17"/>
        <v/>
      </c>
      <c r="AF37" s="11">
        <f t="shared" si="18"/>
        <v>1.25</v>
      </c>
      <c r="AG37" s="11">
        <f t="shared" si="19"/>
        <v>0</v>
      </c>
      <c r="AH37" s="11">
        <f t="shared" si="20"/>
        <v>-1</v>
      </c>
      <c r="AI37" s="11">
        <f t="shared" si="21"/>
        <v>-1</v>
      </c>
      <c r="AJ37" s="39">
        <f t="shared" si="22"/>
        <v>0</v>
      </c>
      <c r="AK37" s="39">
        <f t="shared" si="23"/>
        <v>0</v>
      </c>
      <c r="AL37" s="39">
        <f t="shared" si="24"/>
        <v>0</v>
      </c>
      <c r="AM37" s="11">
        <f t="shared" si="25"/>
        <v>0</v>
      </c>
      <c r="AN37" s="11">
        <f t="shared" si="26"/>
        <v>0</v>
      </c>
      <c r="AO37" s="11">
        <f t="shared" si="27"/>
        <v>0</v>
      </c>
      <c r="AP37" s="40">
        <f t="shared" si="28"/>
        <v>0</v>
      </c>
      <c r="AQ37" s="40">
        <f t="shared" si="29"/>
        <v>0</v>
      </c>
      <c r="AR37" s="40">
        <f t="shared" si="30"/>
        <v>0</v>
      </c>
      <c r="AS37" s="40" t="str">
        <f t="shared" si="31"/>
        <v/>
      </c>
      <c r="AT37" s="11" t="str">
        <f t="shared" si="32"/>
        <v/>
      </c>
      <c r="AU37" s="11">
        <f t="shared" si="33"/>
        <v>1</v>
      </c>
      <c r="AV37" s="11">
        <f t="shared" si="34"/>
        <v>1</v>
      </c>
      <c r="AW37" s="11" t="str">
        <f t="shared" si="35"/>
        <v/>
      </c>
      <c r="AX37" s="11" t="str">
        <f t="shared" si="36"/>
        <v/>
      </c>
      <c r="AY37" s="11" t="str">
        <f t="shared" si="37"/>
        <v/>
      </c>
      <c r="AZ37" s="11" t="str">
        <f t="shared" si="38"/>
        <v/>
      </c>
      <c r="BA37" s="11" t="str">
        <f t="shared" si="39"/>
        <v/>
      </c>
      <c r="BB37" s="11" t="str">
        <f t="shared" si="40"/>
        <v/>
      </c>
      <c r="BC37" s="11" t="str">
        <f t="shared" si="41"/>
        <v/>
      </c>
      <c r="BD37" s="11" t="str">
        <f t="shared" si="42"/>
        <v/>
      </c>
      <c r="BE37" s="39" t="str">
        <f t="shared" si="43"/>
        <v/>
      </c>
      <c r="BF37" s="11" t="str">
        <f t="shared" si="44"/>
        <v/>
      </c>
      <c r="BG37" s="11" t="str">
        <f t="shared" si="45"/>
        <v/>
      </c>
      <c r="BH37" s="39" t="str">
        <f t="shared" si="46"/>
        <v/>
      </c>
      <c r="BI37" s="11" t="str">
        <f t="shared" si="47"/>
        <v/>
      </c>
      <c r="BJ37" s="11" t="str">
        <f>IF($X37=0,"",IF($Q37&lt;&gt;"",$Q37,NEC_UNIDAD($W37,$E37,$Y37,$Z37,N($AT37),$C$7,OCUPACION)))</f>
        <v/>
      </c>
      <c r="BK37" s="11" t="str">
        <f>IF($X37=0,"",IF(N($R37)&gt;0,$R37,BREAKER_SEL($BX$60,$BI37,$AT37,$C$7,$BX$58,$BX$69,$BJ37)))</f>
        <v/>
      </c>
      <c r="BL37" s="11" t="str">
        <f>IF($BK37="","",BREAKER_REF($BX$60,$BK37,$BI37,$AT37,FALSE))</f>
        <v/>
      </c>
      <c r="BM37" s="11" t="str">
        <f>IF($BK37="","",BREAKER_DATO($BX$60,$BK37,"sccr"))</f>
        <v/>
      </c>
      <c r="BN37" s="11" t="str">
        <f>IF(OR($BK37="",N($BM37)&gt;=$BX$58,$BX$71="",N($BX$74)&lt;$BX$58),"",SERIE_KA($BX$60,BREAKER_DATO($BX$60,$BK37,"modelo"),$BX$72,N($BX$24),$C$7,$BX$58))</f>
        <v/>
      </c>
      <c r="BO37" s="11" t="str">
        <f>IF($BK37="","",BREAKER_DATO($BX$60,$BK37,"unidad"))</f>
        <v/>
      </c>
      <c r="BP37" s="11" t="str">
        <f>IF($BK37="","",BREAKER_DATO($BX$60,$BK37,"marco"))</f>
        <v/>
      </c>
      <c r="BQ37" s="11" t="str">
        <f t="shared" si="48"/>
        <v/>
      </c>
      <c r="BR37" s="11" t="str">
        <f t="shared" si="49"/>
        <v/>
      </c>
      <c r="BS37" s="11" t="str">
        <f t="shared" si="50"/>
        <v/>
      </c>
      <c r="BT37" s="11" t="str">
        <f t="shared" si="51"/>
        <v/>
      </c>
      <c r="BU37" s="11" t="str">
        <f t="shared" si="52"/>
        <v/>
      </c>
      <c r="BW37" t="s">
        <v>757</v>
      </c>
      <c r="BX37" t="str">
        <f>IF(BX31="","",IFERROR(INDEX(CHOOSE(IF(OR($F$3="AL",$F$3="AL-MC"),2,1),T_FAC_CU,T_FAC_AL),IF(BX15=1,1,IF(BX15&gt;0.949,2,IF(BX15&gt;0.899,3,IF(BX15&gt;0.799,4,99)))),MATCH(BX31,T_FAC_H,0)),""))</f>
        <v/>
      </c>
      <c r="CA37" s="11" t="str">
        <f t="shared" si="53"/>
        <v/>
      </c>
      <c r="CB37" s="11" t="str">
        <f t="shared" si="54"/>
        <v/>
      </c>
    </row>
    <row r="38" spans="1:80" ht="14.65" x14ac:dyDescent="0.45">
      <c r="A38" s="37"/>
      <c r="B38" s="14">
        <v>27</v>
      </c>
      <c r="C38" s="37"/>
      <c r="D38" s="37"/>
      <c r="E38" s="37"/>
      <c r="F38" s="37" t="str">
        <f t="shared" si="0"/>
        <v/>
      </c>
      <c r="G38" s="38"/>
      <c r="H38" s="37"/>
      <c r="I38" s="37" t="str">
        <f t="shared" si="1"/>
        <v/>
      </c>
      <c r="J38" s="37" t="str">
        <f t="shared" si="2"/>
        <v/>
      </c>
      <c r="K38" s="37" t="str">
        <f t="shared" si="3"/>
        <v/>
      </c>
      <c r="L38" s="37" t="str">
        <f t="shared" si="4"/>
        <v/>
      </c>
      <c r="M38" s="37" t="str">
        <f t="shared" si="5"/>
        <v/>
      </c>
      <c r="N38" s="37" t="str">
        <f t="shared" si="6"/>
        <v/>
      </c>
      <c r="O38" s="37" t="str">
        <f t="shared" si="7"/>
        <v/>
      </c>
      <c r="P38" s="37" t="str">
        <f t="shared" si="8"/>
        <v/>
      </c>
      <c r="Q38" s="37" t="str">
        <f>IF($X38=0,"",NEC_UNIDAD($W38,$E38,$Y38,$Z38,N($AT38),$C$7,OCUPACION))</f>
        <v/>
      </c>
      <c r="R38" s="37" t="str">
        <f>IF($X38=0,"",BREAKER_SEL($BX$60,$BI38,$AT38,$C$7,$BX$58,$BX$69,$BJ38))</f>
        <v/>
      </c>
      <c r="S38" s="37"/>
      <c r="T38" s="37"/>
      <c r="U38" s="37"/>
      <c r="V38" s="37"/>
      <c r="W38" s="11" t="str">
        <f t="shared" si="9"/>
        <v/>
      </c>
      <c r="X38" s="39">
        <f t="shared" si="10"/>
        <v>0</v>
      </c>
      <c r="Y38" s="11">
        <f t="shared" si="11"/>
        <v>0</v>
      </c>
      <c r="Z38" s="11">
        <f t="shared" si="12"/>
        <v>0</v>
      </c>
      <c r="AA38" s="11">
        <f t="shared" si="13"/>
        <v>0</v>
      </c>
      <c r="AB38" s="11">
        <f t="shared" si="14"/>
        <v>1</v>
      </c>
      <c r="AC38" s="11">
        <f t="shared" si="15"/>
        <v>1</v>
      </c>
      <c r="AD38" s="11">
        <f t="shared" si="16"/>
        <v>1</v>
      </c>
      <c r="AE38" s="11" t="str">
        <f t="shared" si="17"/>
        <v/>
      </c>
      <c r="AF38" s="11">
        <f t="shared" si="18"/>
        <v>1.25</v>
      </c>
      <c r="AG38" s="11">
        <f t="shared" si="19"/>
        <v>1</v>
      </c>
      <c r="AH38" s="11">
        <f t="shared" si="20"/>
        <v>-1</v>
      </c>
      <c r="AI38" s="11">
        <f t="shared" si="21"/>
        <v>-1</v>
      </c>
      <c r="AJ38" s="39">
        <f t="shared" si="22"/>
        <v>0</v>
      </c>
      <c r="AK38" s="39">
        <f t="shared" si="23"/>
        <v>0</v>
      </c>
      <c r="AL38" s="39">
        <f t="shared" si="24"/>
        <v>0</v>
      </c>
      <c r="AM38" s="11">
        <f t="shared" si="25"/>
        <v>0</v>
      </c>
      <c r="AN38" s="11">
        <f t="shared" si="26"/>
        <v>0</v>
      </c>
      <c r="AO38" s="11">
        <f t="shared" si="27"/>
        <v>0</v>
      </c>
      <c r="AP38" s="40">
        <f t="shared" si="28"/>
        <v>0</v>
      </c>
      <c r="AQ38" s="40">
        <f t="shared" si="29"/>
        <v>0</v>
      </c>
      <c r="AR38" s="40">
        <f t="shared" si="30"/>
        <v>0</v>
      </c>
      <c r="AS38" s="40" t="str">
        <f t="shared" si="31"/>
        <v/>
      </c>
      <c r="AT38" s="11" t="str">
        <f t="shared" si="32"/>
        <v/>
      </c>
      <c r="AU38" s="11">
        <f t="shared" si="33"/>
        <v>1</v>
      </c>
      <c r="AV38" s="11">
        <f t="shared" si="34"/>
        <v>1</v>
      </c>
      <c r="AW38" s="11" t="str">
        <f t="shared" si="35"/>
        <v/>
      </c>
      <c r="AX38" s="11" t="str">
        <f t="shared" si="36"/>
        <v/>
      </c>
      <c r="AY38" s="11" t="str">
        <f t="shared" si="37"/>
        <v/>
      </c>
      <c r="AZ38" s="11" t="str">
        <f t="shared" si="38"/>
        <v/>
      </c>
      <c r="BA38" s="11" t="str">
        <f t="shared" si="39"/>
        <v/>
      </c>
      <c r="BB38" s="11" t="str">
        <f t="shared" si="40"/>
        <v/>
      </c>
      <c r="BC38" s="11" t="str">
        <f t="shared" si="41"/>
        <v/>
      </c>
      <c r="BD38" s="11" t="str">
        <f t="shared" si="42"/>
        <v/>
      </c>
      <c r="BE38" s="39" t="str">
        <f t="shared" si="43"/>
        <v/>
      </c>
      <c r="BF38" s="11" t="str">
        <f t="shared" si="44"/>
        <v/>
      </c>
      <c r="BG38" s="11" t="str">
        <f t="shared" si="45"/>
        <v/>
      </c>
      <c r="BH38" s="39" t="str">
        <f t="shared" si="46"/>
        <v/>
      </c>
      <c r="BI38" s="11" t="str">
        <f t="shared" si="47"/>
        <v/>
      </c>
      <c r="BJ38" s="11" t="str">
        <f>IF($X38=0,"",IF($Q38&lt;&gt;"",$Q38,NEC_UNIDAD($W38,$E38,$Y38,$Z38,N($AT38),$C$7,OCUPACION)))</f>
        <v/>
      </c>
      <c r="BK38" s="11" t="str">
        <f>IF($X38=0,"",IF(N($R38)&gt;0,$R38,BREAKER_SEL($BX$60,$BI38,$AT38,$C$7,$BX$58,$BX$69,$BJ38)))</f>
        <v/>
      </c>
      <c r="BL38" s="11" t="str">
        <f>IF($BK38="","",BREAKER_REF($BX$60,$BK38,$BI38,$AT38,FALSE))</f>
        <v/>
      </c>
      <c r="BM38" s="11" t="str">
        <f>IF($BK38="","",BREAKER_DATO($BX$60,$BK38,"sccr"))</f>
        <v/>
      </c>
      <c r="BN38" s="11" t="str">
        <f>IF(OR($BK38="",N($BM38)&gt;=$BX$58,$BX$71="",N($BX$74)&lt;$BX$58),"",SERIE_KA($BX$60,BREAKER_DATO($BX$60,$BK38,"modelo"),$BX$72,N($BX$24),$C$7,$BX$58))</f>
        <v/>
      </c>
      <c r="BO38" s="11" t="str">
        <f>IF($BK38="","",BREAKER_DATO($BX$60,$BK38,"unidad"))</f>
        <v/>
      </c>
      <c r="BP38" s="11" t="str">
        <f>IF($BK38="","",BREAKER_DATO($BX$60,$BK38,"marco"))</f>
        <v/>
      </c>
      <c r="BQ38" s="11" t="str">
        <f t="shared" si="48"/>
        <v/>
      </c>
      <c r="BR38" s="11" t="str">
        <f t="shared" si="49"/>
        <v/>
      </c>
      <c r="BS38" s="11" t="str">
        <f t="shared" si="50"/>
        <v/>
      </c>
      <c r="BT38" s="11" t="str">
        <f t="shared" si="51"/>
        <v/>
      </c>
      <c r="BU38" s="11" t="str">
        <f t="shared" si="52"/>
        <v/>
      </c>
      <c r="BW38" t="s">
        <v>758</v>
      </c>
      <c r="BX38" t="str">
        <f>IF(BX37="","",BX37*IF(AND($C$8=1,OR($C$7=120,$C$7=230,$C$7=277)),1.1547,IF(OR(AND($C$8=1,OR($C$7=208,$C$7=240)),AND($C$8=2,$C$7=240)),1.15,1)))</f>
        <v/>
      </c>
      <c r="CA38" s="11" t="str">
        <f t="shared" si="53"/>
        <v/>
      </c>
      <c r="CB38" s="11" t="str">
        <f t="shared" si="54"/>
        <v/>
      </c>
    </row>
    <row r="39" spans="1:80" ht="14.65" x14ac:dyDescent="0.45">
      <c r="A39" s="37"/>
      <c r="B39" s="14">
        <v>29</v>
      </c>
      <c r="C39" s="37"/>
      <c r="D39" s="37"/>
      <c r="E39" s="37"/>
      <c r="F39" s="37" t="str">
        <f t="shared" si="0"/>
        <v/>
      </c>
      <c r="G39" s="38"/>
      <c r="H39" s="37"/>
      <c r="I39" s="37" t="str">
        <f t="shared" si="1"/>
        <v/>
      </c>
      <c r="J39" s="37" t="str">
        <f t="shared" si="2"/>
        <v/>
      </c>
      <c r="K39" s="37" t="str">
        <f t="shared" si="3"/>
        <v/>
      </c>
      <c r="L39" s="37" t="str">
        <f t="shared" si="4"/>
        <v/>
      </c>
      <c r="M39" s="37" t="str">
        <f t="shared" si="5"/>
        <v/>
      </c>
      <c r="N39" s="37" t="str">
        <f t="shared" si="6"/>
        <v/>
      </c>
      <c r="O39" s="37" t="str">
        <f t="shared" si="7"/>
        <v/>
      </c>
      <c r="P39" s="37" t="str">
        <f t="shared" si="8"/>
        <v/>
      </c>
      <c r="Q39" s="37" t="str">
        <f>IF($X39=0,"",NEC_UNIDAD($W39,$E39,$Y39,$Z39,N($AT39),$C$7,OCUPACION))</f>
        <v/>
      </c>
      <c r="R39" s="37" t="str">
        <f>IF($X39=0,"",BREAKER_SEL($BX$60,$BI39,$AT39,$C$7,$BX$58,$BX$69,$BJ39))</f>
        <v/>
      </c>
      <c r="S39" s="37"/>
      <c r="T39" s="37"/>
      <c r="U39" s="37"/>
      <c r="V39" s="37"/>
      <c r="W39" s="11" t="str">
        <f t="shared" si="9"/>
        <v/>
      </c>
      <c r="X39" s="39">
        <f t="shared" si="10"/>
        <v>0</v>
      </c>
      <c r="Y39" s="11">
        <f t="shared" si="11"/>
        <v>0</v>
      </c>
      <c r="Z39" s="11">
        <f t="shared" si="12"/>
        <v>0</v>
      </c>
      <c r="AA39" s="11">
        <f t="shared" si="13"/>
        <v>0</v>
      </c>
      <c r="AB39" s="11">
        <f t="shared" si="14"/>
        <v>1</v>
      </c>
      <c r="AC39" s="11">
        <f t="shared" si="15"/>
        <v>1</v>
      </c>
      <c r="AD39" s="11">
        <f t="shared" si="16"/>
        <v>1</v>
      </c>
      <c r="AE39" s="11" t="str">
        <f t="shared" si="17"/>
        <v/>
      </c>
      <c r="AF39" s="11">
        <f t="shared" si="18"/>
        <v>1.25</v>
      </c>
      <c r="AG39" s="11">
        <f t="shared" si="19"/>
        <v>2</v>
      </c>
      <c r="AH39" s="11">
        <f t="shared" si="20"/>
        <v>-1</v>
      </c>
      <c r="AI39" s="11">
        <f t="shared" si="21"/>
        <v>-1</v>
      </c>
      <c r="AJ39" s="39">
        <f t="shared" si="22"/>
        <v>0</v>
      </c>
      <c r="AK39" s="39">
        <f t="shared" si="23"/>
        <v>0</v>
      </c>
      <c r="AL39" s="39">
        <f t="shared" si="24"/>
        <v>0</v>
      </c>
      <c r="AM39" s="11">
        <f t="shared" si="25"/>
        <v>0</v>
      </c>
      <c r="AN39" s="11">
        <f t="shared" si="26"/>
        <v>0</v>
      </c>
      <c r="AO39" s="11">
        <f t="shared" si="27"/>
        <v>0</v>
      </c>
      <c r="AP39" s="40">
        <f t="shared" si="28"/>
        <v>0</v>
      </c>
      <c r="AQ39" s="40">
        <f t="shared" si="29"/>
        <v>0</v>
      </c>
      <c r="AR39" s="40">
        <f t="shared" si="30"/>
        <v>0</v>
      </c>
      <c r="AS39" s="40" t="str">
        <f t="shared" si="31"/>
        <v/>
      </c>
      <c r="AT39" s="11" t="str">
        <f t="shared" si="32"/>
        <v/>
      </c>
      <c r="AU39" s="11">
        <f t="shared" si="33"/>
        <v>1</v>
      </c>
      <c r="AV39" s="11">
        <f t="shared" si="34"/>
        <v>1</v>
      </c>
      <c r="AW39" s="11" t="str">
        <f t="shared" si="35"/>
        <v/>
      </c>
      <c r="AX39" s="11" t="str">
        <f t="shared" si="36"/>
        <v/>
      </c>
      <c r="AY39" s="11" t="str">
        <f t="shared" si="37"/>
        <v/>
      </c>
      <c r="AZ39" s="11" t="str">
        <f t="shared" si="38"/>
        <v/>
      </c>
      <c r="BA39" s="11" t="str">
        <f t="shared" si="39"/>
        <v/>
      </c>
      <c r="BB39" s="11" t="str">
        <f t="shared" si="40"/>
        <v/>
      </c>
      <c r="BC39" s="11" t="str">
        <f t="shared" si="41"/>
        <v/>
      </c>
      <c r="BD39" s="11" t="str">
        <f t="shared" si="42"/>
        <v/>
      </c>
      <c r="BE39" s="39" t="str">
        <f t="shared" si="43"/>
        <v/>
      </c>
      <c r="BF39" s="11" t="str">
        <f t="shared" si="44"/>
        <v/>
      </c>
      <c r="BG39" s="11" t="str">
        <f t="shared" si="45"/>
        <v/>
      </c>
      <c r="BH39" s="39" t="str">
        <f t="shared" si="46"/>
        <v/>
      </c>
      <c r="BI39" s="11" t="str">
        <f t="shared" si="47"/>
        <v/>
      </c>
      <c r="BJ39" s="11" t="str">
        <f>IF($X39=0,"",IF($Q39&lt;&gt;"",$Q39,NEC_UNIDAD($W39,$E39,$Y39,$Z39,N($AT39),$C$7,OCUPACION)))</f>
        <v/>
      </c>
      <c r="BK39" s="11" t="str">
        <f>IF($X39=0,"",IF(N($R39)&gt;0,$R39,BREAKER_SEL($BX$60,$BI39,$AT39,$C$7,$BX$58,$BX$69,$BJ39)))</f>
        <v/>
      </c>
      <c r="BL39" s="11" t="str">
        <f>IF($BK39="","",BREAKER_REF($BX$60,$BK39,$BI39,$AT39,FALSE))</f>
        <v/>
      </c>
      <c r="BM39" s="11" t="str">
        <f>IF($BK39="","",BREAKER_DATO($BX$60,$BK39,"sccr"))</f>
        <v/>
      </c>
      <c r="BN39" s="11" t="str">
        <f>IF(OR($BK39="",N($BM39)&gt;=$BX$58,$BX$71="",N($BX$74)&lt;$BX$58),"",SERIE_KA($BX$60,BREAKER_DATO($BX$60,$BK39,"modelo"),$BX$72,N($BX$24),$C$7,$BX$58))</f>
        <v/>
      </c>
      <c r="BO39" s="11" t="str">
        <f>IF($BK39="","",BREAKER_DATO($BX$60,$BK39,"unidad"))</f>
        <v/>
      </c>
      <c r="BP39" s="11" t="str">
        <f>IF($BK39="","",BREAKER_DATO($BX$60,$BK39,"marco"))</f>
        <v/>
      </c>
      <c r="BQ39" s="11" t="str">
        <f t="shared" si="48"/>
        <v/>
      </c>
      <c r="BR39" s="11" t="str">
        <f t="shared" si="49"/>
        <v/>
      </c>
      <c r="BS39" s="11" t="str">
        <f t="shared" si="50"/>
        <v/>
      </c>
      <c r="BT39" s="11" t="str">
        <f t="shared" si="51"/>
        <v/>
      </c>
      <c r="BU39" s="11" t="str">
        <f t="shared" si="52"/>
        <v/>
      </c>
      <c r="BW39" t="s">
        <v>759</v>
      </c>
      <c r="BX39">
        <f>IF(BX4&gt;0,BX19,IF(BX5&gt;0,BX20,BX21))</f>
        <v>0</v>
      </c>
      <c r="CA39" s="11" t="str">
        <f t="shared" si="53"/>
        <v/>
      </c>
      <c r="CB39" s="11" t="str">
        <f t="shared" si="54"/>
        <v/>
      </c>
    </row>
    <row r="40" spans="1:80" ht="14.65" x14ac:dyDescent="0.45">
      <c r="A40" s="37"/>
      <c r="B40" s="14">
        <v>31</v>
      </c>
      <c r="C40" s="37"/>
      <c r="D40" s="37"/>
      <c r="E40" s="37"/>
      <c r="F40" s="37" t="str">
        <f t="shared" si="0"/>
        <v/>
      </c>
      <c r="G40" s="38"/>
      <c r="H40" s="37"/>
      <c r="I40" s="37" t="str">
        <f t="shared" si="1"/>
        <v/>
      </c>
      <c r="J40" s="37" t="str">
        <f t="shared" si="2"/>
        <v/>
      </c>
      <c r="K40" s="37" t="str">
        <f t="shared" si="3"/>
        <v/>
      </c>
      <c r="L40" s="37" t="str">
        <f t="shared" si="4"/>
        <v/>
      </c>
      <c r="M40" s="37" t="str">
        <f t="shared" si="5"/>
        <v/>
      </c>
      <c r="N40" s="37" t="str">
        <f t="shared" si="6"/>
        <v/>
      </c>
      <c r="O40" s="37" t="str">
        <f t="shared" si="7"/>
        <v/>
      </c>
      <c r="P40" s="37" t="str">
        <f t="shared" si="8"/>
        <v/>
      </c>
      <c r="Q40" s="37" t="str">
        <f>IF($X40=0,"",NEC_UNIDAD($W40,$E40,$Y40,$Z40,N($AT40),$C$7,OCUPACION))</f>
        <v/>
      </c>
      <c r="R40" s="37" t="str">
        <f>IF($X40=0,"",BREAKER_SEL($BX$60,$BI40,$AT40,$C$7,$BX$58,$BX$69,$BJ40))</f>
        <v/>
      </c>
      <c r="S40" s="37"/>
      <c r="T40" s="37"/>
      <c r="U40" s="37"/>
      <c r="V40" s="37"/>
      <c r="W40" s="11" t="str">
        <f t="shared" si="9"/>
        <v/>
      </c>
      <c r="X40" s="39">
        <f t="shared" si="10"/>
        <v>0</v>
      </c>
      <c r="Y40" s="11">
        <f t="shared" si="11"/>
        <v>0</v>
      </c>
      <c r="Z40" s="11">
        <f t="shared" si="12"/>
        <v>0</v>
      </c>
      <c r="AA40" s="11">
        <f t="shared" si="13"/>
        <v>0</v>
      </c>
      <c r="AB40" s="11">
        <f t="shared" si="14"/>
        <v>1</v>
      </c>
      <c r="AC40" s="11">
        <f t="shared" si="15"/>
        <v>1</v>
      </c>
      <c r="AD40" s="11">
        <f t="shared" si="16"/>
        <v>1</v>
      </c>
      <c r="AE40" s="11" t="str">
        <f t="shared" si="17"/>
        <v/>
      </c>
      <c r="AF40" s="11">
        <f t="shared" si="18"/>
        <v>1.25</v>
      </c>
      <c r="AG40" s="11">
        <f t="shared" si="19"/>
        <v>0</v>
      </c>
      <c r="AH40" s="11">
        <f t="shared" si="20"/>
        <v>-1</v>
      </c>
      <c r="AI40" s="11">
        <f t="shared" si="21"/>
        <v>-1</v>
      </c>
      <c r="AJ40" s="39">
        <f t="shared" si="22"/>
        <v>0</v>
      </c>
      <c r="AK40" s="39">
        <f t="shared" si="23"/>
        <v>0</v>
      </c>
      <c r="AL40" s="39">
        <f t="shared" si="24"/>
        <v>0</v>
      </c>
      <c r="AM40" s="11">
        <f t="shared" si="25"/>
        <v>0</v>
      </c>
      <c r="AN40" s="11">
        <f t="shared" si="26"/>
        <v>0</v>
      </c>
      <c r="AO40" s="11">
        <f t="shared" si="27"/>
        <v>0</v>
      </c>
      <c r="AP40" s="40">
        <f t="shared" si="28"/>
        <v>0</v>
      </c>
      <c r="AQ40" s="40">
        <f t="shared" si="29"/>
        <v>0</v>
      </c>
      <c r="AR40" s="40">
        <f t="shared" si="30"/>
        <v>0</v>
      </c>
      <c r="AS40" s="40" t="str">
        <f t="shared" si="31"/>
        <v/>
      </c>
      <c r="AT40" s="11" t="str">
        <f t="shared" si="32"/>
        <v/>
      </c>
      <c r="AU40" s="11">
        <f t="shared" si="33"/>
        <v>1</v>
      </c>
      <c r="AV40" s="11">
        <f t="shared" si="34"/>
        <v>1</v>
      </c>
      <c r="AW40" s="11" t="str">
        <f t="shared" si="35"/>
        <v/>
      </c>
      <c r="AX40" s="11" t="str">
        <f t="shared" si="36"/>
        <v/>
      </c>
      <c r="AY40" s="11" t="str">
        <f t="shared" si="37"/>
        <v/>
      </c>
      <c r="AZ40" s="11" t="str">
        <f t="shared" si="38"/>
        <v/>
      </c>
      <c r="BA40" s="11" t="str">
        <f t="shared" si="39"/>
        <v/>
      </c>
      <c r="BB40" s="11" t="str">
        <f t="shared" si="40"/>
        <v/>
      </c>
      <c r="BC40" s="11" t="str">
        <f t="shared" si="41"/>
        <v/>
      </c>
      <c r="BD40" s="11" t="str">
        <f t="shared" si="42"/>
        <v/>
      </c>
      <c r="BE40" s="39" t="str">
        <f t="shared" si="43"/>
        <v/>
      </c>
      <c r="BF40" s="11" t="str">
        <f t="shared" si="44"/>
        <v/>
      </c>
      <c r="BG40" s="11" t="str">
        <f t="shared" si="45"/>
        <v/>
      </c>
      <c r="BH40" s="39" t="str">
        <f t="shared" si="46"/>
        <v/>
      </c>
      <c r="BI40" s="11" t="str">
        <f t="shared" si="47"/>
        <v/>
      </c>
      <c r="BJ40" s="11" t="str">
        <f>IF($X40=0,"",IF($Q40&lt;&gt;"",$Q40,NEC_UNIDAD($W40,$E40,$Y40,$Z40,N($AT40),$C$7,OCUPACION)))</f>
        <v/>
      </c>
      <c r="BK40" s="11" t="str">
        <f>IF($X40=0,"",IF(N($R40)&gt;0,$R40,BREAKER_SEL($BX$60,$BI40,$AT40,$C$7,$BX$58,$BX$69,$BJ40)))</f>
        <v/>
      </c>
      <c r="BL40" s="11" t="str">
        <f>IF($BK40="","",BREAKER_REF($BX$60,$BK40,$BI40,$AT40,FALSE))</f>
        <v/>
      </c>
      <c r="BM40" s="11" t="str">
        <f>IF($BK40="","",BREAKER_DATO($BX$60,$BK40,"sccr"))</f>
        <v/>
      </c>
      <c r="BN40" s="11" t="str">
        <f>IF(OR($BK40="",N($BM40)&gt;=$BX$58,$BX$71="",N($BX$74)&lt;$BX$58),"",SERIE_KA($BX$60,BREAKER_DATO($BX$60,$BK40,"modelo"),$BX$72,N($BX$24),$C$7,$BX$58))</f>
        <v/>
      </c>
      <c r="BO40" s="11" t="str">
        <f>IF($BK40="","",BREAKER_DATO($BX$60,$BK40,"unidad"))</f>
        <v/>
      </c>
      <c r="BP40" s="11" t="str">
        <f>IF($BK40="","",BREAKER_DATO($BX$60,$BK40,"marco"))</f>
        <v/>
      </c>
      <c r="BQ40" s="11" t="str">
        <f t="shared" si="48"/>
        <v/>
      </c>
      <c r="BR40" s="11" t="str">
        <f t="shared" si="49"/>
        <v/>
      </c>
      <c r="BS40" s="11" t="str">
        <f t="shared" si="50"/>
        <v/>
      </c>
      <c r="BT40" s="11" t="str">
        <f t="shared" si="51"/>
        <v/>
      </c>
      <c r="BU40" s="11" t="str">
        <f t="shared" si="52"/>
        <v/>
      </c>
      <c r="BW40" t="s">
        <v>61</v>
      </c>
      <c r="BX40">
        <f>IF(AND($I$14="SI",N($I$24)&gt;0),N($I$24)+N($I$23),N($C$12))</f>
        <v>10</v>
      </c>
      <c r="CA40" s="11" t="str">
        <f t="shared" si="53"/>
        <v/>
      </c>
      <c r="CB40" s="11" t="str">
        <f t="shared" si="54"/>
        <v/>
      </c>
    </row>
    <row r="41" spans="1:80" ht="14.65" x14ac:dyDescent="0.45">
      <c r="A41" s="37"/>
      <c r="B41" s="14">
        <v>33</v>
      </c>
      <c r="C41" s="37"/>
      <c r="D41" s="37"/>
      <c r="E41" s="37"/>
      <c r="F41" s="37" t="str">
        <f t="shared" si="0"/>
        <v/>
      </c>
      <c r="G41" s="38"/>
      <c r="H41" s="37"/>
      <c r="I41" s="37" t="str">
        <f t="shared" si="1"/>
        <v/>
      </c>
      <c r="J41" s="37" t="str">
        <f t="shared" si="2"/>
        <v/>
      </c>
      <c r="K41" s="37" t="str">
        <f t="shared" si="3"/>
        <v/>
      </c>
      <c r="L41" s="37" t="str">
        <f t="shared" si="4"/>
        <v/>
      </c>
      <c r="M41" s="37" t="str">
        <f t="shared" si="5"/>
        <v/>
      </c>
      <c r="N41" s="37" t="str">
        <f t="shared" si="6"/>
        <v/>
      </c>
      <c r="O41" s="37" t="str">
        <f t="shared" si="7"/>
        <v/>
      </c>
      <c r="P41" s="37" t="str">
        <f t="shared" si="8"/>
        <v/>
      </c>
      <c r="Q41" s="37" t="str">
        <f>IF($X41=0,"",NEC_UNIDAD($W41,$E41,$Y41,$Z41,N($AT41),$C$7,OCUPACION))</f>
        <v/>
      </c>
      <c r="R41" s="37" t="str">
        <f>IF($X41=0,"",BREAKER_SEL($BX$60,$BI41,$AT41,$C$7,$BX$58,$BX$69,$BJ41))</f>
        <v/>
      </c>
      <c r="S41" s="37"/>
      <c r="T41" s="37"/>
      <c r="U41" s="37"/>
      <c r="V41" s="37"/>
      <c r="W41" s="11" t="str">
        <f t="shared" si="9"/>
        <v/>
      </c>
      <c r="X41" s="39">
        <f t="shared" si="10"/>
        <v>0</v>
      </c>
      <c r="Y41" s="11">
        <f t="shared" si="11"/>
        <v>0</v>
      </c>
      <c r="Z41" s="11">
        <f t="shared" si="12"/>
        <v>0</v>
      </c>
      <c r="AA41" s="11">
        <f t="shared" si="13"/>
        <v>0</v>
      </c>
      <c r="AB41" s="11">
        <f t="shared" si="14"/>
        <v>1</v>
      </c>
      <c r="AC41" s="11">
        <f t="shared" si="15"/>
        <v>1</v>
      </c>
      <c r="AD41" s="11">
        <f t="shared" si="16"/>
        <v>1</v>
      </c>
      <c r="AE41" s="11" t="str">
        <f t="shared" si="17"/>
        <v/>
      </c>
      <c r="AF41" s="11">
        <f t="shared" si="18"/>
        <v>1.25</v>
      </c>
      <c r="AG41" s="11">
        <f t="shared" si="19"/>
        <v>1</v>
      </c>
      <c r="AH41" s="11">
        <f t="shared" si="20"/>
        <v>-1</v>
      </c>
      <c r="AI41" s="11">
        <f t="shared" si="21"/>
        <v>-1</v>
      </c>
      <c r="AJ41" s="39">
        <f t="shared" si="22"/>
        <v>0</v>
      </c>
      <c r="AK41" s="39">
        <f t="shared" si="23"/>
        <v>0</v>
      </c>
      <c r="AL41" s="39">
        <f t="shared" si="24"/>
        <v>0</v>
      </c>
      <c r="AM41" s="11">
        <f t="shared" si="25"/>
        <v>0</v>
      </c>
      <c r="AN41" s="11">
        <f t="shared" si="26"/>
        <v>0</v>
      </c>
      <c r="AO41" s="11">
        <f t="shared" si="27"/>
        <v>0</v>
      </c>
      <c r="AP41" s="40">
        <f t="shared" si="28"/>
        <v>0</v>
      </c>
      <c r="AQ41" s="40">
        <f t="shared" si="29"/>
        <v>0</v>
      </c>
      <c r="AR41" s="40">
        <f t="shared" si="30"/>
        <v>0</v>
      </c>
      <c r="AS41" s="40" t="str">
        <f t="shared" si="31"/>
        <v/>
      </c>
      <c r="AT41" s="11" t="str">
        <f t="shared" si="32"/>
        <v/>
      </c>
      <c r="AU41" s="11">
        <f t="shared" si="33"/>
        <v>1</v>
      </c>
      <c r="AV41" s="11">
        <f t="shared" si="34"/>
        <v>1</v>
      </c>
      <c r="AW41" s="11" t="str">
        <f t="shared" si="35"/>
        <v/>
      </c>
      <c r="AX41" s="11" t="str">
        <f t="shared" si="36"/>
        <v/>
      </c>
      <c r="AY41" s="11" t="str">
        <f t="shared" si="37"/>
        <v/>
      </c>
      <c r="AZ41" s="11" t="str">
        <f t="shared" si="38"/>
        <v/>
      </c>
      <c r="BA41" s="11" t="str">
        <f t="shared" si="39"/>
        <v/>
      </c>
      <c r="BB41" s="11" t="str">
        <f t="shared" si="40"/>
        <v/>
      </c>
      <c r="BC41" s="11" t="str">
        <f t="shared" si="41"/>
        <v/>
      </c>
      <c r="BD41" s="11" t="str">
        <f t="shared" si="42"/>
        <v/>
      </c>
      <c r="BE41" s="39" t="str">
        <f t="shared" si="43"/>
        <v/>
      </c>
      <c r="BF41" s="11" t="str">
        <f t="shared" si="44"/>
        <v/>
      </c>
      <c r="BG41" s="11" t="str">
        <f t="shared" si="45"/>
        <v/>
      </c>
      <c r="BH41" s="39" t="str">
        <f t="shared" si="46"/>
        <v/>
      </c>
      <c r="BI41" s="11" t="str">
        <f t="shared" si="47"/>
        <v/>
      </c>
      <c r="BJ41" s="11" t="str">
        <f>IF($X41=0,"",IF($Q41&lt;&gt;"",$Q41,NEC_UNIDAD($W41,$E41,$Y41,$Z41,N($AT41),$C$7,OCUPACION)))</f>
        <v/>
      </c>
      <c r="BK41" s="11" t="str">
        <f>IF($X41=0,"",IF(N($R41)&gt;0,$R41,BREAKER_SEL($BX$60,$BI41,$AT41,$C$7,$BX$58,$BX$69,$BJ41)))</f>
        <v/>
      </c>
      <c r="BL41" s="11" t="str">
        <f>IF($BK41="","",BREAKER_REF($BX$60,$BK41,$BI41,$AT41,FALSE))</f>
        <v/>
      </c>
      <c r="BM41" s="11" t="str">
        <f>IF($BK41="","",BREAKER_DATO($BX$60,$BK41,"sccr"))</f>
        <v/>
      </c>
      <c r="BN41" s="11" t="str">
        <f>IF(OR($BK41="",N($BM41)&gt;=$BX$58,$BX$71="",N($BX$74)&lt;$BX$58),"",SERIE_KA($BX$60,BREAKER_DATO($BX$60,$BK41,"modelo"),$BX$72,N($BX$24),$C$7,$BX$58))</f>
        <v/>
      </c>
      <c r="BO41" s="11" t="str">
        <f>IF($BK41="","",BREAKER_DATO($BX$60,$BK41,"unidad"))</f>
        <v/>
      </c>
      <c r="BP41" s="11" t="str">
        <f>IF($BK41="","",BREAKER_DATO($BX$60,$BK41,"marco"))</f>
        <v/>
      </c>
      <c r="BQ41" s="11" t="str">
        <f t="shared" si="48"/>
        <v/>
      </c>
      <c r="BR41" s="11" t="str">
        <f t="shared" si="49"/>
        <v/>
      </c>
      <c r="BS41" s="11" t="str">
        <f t="shared" si="50"/>
        <v/>
      </c>
      <c r="BT41" s="11" t="str">
        <f t="shared" si="51"/>
        <v/>
      </c>
      <c r="BU41" s="11" t="str">
        <f t="shared" si="52"/>
        <v/>
      </c>
      <c r="BW41" t="s">
        <v>760</v>
      </c>
      <c r="BX41" t="str">
        <f>IF($I$3="SI",IFERROR(BX14/$I$4,0),"")</f>
        <v/>
      </c>
      <c r="CA41" s="11" t="str">
        <f t="shared" si="53"/>
        <v/>
      </c>
      <c r="CB41" s="11" t="str">
        <f t="shared" si="54"/>
        <v/>
      </c>
    </row>
    <row r="42" spans="1:80" ht="14.65" x14ac:dyDescent="0.45">
      <c r="A42" s="37"/>
      <c r="B42" s="14">
        <v>35</v>
      </c>
      <c r="C42" s="37"/>
      <c r="D42" s="37"/>
      <c r="E42" s="37"/>
      <c r="F42" s="37" t="str">
        <f t="shared" si="0"/>
        <v/>
      </c>
      <c r="G42" s="38"/>
      <c r="H42" s="37"/>
      <c r="I42" s="37" t="str">
        <f t="shared" si="1"/>
        <v/>
      </c>
      <c r="J42" s="37" t="str">
        <f t="shared" si="2"/>
        <v/>
      </c>
      <c r="K42" s="37" t="str">
        <f t="shared" si="3"/>
        <v/>
      </c>
      <c r="L42" s="37" t="str">
        <f t="shared" si="4"/>
        <v/>
      </c>
      <c r="M42" s="37" t="str">
        <f t="shared" si="5"/>
        <v/>
      </c>
      <c r="N42" s="37" t="str">
        <f t="shared" si="6"/>
        <v/>
      </c>
      <c r="O42" s="37" t="str">
        <f t="shared" si="7"/>
        <v/>
      </c>
      <c r="P42" s="37" t="str">
        <f t="shared" si="8"/>
        <v/>
      </c>
      <c r="Q42" s="37" t="str">
        <f>IF($X42=0,"",NEC_UNIDAD($W42,$E42,$Y42,$Z42,N($AT42),$C$7,OCUPACION))</f>
        <v/>
      </c>
      <c r="R42" s="37" t="str">
        <f>IF($X42=0,"",BREAKER_SEL($BX$60,$BI42,$AT42,$C$7,$BX$58,$BX$69,$BJ42))</f>
        <v/>
      </c>
      <c r="S42" s="37"/>
      <c r="T42" s="37"/>
      <c r="U42" s="37"/>
      <c r="V42" s="37"/>
      <c r="W42" s="11" t="str">
        <f t="shared" si="9"/>
        <v/>
      </c>
      <c r="X42" s="39">
        <f t="shared" si="10"/>
        <v>0</v>
      </c>
      <c r="Y42" s="11">
        <f t="shared" si="11"/>
        <v>0</v>
      </c>
      <c r="Z42" s="11">
        <f t="shared" si="12"/>
        <v>0</v>
      </c>
      <c r="AA42" s="11">
        <f t="shared" si="13"/>
        <v>0</v>
      </c>
      <c r="AB42" s="11">
        <f t="shared" si="14"/>
        <v>1</v>
      </c>
      <c r="AC42" s="11">
        <f t="shared" si="15"/>
        <v>1</v>
      </c>
      <c r="AD42" s="11">
        <f t="shared" si="16"/>
        <v>1</v>
      </c>
      <c r="AE42" s="11" t="str">
        <f t="shared" si="17"/>
        <v/>
      </c>
      <c r="AF42" s="11">
        <f t="shared" si="18"/>
        <v>1.25</v>
      </c>
      <c r="AG42" s="11">
        <f t="shared" si="19"/>
        <v>2</v>
      </c>
      <c r="AH42" s="11">
        <f t="shared" si="20"/>
        <v>-1</v>
      </c>
      <c r="AI42" s="11">
        <f t="shared" si="21"/>
        <v>-1</v>
      </c>
      <c r="AJ42" s="39">
        <f t="shared" si="22"/>
        <v>0</v>
      </c>
      <c r="AK42" s="39">
        <f t="shared" si="23"/>
        <v>0</v>
      </c>
      <c r="AL42" s="39">
        <f t="shared" si="24"/>
        <v>0</v>
      </c>
      <c r="AM42" s="11">
        <f t="shared" si="25"/>
        <v>0</v>
      </c>
      <c r="AN42" s="11">
        <f t="shared" si="26"/>
        <v>0</v>
      </c>
      <c r="AO42" s="11">
        <f t="shared" si="27"/>
        <v>0</v>
      </c>
      <c r="AP42" s="40">
        <f t="shared" si="28"/>
        <v>0</v>
      </c>
      <c r="AQ42" s="40">
        <f t="shared" si="29"/>
        <v>0</v>
      </c>
      <c r="AR42" s="40">
        <f t="shared" si="30"/>
        <v>0</v>
      </c>
      <c r="AS42" s="40" t="str">
        <f t="shared" si="31"/>
        <v/>
      </c>
      <c r="AT42" s="11" t="str">
        <f t="shared" si="32"/>
        <v/>
      </c>
      <c r="AU42" s="11">
        <f t="shared" si="33"/>
        <v>1</v>
      </c>
      <c r="AV42" s="11">
        <f t="shared" si="34"/>
        <v>1</v>
      </c>
      <c r="AW42" s="11" t="str">
        <f t="shared" si="35"/>
        <v/>
      </c>
      <c r="AX42" s="11" t="str">
        <f t="shared" si="36"/>
        <v/>
      </c>
      <c r="AY42" s="11" t="str">
        <f t="shared" si="37"/>
        <v/>
      </c>
      <c r="AZ42" s="11" t="str">
        <f t="shared" si="38"/>
        <v/>
      </c>
      <c r="BA42" s="11" t="str">
        <f t="shared" si="39"/>
        <v/>
      </c>
      <c r="BB42" s="11" t="str">
        <f t="shared" si="40"/>
        <v/>
      </c>
      <c r="BC42" s="11" t="str">
        <f t="shared" si="41"/>
        <v/>
      </c>
      <c r="BD42" s="11" t="str">
        <f t="shared" si="42"/>
        <v/>
      </c>
      <c r="BE42" s="39" t="str">
        <f t="shared" si="43"/>
        <v/>
      </c>
      <c r="BF42" s="11" t="str">
        <f t="shared" si="44"/>
        <v/>
      </c>
      <c r="BG42" s="11" t="str">
        <f t="shared" si="45"/>
        <v/>
      </c>
      <c r="BH42" s="39" t="str">
        <f t="shared" si="46"/>
        <v/>
      </c>
      <c r="BI42" s="11" t="str">
        <f t="shared" si="47"/>
        <v/>
      </c>
      <c r="BJ42" s="11" t="str">
        <f>IF($X42=0,"",IF($Q42&lt;&gt;"",$Q42,NEC_UNIDAD($W42,$E42,$Y42,$Z42,N($AT42),$C$7,OCUPACION)))</f>
        <v/>
      </c>
      <c r="BK42" s="11" t="str">
        <f>IF($X42=0,"",IF(N($R42)&gt;0,$R42,BREAKER_SEL($BX$60,$BI42,$AT42,$C$7,$BX$58,$BX$69,$BJ42)))</f>
        <v/>
      </c>
      <c r="BL42" s="11" t="str">
        <f>IF($BK42="","",BREAKER_REF($BX$60,$BK42,$BI42,$AT42,FALSE))</f>
        <v/>
      </c>
      <c r="BM42" s="11" t="str">
        <f>IF($BK42="","",BREAKER_DATO($BX$60,$BK42,"sccr"))</f>
        <v/>
      </c>
      <c r="BN42" s="11" t="str">
        <f>IF(OR($BK42="",N($BM42)&gt;=$BX$58,$BX$71="",N($BX$74)&lt;$BX$58),"",SERIE_KA($BX$60,BREAKER_DATO($BX$60,$BK42,"modelo"),$BX$72,N($BX$24),$C$7,$BX$58))</f>
        <v/>
      </c>
      <c r="BO42" s="11" t="str">
        <f>IF($BK42="","",BREAKER_DATO($BX$60,$BK42,"unidad"))</f>
        <v/>
      </c>
      <c r="BP42" s="11" t="str">
        <f>IF($BK42="","",BREAKER_DATO($BX$60,$BK42,"marco"))</f>
        <v/>
      </c>
      <c r="BQ42" s="11" t="str">
        <f t="shared" si="48"/>
        <v/>
      </c>
      <c r="BR42" s="11" t="str">
        <f t="shared" si="49"/>
        <v/>
      </c>
      <c r="BS42" s="11" t="str">
        <f t="shared" si="50"/>
        <v/>
      </c>
      <c r="BT42" s="11" t="str">
        <f t="shared" si="51"/>
        <v/>
      </c>
      <c r="BU42" s="11" t="str">
        <f t="shared" si="52"/>
        <v/>
      </c>
      <c r="BW42" t="s">
        <v>761</v>
      </c>
      <c r="BX42">
        <f>IF($I$3="SI",IFERROR(BX41*($I$5/SQRT(1+IF(N($I$6)&gt;0,$I$6,4)^2))*(BX15+IF(N($I$6)&gt;0,$I$6,4)*SQRT(1-BX15^2)),0),0)</f>
        <v>0</v>
      </c>
      <c r="CA42" s="11" t="str">
        <f t="shared" si="53"/>
        <v/>
      </c>
      <c r="CB42" s="11" t="str">
        <f t="shared" si="54"/>
        <v/>
      </c>
    </row>
    <row r="43" spans="1:80" ht="14.65" x14ac:dyDescent="0.45">
      <c r="A43" s="37"/>
      <c r="B43" s="14">
        <v>37</v>
      </c>
      <c r="C43" s="37"/>
      <c r="D43" s="37"/>
      <c r="E43" s="37"/>
      <c r="F43" s="37" t="str">
        <f t="shared" si="0"/>
        <v/>
      </c>
      <c r="G43" s="38"/>
      <c r="H43" s="37"/>
      <c r="I43" s="37" t="str">
        <f t="shared" si="1"/>
        <v/>
      </c>
      <c r="J43" s="37" t="str">
        <f t="shared" si="2"/>
        <v/>
      </c>
      <c r="K43" s="37" t="str">
        <f t="shared" si="3"/>
        <v/>
      </c>
      <c r="L43" s="37" t="str">
        <f t="shared" si="4"/>
        <v/>
      </c>
      <c r="M43" s="37" t="str">
        <f t="shared" si="5"/>
        <v/>
      </c>
      <c r="N43" s="37" t="str">
        <f t="shared" si="6"/>
        <v/>
      </c>
      <c r="O43" s="37" t="str">
        <f t="shared" si="7"/>
        <v/>
      </c>
      <c r="P43" s="37" t="str">
        <f t="shared" si="8"/>
        <v/>
      </c>
      <c r="Q43" s="37" t="str">
        <f>IF($X43=0,"",NEC_UNIDAD($W43,$E43,$Y43,$Z43,N($AT43),$C$7,OCUPACION))</f>
        <v/>
      </c>
      <c r="R43" s="37" t="str">
        <f>IF($X43=0,"",BREAKER_SEL($BX$60,$BI43,$AT43,$C$7,$BX$58,$BX$69,$BJ43))</f>
        <v/>
      </c>
      <c r="S43" s="37"/>
      <c r="T43" s="37"/>
      <c r="U43" s="37"/>
      <c r="V43" s="37"/>
      <c r="W43" s="11" t="str">
        <f t="shared" si="9"/>
        <v/>
      </c>
      <c r="X43" s="39">
        <f t="shared" si="10"/>
        <v>0</v>
      </c>
      <c r="Y43" s="11">
        <f t="shared" si="11"/>
        <v>0</v>
      </c>
      <c r="Z43" s="11">
        <f t="shared" si="12"/>
        <v>0</v>
      </c>
      <c r="AA43" s="11">
        <f t="shared" si="13"/>
        <v>0</v>
      </c>
      <c r="AB43" s="11">
        <f t="shared" si="14"/>
        <v>1</v>
      </c>
      <c r="AC43" s="11">
        <f t="shared" si="15"/>
        <v>1</v>
      </c>
      <c r="AD43" s="11">
        <f t="shared" si="16"/>
        <v>1</v>
      </c>
      <c r="AE43" s="11" t="str">
        <f t="shared" si="17"/>
        <v/>
      </c>
      <c r="AF43" s="11">
        <f t="shared" si="18"/>
        <v>1.25</v>
      </c>
      <c r="AG43" s="11">
        <f t="shared" si="19"/>
        <v>0</v>
      </c>
      <c r="AH43" s="11">
        <f t="shared" si="20"/>
        <v>-1</v>
      </c>
      <c r="AI43" s="11">
        <f t="shared" si="21"/>
        <v>-1</v>
      </c>
      <c r="AJ43" s="39">
        <f t="shared" si="22"/>
        <v>0</v>
      </c>
      <c r="AK43" s="39">
        <f t="shared" si="23"/>
        <v>0</v>
      </c>
      <c r="AL43" s="39">
        <f t="shared" si="24"/>
        <v>0</v>
      </c>
      <c r="AM43" s="11">
        <f t="shared" si="25"/>
        <v>0</v>
      </c>
      <c r="AN43" s="11">
        <f t="shared" si="26"/>
        <v>0</v>
      </c>
      <c r="AO43" s="11">
        <f t="shared" si="27"/>
        <v>0</v>
      </c>
      <c r="AP43" s="40">
        <f t="shared" si="28"/>
        <v>0</v>
      </c>
      <c r="AQ43" s="40">
        <f t="shared" si="29"/>
        <v>0</v>
      </c>
      <c r="AR43" s="40">
        <f t="shared" si="30"/>
        <v>0</v>
      </c>
      <c r="AS43" s="40" t="str">
        <f t="shared" si="31"/>
        <v/>
      </c>
      <c r="AT43" s="11" t="str">
        <f t="shared" si="32"/>
        <v/>
      </c>
      <c r="AU43" s="11">
        <f t="shared" si="33"/>
        <v>1</v>
      </c>
      <c r="AV43" s="11">
        <f t="shared" si="34"/>
        <v>1</v>
      </c>
      <c r="AW43" s="11" t="str">
        <f t="shared" si="35"/>
        <v/>
      </c>
      <c r="AX43" s="11" t="str">
        <f t="shared" si="36"/>
        <v/>
      </c>
      <c r="AY43" s="11" t="str">
        <f t="shared" si="37"/>
        <v/>
      </c>
      <c r="AZ43" s="11" t="str">
        <f t="shared" si="38"/>
        <v/>
      </c>
      <c r="BA43" s="11" t="str">
        <f t="shared" si="39"/>
        <v/>
      </c>
      <c r="BB43" s="11" t="str">
        <f t="shared" si="40"/>
        <v/>
      </c>
      <c r="BC43" s="11" t="str">
        <f t="shared" si="41"/>
        <v/>
      </c>
      <c r="BD43" s="11" t="str">
        <f t="shared" si="42"/>
        <v/>
      </c>
      <c r="BE43" s="39" t="str">
        <f t="shared" si="43"/>
        <v/>
      </c>
      <c r="BF43" s="11" t="str">
        <f t="shared" si="44"/>
        <v/>
      </c>
      <c r="BG43" s="11" t="str">
        <f t="shared" si="45"/>
        <v/>
      </c>
      <c r="BH43" s="39" t="str">
        <f t="shared" si="46"/>
        <v/>
      </c>
      <c r="BI43" s="11" t="str">
        <f t="shared" si="47"/>
        <v/>
      </c>
      <c r="BJ43" s="11" t="str">
        <f>IF($X43=0,"",IF($Q43&lt;&gt;"",$Q43,NEC_UNIDAD($W43,$E43,$Y43,$Z43,N($AT43),$C$7,OCUPACION)))</f>
        <v/>
      </c>
      <c r="BK43" s="11" t="str">
        <f>IF($X43=0,"",IF(N($R43)&gt;0,$R43,BREAKER_SEL($BX$60,$BI43,$AT43,$C$7,$BX$58,$BX$69,$BJ43)))</f>
        <v/>
      </c>
      <c r="BL43" s="11" t="str">
        <f>IF($BK43="","",BREAKER_REF($BX$60,$BK43,$BI43,$AT43,FALSE))</f>
        <v/>
      </c>
      <c r="BM43" s="11" t="str">
        <f>IF($BK43="","",BREAKER_DATO($BX$60,$BK43,"sccr"))</f>
        <v/>
      </c>
      <c r="BN43" s="11" t="str">
        <f>IF(OR($BK43="",N($BM43)&gt;=$BX$58,$BX$71="",N($BX$74)&lt;$BX$58),"",SERIE_KA($BX$60,BREAKER_DATO($BX$60,$BK43,"modelo"),$BX$72,N($BX$24),$C$7,$BX$58))</f>
        <v/>
      </c>
      <c r="BO43" s="11" t="str">
        <f>IF($BK43="","",BREAKER_DATO($BX$60,$BK43,"unidad"))</f>
        <v/>
      </c>
      <c r="BP43" s="11" t="str">
        <f>IF($BK43="","",BREAKER_DATO($BX$60,$BK43,"marco"))</f>
        <v/>
      </c>
      <c r="BQ43" s="11" t="str">
        <f t="shared" si="48"/>
        <v/>
      </c>
      <c r="BR43" s="11" t="str">
        <f t="shared" si="49"/>
        <v/>
      </c>
      <c r="BS43" s="11" t="str">
        <f t="shared" si="50"/>
        <v/>
      </c>
      <c r="BT43" s="11" t="str">
        <f t="shared" si="51"/>
        <v/>
      </c>
      <c r="BU43" s="11" t="str">
        <f t="shared" si="52"/>
        <v/>
      </c>
      <c r="BW43" t="s">
        <v>762</v>
      </c>
      <c r="BX43">
        <f>$C$10</f>
        <v>0</v>
      </c>
      <c r="CA43" s="11" t="str">
        <f t="shared" si="53"/>
        <v/>
      </c>
      <c r="CB43" s="11" t="str">
        <f t="shared" si="54"/>
        <v/>
      </c>
    </row>
    <row r="44" spans="1:80" ht="14.65" x14ac:dyDescent="0.45">
      <c r="A44" s="37"/>
      <c r="B44" s="14">
        <v>39</v>
      </c>
      <c r="C44" s="37"/>
      <c r="D44" s="37"/>
      <c r="E44" s="37"/>
      <c r="F44" s="37" t="str">
        <f t="shared" si="0"/>
        <v/>
      </c>
      <c r="G44" s="38"/>
      <c r="H44" s="37"/>
      <c r="I44" s="37" t="str">
        <f t="shared" si="1"/>
        <v/>
      </c>
      <c r="J44" s="37" t="str">
        <f t="shared" si="2"/>
        <v/>
      </c>
      <c r="K44" s="37" t="str">
        <f t="shared" si="3"/>
        <v/>
      </c>
      <c r="L44" s="37" t="str">
        <f t="shared" si="4"/>
        <v/>
      </c>
      <c r="M44" s="37" t="str">
        <f t="shared" si="5"/>
        <v/>
      </c>
      <c r="N44" s="37" t="str">
        <f t="shared" si="6"/>
        <v/>
      </c>
      <c r="O44" s="37" t="str">
        <f t="shared" si="7"/>
        <v/>
      </c>
      <c r="P44" s="37" t="str">
        <f t="shared" si="8"/>
        <v/>
      </c>
      <c r="Q44" s="37" t="str">
        <f>IF($X44=0,"",NEC_UNIDAD($W44,$E44,$Y44,$Z44,N($AT44),$C$7,OCUPACION))</f>
        <v/>
      </c>
      <c r="R44" s="37" t="str">
        <f>IF($X44=0,"",BREAKER_SEL($BX$60,$BI44,$AT44,$C$7,$BX$58,$BX$69,$BJ44))</f>
        <v/>
      </c>
      <c r="S44" s="37"/>
      <c r="T44" s="37"/>
      <c r="U44" s="37"/>
      <c r="V44" s="37"/>
      <c r="W44" s="11" t="str">
        <f t="shared" si="9"/>
        <v/>
      </c>
      <c r="X44" s="39">
        <f t="shared" si="10"/>
        <v>0</v>
      </c>
      <c r="Y44" s="11">
        <f t="shared" si="11"/>
        <v>0</v>
      </c>
      <c r="Z44" s="11">
        <f t="shared" si="12"/>
        <v>0</v>
      </c>
      <c r="AA44" s="11">
        <f t="shared" si="13"/>
        <v>0</v>
      </c>
      <c r="AB44" s="11">
        <f t="shared" si="14"/>
        <v>1</v>
      </c>
      <c r="AC44" s="11">
        <f t="shared" si="15"/>
        <v>1</v>
      </c>
      <c r="AD44" s="11">
        <f t="shared" si="16"/>
        <v>1</v>
      </c>
      <c r="AE44" s="11" t="str">
        <f t="shared" si="17"/>
        <v/>
      </c>
      <c r="AF44" s="11">
        <f t="shared" si="18"/>
        <v>1.25</v>
      </c>
      <c r="AG44" s="11">
        <f t="shared" si="19"/>
        <v>1</v>
      </c>
      <c r="AH44" s="11">
        <f t="shared" si="20"/>
        <v>-1</v>
      </c>
      <c r="AI44" s="11">
        <f t="shared" si="21"/>
        <v>-1</v>
      </c>
      <c r="AJ44" s="39">
        <f t="shared" si="22"/>
        <v>0</v>
      </c>
      <c r="AK44" s="39">
        <f t="shared" si="23"/>
        <v>0</v>
      </c>
      <c r="AL44" s="39">
        <f t="shared" si="24"/>
        <v>0</v>
      </c>
      <c r="AM44" s="11">
        <f t="shared" si="25"/>
        <v>0</v>
      </c>
      <c r="AN44" s="11">
        <f t="shared" si="26"/>
        <v>0</v>
      </c>
      <c r="AO44" s="11">
        <f t="shared" si="27"/>
        <v>0</v>
      </c>
      <c r="AP44" s="40">
        <f t="shared" si="28"/>
        <v>0</v>
      </c>
      <c r="AQ44" s="40">
        <f t="shared" si="29"/>
        <v>0</v>
      </c>
      <c r="AR44" s="40">
        <f t="shared" si="30"/>
        <v>0</v>
      </c>
      <c r="AS44" s="40" t="str">
        <f t="shared" si="31"/>
        <v/>
      </c>
      <c r="AT44" s="11" t="str">
        <f t="shared" si="32"/>
        <v/>
      </c>
      <c r="AU44" s="11">
        <f t="shared" si="33"/>
        <v>1</v>
      </c>
      <c r="AV44" s="11">
        <f t="shared" si="34"/>
        <v>1</v>
      </c>
      <c r="AW44" s="11" t="str">
        <f t="shared" si="35"/>
        <v/>
      </c>
      <c r="AX44" s="11" t="str">
        <f t="shared" si="36"/>
        <v/>
      </c>
      <c r="AY44" s="11" t="str">
        <f t="shared" si="37"/>
        <v/>
      </c>
      <c r="AZ44" s="11" t="str">
        <f t="shared" si="38"/>
        <v/>
      </c>
      <c r="BA44" s="11" t="str">
        <f t="shared" si="39"/>
        <v/>
      </c>
      <c r="BB44" s="11" t="str">
        <f t="shared" si="40"/>
        <v/>
      </c>
      <c r="BC44" s="11" t="str">
        <f t="shared" si="41"/>
        <v/>
      </c>
      <c r="BD44" s="11" t="str">
        <f t="shared" si="42"/>
        <v/>
      </c>
      <c r="BE44" s="39" t="str">
        <f t="shared" si="43"/>
        <v/>
      </c>
      <c r="BF44" s="11" t="str">
        <f t="shared" si="44"/>
        <v/>
      </c>
      <c r="BG44" s="11" t="str">
        <f t="shared" si="45"/>
        <v/>
      </c>
      <c r="BH44" s="39" t="str">
        <f t="shared" si="46"/>
        <v/>
      </c>
      <c r="BI44" s="11" t="str">
        <f t="shared" si="47"/>
        <v/>
      </c>
      <c r="BJ44" s="11" t="str">
        <f>IF($X44=0,"",IF($Q44&lt;&gt;"",$Q44,NEC_UNIDAD($W44,$E44,$Y44,$Z44,N($AT44),$C$7,OCUPACION)))</f>
        <v/>
      </c>
      <c r="BK44" s="11" t="str">
        <f>IF($X44=0,"",IF(N($R44)&gt;0,$R44,BREAKER_SEL($BX$60,$BI44,$AT44,$C$7,$BX$58,$BX$69,$BJ44)))</f>
        <v/>
      </c>
      <c r="BL44" s="11" t="str">
        <f>IF($BK44="","",BREAKER_REF($BX$60,$BK44,$BI44,$AT44,FALSE))</f>
        <v/>
      </c>
      <c r="BM44" s="11" t="str">
        <f>IF($BK44="","",BREAKER_DATO($BX$60,$BK44,"sccr"))</f>
        <v/>
      </c>
      <c r="BN44" s="11" t="str">
        <f>IF(OR($BK44="",N($BM44)&gt;=$BX$58,$BX$71="",N($BX$74)&lt;$BX$58),"",SERIE_KA($BX$60,BREAKER_DATO($BX$60,$BK44,"modelo"),$BX$72,N($BX$24),$C$7,$BX$58))</f>
        <v/>
      </c>
      <c r="BO44" s="11" t="str">
        <f>IF($BK44="","",BREAKER_DATO($BX$60,$BK44,"unidad"))</f>
        <v/>
      </c>
      <c r="BP44" s="11" t="str">
        <f>IF($BK44="","",BREAKER_DATO($BX$60,$BK44,"marco"))</f>
        <v/>
      </c>
      <c r="BQ44" s="11" t="str">
        <f t="shared" si="48"/>
        <v/>
      </c>
      <c r="BR44" s="11" t="str">
        <f t="shared" si="49"/>
        <v/>
      </c>
      <c r="BS44" s="11" t="str">
        <f t="shared" si="50"/>
        <v/>
      </c>
      <c r="BT44" s="11" t="str">
        <f t="shared" si="51"/>
        <v/>
      </c>
      <c r="BU44" s="11" t="str">
        <f t="shared" si="52"/>
        <v/>
      </c>
      <c r="BW44" t="s">
        <v>763</v>
      </c>
      <c r="BX44" t="str">
        <f>IF($C$10="","",N(BX105))</f>
        <v/>
      </c>
      <c r="CA44" s="11" t="str">
        <f t="shared" si="53"/>
        <v/>
      </c>
      <c r="CB44" s="11" t="str">
        <f t="shared" si="54"/>
        <v/>
      </c>
    </row>
    <row r="45" spans="1:80" ht="14.65" x14ac:dyDescent="0.45">
      <c r="A45" s="37"/>
      <c r="B45" s="14">
        <v>41</v>
      </c>
      <c r="C45" s="37"/>
      <c r="D45" s="37"/>
      <c r="E45" s="37"/>
      <c r="F45" s="37" t="str">
        <f t="shared" si="0"/>
        <v/>
      </c>
      <c r="G45" s="38"/>
      <c r="H45" s="37"/>
      <c r="I45" s="37" t="str">
        <f t="shared" si="1"/>
        <v/>
      </c>
      <c r="J45" s="37" t="str">
        <f t="shared" si="2"/>
        <v/>
      </c>
      <c r="K45" s="37" t="str">
        <f t="shared" si="3"/>
        <v/>
      </c>
      <c r="L45" s="37" t="str">
        <f t="shared" si="4"/>
        <v/>
      </c>
      <c r="M45" s="37" t="str">
        <f t="shared" si="5"/>
        <v/>
      </c>
      <c r="N45" s="37" t="str">
        <f t="shared" si="6"/>
        <v/>
      </c>
      <c r="O45" s="37" t="str">
        <f t="shared" si="7"/>
        <v/>
      </c>
      <c r="P45" s="37" t="str">
        <f t="shared" si="8"/>
        <v/>
      </c>
      <c r="Q45" s="37" t="str">
        <f>IF($X45=0,"",NEC_UNIDAD($W45,$E45,$Y45,$Z45,N($AT45),$C$7,OCUPACION))</f>
        <v/>
      </c>
      <c r="R45" s="37" t="str">
        <f>IF($X45=0,"",BREAKER_SEL($BX$60,$BI45,$AT45,$C$7,$BX$58,$BX$69,$BJ45))</f>
        <v/>
      </c>
      <c r="S45" s="37"/>
      <c r="T45" s="37"/>
      <c r="U45" s="37"/>
      <c r="V45" s="37"/>
      <c r="W45" s="11" t="str">
        <f t="shared" si="9"/>
        <v/>
      </c>
      <c r="X45" s="39">
        <f t="shared" si="10"/>
        <v>0</v>
      </c>
      <c r="Y45" s="11">
        <f t="shared" si="11"/>
        <v>0</v>
      </c>
      <c r="Z45" s="11">
        <f t="shared" si="12"/>
        <v>0</v>
      </c>
      <c r="AA45" s="11">
        <f t="shared" si="13"/>
        <v>0</v>
      </c>
      <c r="AB45" s="11">
        <f t="shared" si="14"/>
        <v>1</v>
      </c>
      <c r="AC45" s="11">
        <f t="shared" si="15"/>
        <v>1</v>
      </c>
      <c r="AD45" s="11">
        <f t="shared" si="16"/>
        <v>1</v>
      </c>
      <c r="AE45" s="11" t="str">
        <f t="shared" si="17"/>
        <v/>
      </c>
      <c r="AF45" s="11">
        <f t="shared" si="18"/>
        <v>1.25</v>
      </c>
      <c r="AG45" s="11">
        <f t="shared" si="19"/>
        <v>2</v>
      </c>
      <c r="AH45" s="11">
        <f t="shared" si="20"/>
        <v>-1</v>
      </c>
      <c r="AI45" s="11">
        <f t="shared" si="21"/>
        <v>-1</v>
      </c>
      <c r="AJ45" s="39">
        <f t="shared" si="22"/>
        <v>0</v>
      </c>
      <c r="AK45" s="39">
        <f t="shared" si="23"/>
        <v>0</v>
      </c>
      <c r="AL45" s="39">
        <f t="shared" si="24"/>
        <v>0</v>
      </c>
      <c r="AM45" s="11">
        <f t="shared" si="25"/>
        <v>0</v>
      </c>
      <c r="AN45" s="11">
        <f t="shared" si="26"/>
        <v>0</v>
      </c>
      <c r="AO45" s="11">
        <f t="shared" si="27"/>
        <v>0</v>
      </c>
      <c r="AP45" s="40">
        <f t="shared" si="28"/>
        <v>0</v>
      </c>
      <c r="AQ45" s="40">
        <f t="shared" si="29"/>
        <v>0</v>
      </c>
      <c r="AR45" s="40">
        <f t="shared" si="30"/>
        <v>0</v>
      </c>
      <c r="AS45" s="40" t="str">
        <f t="shared" si="31"/>
        <v/>
      </c>
      <c r="AT45" s="11" t="str">
        <f t="shared" si="32"/>
        <v/>
      </c>
      <c r="AU45" s="11">
        <f t="shared" si="33"/>
        <v>1</v>
      </c>
      <c r="AV45" s="11">
        <f t="shared" si="34"/>
        <v>1</v>
      </c>
      <c r="AW45" s="11" t="str">
        <f t="shared" si="35"/>
        <v/>
      </c>
      <c r="AX45" s="11" t="str">
        <f t="shared" si="36"/>
        <v/>
      </c>
      <c r="AY45" s="11" t="str">
        <f t="shared" si="37"/>
        <v/>
      </c>
      <c r="AZ45" s="11" t="str">
        <f t="shared" si="38"/>
        <v/>
      </c>
      <c r="BA45" s="11" t="str">
        <f t="shared" si="39"/>
        <v/>
      </c>
      <c r="BB45" s="11" t="str">
        <f t="shared" si="40"/>
        <v/>
      </c>
      <c r="BC45" s="11" t="str">
        <f t="shared" si="41"/>
        <v/>
      </c>
      <c r="BD45" s="11" t="str">
        <f t="shared" si="42"/>
        <v/>
      </c>
      <c r="BE45" s="39" t="str">
        <f t="shared" si="43"/>
        <v/>
      </c>
      <c r="BF45" s="11" t="str">
        <f t="shared" si="44"/>
        <v/>
      </c>
      <c r="BG45" s="11" t="str">
        <f t="shared" si="45"/>
        <v/>
      </c>
      <c r="BH45" s="39" t="str">
        <f t="shared" si="46"/>
        <v/>
      </c>
      <c r="BI45" s="11" t="str">
        <f t="shared" si="47"/>
        <v/>
      </c>
      <c r="BJ45" s="11" t="str">
        <f>IF($X45=0,"",IF($Q45&lt;&gt;"",$Q45,NEC_UNIDAD($W45,$E45,$Y45,$Z45,N($AT45),$C$7,OCUPACION)))</f>
        <v/>
      </c>
      <c r="BK45" s="11" t="str">
        <f>IF($X45=0,"",IF(N($R45)&gt;0,$R45,BREAKER_SEL($BX$60,$BI45,$AT45,$C$7,$BX$58,$BX$69,$BJ45)))</f>
        <v/>
      </c>
      <c r="BL45" s="11" t="str">
        <f>IF($BK45="","",BREAKER_REF($BX$60,$BK45,$BI45,$AT45,FALSE))</f>
        <v/>
      </c>
      <c r="BM45" s="11" t="str">
        <f>IF($BK45="","",BREAKER_DATO($BX$60,$BK45,"sccr"))</f>
        <v/>
      </c>
      <c r="BN45" s="11" t="str">
        <f>IF(OR($BK45="",N($BM45)&gt;=$BX$58,$BX$71="",N($BX$74)&lt;$BX$58),"",SERIE_KA($BX$60,BREAKER_DATO($BX$60,$BK45,"modelo"),$BX$72,N($BX$24),$C$7,$BX$58))</f>
        <v/>
      </c>
      <c r="BO45" s="11" t="str">
        <f>IF($BK45="","",BREAKER_DATO($BX$60,$BK45,"unidad"))</f>
        <v/>
      </c>
      <c r="BP45" s="11" t="str">
        <f>IF($BK45="","",BREAKER_DATO($BX$60,$BK45,"marco"))</f>
        <v/>
      </c>
      <c r="BQ45" s="11" t="str">
        <f t="shared" si="48"/>
        <v/>
      </c>
      <c r="BR45" s="11" t="str">
        <f t="shared" si="49"/>
        <v/>
      </c>
      <c r="BS45" s="11" t="str">
        <f t="shared" si="50"/>
        <v/>
      </c>
      <c r="BT45" s="11" t="str">
        <f t="shared" si="51"/>
        <v/>
      </c>
      <c r="BU45" s="11" t="str">
        <f t="shared" si="52"/>
        <v/>
      </c>
      <c r="BW45" t="s">
        <v>764</v>
      </c>
      <c r="BX45" t="str">
        <f>IF($C$10="","",N(BX106))</f>
        <v/>
      </c>
      <c r="CA45" s="11" t="str">
        <f t="shared" si="53"/>
        <v/>
      </c>
      <c r="CB45" s="11" t="str">
        <f t="shared" si="54"/>
        <v/>
      </c>
    </row>
    <row r="46" spans="1:80" ht="14.65" x14ac:dyDescent="0.45">
      <c r="A46" s="37"/>
      <c r="B46" s="14">
        <v>43</v>
      </c>
      <c r="C46" s="37"/>
      <c r="D46" s="37"/>
      <c r="E46" s="37"/>
      <c r="F46" s="37" t="str">
        <f t="shared" si="0"/>
        <v/>
      </c>
      <c r="G46" s="38"/>
      <c r="H46" s="37"/>
      <c r="I46" s="37" t="str">
        <f t="shared" si="1"/>
        <v/>
      </c>
      <c r="J46" s="37" t="str">
        <f t="shared" si="2"/>
        <v/>
      </c>
      <c r="K46" s="37" t="str">
        <f t="shared" si="3"/>
        <v/>
      </c>
      <c r="L46" s="37" t="str">
        <f t="shared" si="4"/>
        <v/>
      </c>
      <c r="M46" s="37" t="str">
        <f t="shared" si="5"/>
        <v/>
      </c>
      <c r="N46" s="37" t="str">
        <f t="shared" si="6"/>
        <v/>
      </c>
      <c r="O46" s="37" t="str">
        <f t="shared" si="7"/>
        <v/>
      </c>
      <c r="P46" s="37" t="str">
        <f t="shared" si="8"/>
        <v/>
      </c>
      <c r="Q46" s="37" t="str">
        <f>IF($X46=0,"",NEC_UNIDAD($W46,$E46,$Y46,$Z46,N($AT46),$C$7,OCUPACION))</f>
        <v/>
      </c>
      <c r="R46" s="37" t="str">
        <f>IF($X46=0,"",BREAKER_SEL($BX$60,$BI46,$AT46,$C$7,$BX$58,$BX$69,$BJ46))</f>
        <v/>
      </c>
      <c r="S46" s="37"/>
      <c r="T46" s="37"/>
      <c r="U46" s="37"/>
      <c r="V46" s="37"/>
      <c r="W46" s="11" t="str">
        <f t="shared" si="9"/>
        <v/>
      </c>
      <c r="X46" s="39">
        <f t="shared" si="10"/>
        <v>0</v>
      </c>
      <c r="Y46" s="11">
        <f t="shared" si="11"/>
        <v>0</v>
      </c>
      <c r="Z46" s="11">
        <f t="shared" si="12"/>
        <v>0</v>
      </c>
      <c r="AA46" s="11">
        <f t="shared" si="13"/>
        <v>0</v>
      </c>
      <c r="AB46" s="11">
        <f t="shared" si="14"/>
        <v>1</v>
      </c>
      <c r="AC46" s="11">
        <f t="shared" si="15"/>
        <v>1</v>
      </c>
      <c r="AD46" s="11">
        <f t="shared" si="16"/>
        <v>1</v>
      </c>
      <c r="AE46" s="11" t="str">
        <f t="shared" si="17"/>
        <v/>
      </c>
      <c r="AF46" s="11">
        <f t="shared" si="18"/>
        <v>1.25</v>
      </c>
      <c r="AG46" s="11">
        <f t="shared" si="19"/>
        <v>0</v>
      </c>
      <c r="AH46" s="11">
        <f t="shared" si="20"/>
        <v>-1</v>
      </c>
      <c r="AI46" s="11">
        <f t="shared" si="21"/>
        <v>-1</v>
      </c>
      <c r="AJ46" s="39">
        <f t="shared" si="22"/>
        <v>0</v>
      </c>
      <c r="AK46" s="39">
        <f t="shared" si="23"/>
        <v>0</v>
      </c>
      <c r="AL46" s="39">
        <f t="shared" si="24"/>
        <v>0</v>
      </c>
      <c r="AM46" s="11">
        <f t="shared" si="25"/>
        <v>0</v>
      </c>
      <c r="AN46" s="11">
        <f t="shared" si="26"/>
        <v>0</v>
      </c>
      <c r="AO46" s="11">
        <f t="shared" si="27"/>
        <v>0</v>
      </c>
      <c r="AP46" s="40">
        <f t="shared" si="28"/>
        <v>0</v>
      </c>
      <c r="AQ46" s="40">
        <f t="shared" si="29"/>
        <v>0</v>
      </c>
      <c r="AR46" s="40">
        <f t="shared" si="30"/>
        <v>0</v>
      </c>
      <c r="AS46" s="40" t="str">
        <f t="shared" si="31"/>
        <v/>
      </c>
      <c r="AT46" s="11" t="str">
        <f t="shared" si="32"/>
        <v/>
      </c>
      <c r="AU46" s="11">
        <f t="shared" si="33"/>
        <v>1</v>
      </c>
      <c r="AV46" s="11">
        <f t="shared" si="34"/>
        <v>1</v>
      </c>
      <c r="AW46" s="11" t="str">
        <f t="shared" si="35"/>
        <v/>
      </c>
      <c r="AX46" s="11" t="str">
        <f t="shared" si="36"/>
        <v/>
      </c>
      <c r="AY46" s="11" t="str">
        <f t="shared" si="37"/>
        <v/>
      </c>
      <c r="AZ46" s="11" t="str">
        <f t="shared" si="38"/>
        <v/>
      </c>
      <c r="BA46" s="11" t="str">
        <f t="shared" si="39"/>
        <v/>
      </c>
      <c r="BB46" s="11" t="str">
        <f t="shared" si="40"/>
        <v/>
      </c>
      <c r="BC46" s="11" t="str">
        <f t="shared" si="41"/>
        <v/>
      </c>
      <c r="BD46" s="11" t="str">
        <f t="shared" si="42"/>
        <v/>
      </c>
      <c r="BE46" s="39" t="str">
        <f t="shared" si="43"/>
        <v/>
      </c>
      <c r="BF46" s="11" t="str">
        <f t="shared" si="44"/>
        <v/>
      </c>
      <c r="BG46" s="11" t="str">
        <f t="shared" si="45"/>
        <v/>
      </c>
      <c r="BH46" s="39" t="str">
        <f t="shared" si="46"/>
        <v/>
      </c>
      <c r="BI46" s="11" t="str">
        <f t="shared" si="47"/>
        <v/>
      </c>
      <c r="BJ46" s="11" t="str">
        <f>IF($X46=0,"",IF($Q46&lt;&gt;"",$Q46,NEC_UNIDAD($W46,$E46,$Y46,$Z46,N($AT46),$C$7,OCUPACION)))</f>
        <v/>
      </c>
      <c r="BK46" s="11" t="str">
        <f>IF($X46=0,"",IF(N($R46)&gt;0,$R46,BREAKER_SEL($BX$60,$BI46,$AT46,$C$7,$BX$58,$BX$69,$BJ46)))</f>
        <v/>
      </c>
      <c r="BL46" s="11" t="str">
        <f>IF($BK46="","",BREAKER_REF($BX$60,$BK46,$BI46,$AT46,FALSE))</f>
        <v/>
      </c>
      <c r="BM46" s="11" t="str">
        <f>IF($BK46="","",BREAKER_DATO($BX$60,$BK46,"sccr"))</f>
        <v/>
      </c>
      <c r="BN46" s="11" t="str">
        <f>IF(OR($BK46="",N($BM46)&gt;=$BX$58,$BX$71="",N($BX$74)&lt;$BX$58),"",SERIE_KA($BX$60,BREAKER_DATO($BX$60,$BK46,"modelo"),$BX$72,N($BX$24),$C$7,$BX$58))</f>
        <v/>
      </c>
      <c r="BO46" s="11" t="str">
        <f>IF($BK46="","",BREAKER_DATO($BX$60,$BK46,"unidad"))</f>
        <v/>
      </c>
      <c r="BP46" s="11" t="str">
        <f>IF($BK46="","",BREAKER_DATO($BX$60,$BK46,"marco"))</f>
        <v/>
      </c>
      <c r="BQ46" s="11" t="str">
        <f t="shared" si="48"/>
        <v/>
      </c>
      <c r="BR46" s="11" t="str">
        <f t="shared" si="49"/>
        <v/>
      </c>
      <c r="BS46" s="11" t="str">
        <f t="shared" si="50"/>
        <v/>
      </c>
      <c r="BT46" s="11" t="str">
        <f t="shared" si="51"/>
        <v/>
      </c>
      <c r="BU46" s="11" t="str">
        <f t="shared" si="52"/>
        <v/>
      </c>
      <c r="BW46" t="s">
        <v>765</v>
      </c>
      <c r="BX46" t="str">
        <f>IF($C$10="","",N(BX107))</f>
        <v/>
      </c>
      <c r="CA46" s="11" t="str">
        <f t="shared" si="53"/>
        <v/>
      </c>
      <c r="CB46" s="11" t="str">
        <f t="shared" si="54"/>
        <v/>
      </c>
    </row>
    <row r="47" spans="1:80" ht="14.65" x14ac:dyDescent="0.45">
      <c r="A47" s="37"/>
      <c r="B47" s="14">
        <v>45</v>
      </c>
      <c r="C47" s="37"/>
      <c r="D47" s="37"/>
      <c r="E47" s="37"/>
      <c r="F47" s="37" t="str">
        <f t="shared" si="0"/>
        <v/>
      </c>
      <c r="G47" s="38"/>
      <c r="H47" s="37"/>
      <c r="I47" s="37" t="str">
        <f t="shared" si="1"/>
        <v/>
      </c>
      <c r="J47" s="37" t="str">
        <f t="shared" si="2"/>
        <v/>
      </c>
      <c r="K47" s="37" t="str">
        <f t="shared" si="3"/>
        <v/>
      </c>
      <c r="L47" s="37" t="str">
        <f t="shared" si="4"/>
        <v/>
      </c>
      <c r="M47" s="37" t="str">
        <f t="shared" si="5"/>
        <v/>
      </c>
      <c r="N47" s="37" t="str">
        <f t="shared" si="6"/>
        <v/>
      </c>
      <c r="O47" s="37" t="str">
        <f t="shared" si="7"/>
        <v/>
      </c>
      <c r="P47" s="37" t="str">
        <f t="shared" si="8"/>
        <v/>
      </c>
      <c r="Q47" s="37" t="str">
        <f>IF($X47=0,"",NEC_UNIDAD($W47,$E47,$Y47,$Z47,N($AT47),$C$7,OCUPACION))</f>
        <v/>
      </c>
      <c r="R47" s="37" t="str">
        <f>IF($X47=0,"",BREAKER_SEL($BX$60,$BI47,$AT47,$C$7,$BX$58,$BX$69,$BJ47))</f>
        <v/>
      </c>
      <c r="S47" s="37"/>
      <c r="T47" s="37"/>
      <c r="U47" s="37"/>
      <c r="V47" s="37"/>
      <c r="W47" s="11" t="str">
        <f t="shared" si="9"/>
        <v/>
      </c>
      <c r="X47" s="39">
        <f t="shared" si="10"/>
        <v>0</v>
      </c>
      <c r="Y47" s="11">
        <f t="shared" si="11"/>
        <v>0</v>
      </c>
      <c r="Z47" s="11">
        <f t="shared" si="12"/>
        <v>0</v>
      </c>
      <c r="AA47" s="11">
        <f t="shared" si="13"/>
        <v>0</v>
      </c>
      <c r="AB47" s="11">
        <f t="shared" si="14"/>
        <v>1</v>
      </c>
      <c r="AC47" s="11">
        <f t="shared" si="15"/>
        <v>1</v>
      </c>
      <c r="AD47" s="11">
        <f t="shared" si="16"/>
        <v>1</v>
      </c>
      <c r="AE47" s="11" t="str">
        <f t="shared" si="17"/>
        <v/>
      </c>
      <c r="AF47" s="11">
        <f t="shared" si="18"/>
        <v>1.25</v>
      </c>
      <c r="AG47" s="11">
        <f t="shared" si="19"/>
        <v>1</v>
      </c>
      <c r="AH47" s="11">
        <f t="shared" si="20"/>
        <v>-1</v>
      </c>
      <c r="AI47" s="11">
        <f t="shared" si="21"/>
        <v>-1</v>
      </c>
      <c r="AJ47" s="39">
        <f t="shared" si="22"/>
        <v>0</v>
      </c>
      <c r="AK47" s="39">
        <f t="shared" si="23"/>
        <v>0</v>
      </c>
      <c r="AL47" s="39">
        <f t="shared" si="24"/>
        <v>0</v>
      </c>
      <c r="AM47" s="11">
        <f t="shared" si="25"/>
        <v>0</v>
      </c>
      <c r="AN47" s="11">
        <f t="shared" si="26"/>
        <v>0</v>
      </c>
      <c r="AO47" s="11">
        <f t="shared" si="27"/>
        <v>0</v>
      </c>
      <c r="AP47" s="40">
        <f t="shared" si="28"/>
        <v>0</v>
      </c>
      <c r="AQ47" s="40">
        <f t="shared" si="29"/>
        <v>0</v>
      </c>
      <c r="AR47" s="40">
        <f t="shared" si="30"/>
        <v>0</v>
      </c>
      <c r="AS47" s="40" t="str">
        <f t="shared" si="31"/>
        <v/>
      </c>
      <c r="AT47" s="11" t="str">
        <f t="shared" si="32"/>
        <v/>
      </c>
      <c r="AU47" s="11">
        <f t="shared" si="33"/>
        <v>1</v>
      </c>
      <c r="AV47" s="11">
        <f t="shared" si="34"/>
        <v>1</v>
      </c>
      <c r="AW47" s="11" t="str">
        <f t="shared" si="35"/>
        <v/>
      </c>
      <c r="AX47" s="11" t="str">
        <f t="shared" si="36"/>
        <v/>
      </c>
      <c r="AY47" s="11" t="str">
        <f t="shared" si="37"/>
        <v/>
      </c>
      <c r="AZ47" s="11" t="str">
        <f t="shared" si="38"/>
        <v/>
      </c>
      <c r="BA47" s="11" t="str">
        <f t="shared" si="39"/>
        <v/>
      </c>
      <c r="BB47" s="11" t="str">
        <f t="shared" si="40"/>
        <v/>
      </c>
      <c r="BC47" s="11" t="str">
        <f t="shared" si="41"/>
        <v/>
      </c>
      <c r="BD47" s="11" t="str">
        <f t="shared" si="42"/>
        <v/>
      </c>
      <c r="BE47" s="39" t="str">
        <f t="shared" si="43"/>
        <v/>
      </c>
      <c r="BF47" s="11" t="str">
        <f t="shared" si="44"/>
        <v/>
      </c>
      <c r="BG47" s="11" t="str">
        <f t="shared" si="45"/>
        <v/>
      </c>
      <c r="BH47" s="39" t="str">
        <f t="shared" si="46"/>
        <v/>
      </c>
      <c r="BI47" s="11" t="str">
        <f t="shared" si="47"/>
        <v/>
      </c>
      <c r="BJ47" s="11" t="str">
        <f>IF($X47=0,"",IF($Q47&lt;&gt;"",$Q47,NEC_UNIDAD($W47,$E47,$Y47,$Z47,N($AT47),$C$7,OCUPACION)))</f>
        <v/>
      </c>
      <c r="BK47" s="11" t="str">
        <f>IF($X47=0,"",IF(N($R47)&gt;0,$R47,BREAKER_SEL($BX$60,$BI47,$AT47,$C$7,$BX$58,$BX$69,$BJ47)))</f>
        <v/>
      </c>
      <c r="BL47" s="11" t="str">
        <f>IF($BK47="","",BREAKER_REF($BX$60,$BK47,$BI47,$AT47,FALSE))</f>
        <v/>
      </c>
      <c r="BM47" s="11" t="str">
        <f>IF($BK47="","",BREAKER_DATO($BX$60,$BK47,"sccr"))</f>
        <v/>
      </c>
      <c r="BN47" s="11" t="str">
        <f>IF(OR($BK47="",N($BM47)&gt;=$BX$58,$BX$71="",N($BX$74)&lt;$BX$58),"",SERIE_KA($BX$60,BREAKER_DATO($BX$60,$BK47,"modelo"),$BX$72,N($BX$24),$C$7,$BX$58))</f>
        <v/>
      </c>
      <c r="BO47" s="11" t="str">
        <f>IF($BK47="","",BREAKER_DATO($BX$60,$BK47,"unidad"))</f>
        <v/>
      </c>
      <c r="BP47" s="11" t="str">
        <f>IF($BK47="","",BREAKER_DATO($BX$60,$BK47,"marco"))</f>
        <v/>
      </c>
      <c r="BQ47" s="11" t="str">
        <f t="shared" si="48"/>
        <v/>
      </c>
      <c r="BR47" s="11" t="str">
        <f t="shared" si="49"/>
        <v/>
      </c>
      <c r="BS47" s="11" t="str">
        <f t="shared" si="50"/>
        <v/>
      </c>
      <c r="BT47" s="11" t="str">
        <f t="shared" si="51"/>
        <v/>
      </c>
      <c r="BU47" s="11" t="str">
        <f t="shared" si="52"/>
        <v/>
      </c>
      <c r="BW47" t="s">
        <v>766</v>
      </c>
      <c r="BX47">
        <f>IF($I$10="SI",$C$7,IF($I$3="SI",$C$7*(1-BX42/100),IF(AND($C$10&lt;&gt;"",N(BX44)=$C$7,N(BX45)&gt;0),BX45,$C$7)))</f>
        <v>208</v>
      </c>
      <c r="CA47" s="11" t="str">
        <f t="shared" si="53"/>
        <v/>
      </c>
      <c r="CB47" s="11" t="str">
        <f t="shared" si="54"/>
        <v/>
      </c>
    </row>
    <row r="48" spans="1:80" ht="14.65" x14ac:dyDescent="0.45">
      <c r="A48" s="37"/>
      <c r="B48" s="14">
        <v>47</v>
      </c>
      <c r="C48" s="37"/>
      <c r="D48" s="37"/>
      <c r="E48" s="37"/>
      <c r="F48" s="37" t="str">
        <f t="shared" si="0"/>
        <v/>
      </c>
      <c r="G48" s="38"/>
      <c r="H48" s="37"/>
      <c r="I48" s="37" t="str">
        <f t="shared" si="1"/>
        <v/>
      </c>
      <c r="J48" s="37" t="str">
        <f t="shared" si="2"/>
        <v/>
      </c>
      <c r="K48" s="37" t="str">
        <f t="shared" si="3"/>
        <v/>
      </c>
      <c r="L48" s="37" t="str">
        <f t="shared" si="4"/>
        <v/>
      </c>
      <c r="M48" s="37" t="str">
        <f t="shared" si="5"/>
        <v/>
      </c>
      <c r="N48" s="37" t="str">
        <f t="shared" si="6"/>
        <v/>
      </c>
      <c r="O48" s="37" t="str">
        <f t="shared" si="7"/>
        <v/>
      </c>
      <c r="P48" s="37" t="str">
        <f t="shared" si="8"/>
        <v/>
      </c>
      <c r="Q48" s="37" t="str">
        <f>IF($X48=0,"",NEC_UNIDAD($W48,$E48,$Y48,$Z48,N($AT48),$C$7,OCUPACION))</f>
        <v/>
      </c>
      <c r="R48" s="37" t="str">
        <f>IF($X48=0,"",BREAKER_SEL($BX$60,$BI48,$AT48,$C$7,$BX$58,$BX$69,$BJ48))</f>
        <v/>
      </c>
      <c r="S48" s="37"/>
      <c r="T48" s="37"/>
      <c r="U48" s="37"/>
      <c r="V48" s="37"/>
      <c r="W48" s="11" t="str">
        <f t="shared" si="9"/>
        <v/>
      </c>
      <c r="X48" s="39">
        <f t="shared" si="10"/>
        <v>0</v>
      </c>
      <c r="Y48" s="11">
        <f t="shared" si="11"/>
        <v>0</v>
      </c>
      <c r="Z48" s="11">
        <f t="shared" si="12"/>
        <v>0</v>
      </c>
      <c r="AA48" s="11">
        <f t="shared" si="13"/>
        <v>0</v>
      </c>
      <c r="AB48" s="11">
        <f t="shared" si="14"/>
        <v>1</v>
      </c>
      <c r="AC48" s="11">
        <f t="shared" si="15"/>
        <v>1</v>
      </c>
      <c r="AD48" s="11">
        <f t="shared" si="16"/>
        <v>1</v>
      </c>
      <c r="AE48" s="11" t="str">
        <f t="shared" si="17"/>
        <v/>
      </c>
      <c r="AF48" s="11">
        <f t="shared" si="18"/>
        <v>1.25</v>
      </c>
      <c r="AG48" s="11">
        <f t="shared" si="19"/>
        <v>2</v>
      </c>
      <c r="AH48" s="11">
        <f t="shared" si="20"/>
        <v>-1</v>
      </c>
      <c r="AI48" s="11">
        <f t="shared" si="21"/>
        <v>-1</v>
      </c>
      <c r="AJ48" s="39">
        <f t="shared" si="22"/>
        <v>0</v>
      </c>
      <c r="AK48" s="39">
        <f t="shared" si="23"/>
        <v>0</v>
      </c>
      <c r="AL48" s="39">
        <f t="shared" si="24"/>
        <v>0</v>
      </c>
      <c r="AM48" s="11">
        <f t="shared" si="25"/>
        <v>0</v>
      </c>
      <c r="AN48" s="11">
        <f t="shared" si="26"/>
        <v>0</v>
      </c>
      <c r="AO48" s="11">
        <f t="shared" si="27"/>
        <v>0</v>
      </c>
      <c r="AP48" s="40">
        <f t="shared" si="28"/>
        <v>0</v>
      </c>
      <c r="AQ48" s="40">
        <f t="shared" si="29"/>
        <v>0</v>
      </c>
      <c r="AR48" s="40">
        <f t="shared" si="30"/>
        <v>0</v>
      </c>
      <c r="AS48" s="40" t="str">
        <f t="shared" si="31"/>
        <v/>
      </c>
      <c r="AT48" s="11" t="str">
        <f t="shared" si="32"/>
        <v/>
      </c>
      <c r="AU48" s="11">
        <f t="shared" si="33"/>
        <v>1</v>
      </c>
      <c r="AV48" s="11">
        <f t="shared" si="34"/>
        <v>1</v>
      </c>
      <c r="AW48" s="11" t="str">
        <f t="shared" si="35"/>
        <v/>
      </c>
      <c r="AX48" s="11" t="str">
        <f t="shared" si="36"/>
        <v/>
      </c>
      <c r="AY48" s="11" t="str">
        <f t="shared" si="37"/>
        <v/>
      </c>
      <c r="AZ48" s="11" t="str">
        <f t="shared" si="38"/>
        <v/>
      </c>
      <c r="BA48" s="11" t="str">
        <f t="shared" si="39"/>
        <v/>
      </c>
      <c r="BB48" s="11" t="str">
        <f t="shared" si="40"/>
        <v/>
      </c>
      <c r="BC48" s="11" t="str">
        <f t="shared" si="41"/>
        <v/>
      </c>
      <c r="BD48" s="11" t="str">
        <f t="shared" si="42"/>
        <v/>
      </c>
      <c r="BE48" s="39" t="str">
        <f t="shared" si="43"/>
        <v/>
      </c>
      <c r="BF48" s="11" t="str">
        <f t="shared" si="44"/>
        <v/>
      </c>
      <c r="BG48" s="11" t="str">
        <f t="shared" si="45"/>
        <v/>
      </c>
      <c r="BH48" s="39" t="str">
        <f t="shared" si="46"/>
        <v/>
      </c>
      <c r="BI48" s="11" t="str">
        <f t="shared" si="47"/>
        <v/>
      </c>
      <c r="BJ48" s="11" t="str">
        <f>IF($X48=0,"",IF($Q48&lt;&gt;"",$Q48,NEC_UNIDAD($W48,$E48,$Y48,$Z48,N($AT48),$C$7,OCUPACION)))</f>
        <v/>
      </c>
      <c r="BK48" s="11" t="str">
        <f>IF($X48=0,"",IF(N($R48)&gt;0,$R48,BREAKER_SEL($BX$60,$BI48,$AT48,$C$7,$BX$58,$BX$69,$BJ48)))</f>
        <v/>
      </c>
      <c r="BL48" s="11" t="str">
        <f>IF($BK48="","",BREAKER_REF($BX$60,$BK48,$BI48,$AT48,FALSE))</f>
        <v/>
      </c>
      <c r="BM48" s="11" t="str">
        <f>IF($BK48="","",BREAKER_DATO($BX$60,$BK48,"sccr"))</f>
        <v/>
      </c>
      <c r="BN48" s="11" t="str">
        <f>IF(OR($BK48="",N($BM48)&gt;=$BX$58,$BX$71="",N($BX$74)&lt;$BX$58),"",SERIE_KA($BX$60,BREAKER_DATO($BX$60,$BK48,"modelo"),$BX$72,N($BX$24),$C$7,$BX$58))</f>
        <v/>
      </c>
      <c r="BO48" s="11" t="str">
        <f>IF($BK48="","",BREAKER_DATO($BX$60,$BK48,"unidad"))</f>
        <v/>
      </c>
      <c r="BP48" s="11" t="str">
        <f>IF($BK48="","",BREAKER_DATO($BX$60,$BK48,"marco"))</f>
        <v/>
      </c>
      <c r="BQ48" s="11" t="str">
        <f t="shared" si="48"/>
        <v/>
      </c>
      <c r="BR48" s="11" t="str">
        <f t="shared" si="49"/>
        <v/>
      </c>
      <c r="BS48" s="11" t="str">
        <f t="shared" si="50"/>
        <v/>
      </c>
      <c r="BT48" s="11" t="str">
        <f t="shared" si="51"/>
        <v/>
      </c>
      <c r="BU48" s="11" t="str">
        <f t="shared" si="52"/>
        <v/>
      </c>
      <c r="BW48" t="s">
        <v>767</v>
      </c>
      <c r="BX48">
        <f>IF(OR(BX38="",BX10=0),0,BX40*3.28*BX39*BX38/(10000*BX30))</f>
        <v>0</v>
      </c>
      <c r="CA48" s="11" t="str">
        <f t="shared" si="53"/>
        <v/>
      </c>
      <c r="CB48" s="11" t="str">
        <f t="shared" si="54"/>
        <v/>
      </c>
    </row>
    <row r="49" spans="1:80" ht="14.65" x14ac:dyDescent="0.45">
      <c r="A49" s="37"/>
      <c r="B49" s="14">
        <v>49</v>
      </c>
      <c r="C49" s="37"/>
      <c r="D49" s="37"/>
      <c r="E49" s="37"/>
      <c r="F49" s="37" t="str">
        <f t="shared" si="0"/>
        <v/>
      </c>
      <c r="G49" s="38"/>
      <c r="H49" s="37"/>
      <c r="I49" s="37" t="str">
        <f t="shared" si="1"/>
        <v/>
      </c>
      <c r="J49" s="37" t="str">
        <f t="shared" si="2"/>
        <v/>
      </c>
      <c r="K49" s="37" t="str">
        <f t="shared" si="3"/>
        <v/>
      </c>
      <c r="L49" s="37" t="str">
        <f t="shared" si="4"/>
        <v/>
      </c>
      <c r="M49" s="37" t="str">
        <f t="shared" si="5"/>
        <v/>
      </c>
      <c r="N49" s="37" t="str">
        <f t="shared" si="6"/>
        <v/>
      </c>
      <c r="O49" s="37" t="str">
        <f t="shared" si="7"/>
        <v/>
      </c>
      <c r="P49" s="37" t="str">
        <f t="shared" si="8"/>
        <v/>
      </c>
      <c r="Q49" s="37" t="str">
        <f>IF($X49=0,"",NEC_UNIDAD($W49,$E49,$Y49,$Z49,N($AT49),$C$7,OCUPACION))</f>
        <v/>
      </c>
      <c r="R49" s="37" t="str">
        <f>IF($X49=0,"",BREAKER_SEL($BX$60,$BI49,$AT49,$C$7,$BX$58,$BX$69,$BJ49))</f>
        <v/>
      </c>
      <c r="S49" s="37"/>
      <c r="T49" s="37"/>
      <c r="U49" s="37"/>
      <c r="V49" s="37"/>
      <c r="W49" s="11" t="str">
        <f t="shared" si="9"/>
        <v/>
      </c>
      <c r="X49" s="39">
        <f t="shared" si="10"/>
        <v>0</v>
      </c>
      <c r="Y49" s="11">
        <f t="shared" si="11"/>
        <v>0</v>
      </c>
      <c r="Z49" s="11">
        <f t="shared" si="12"/>
        <v>0</v>
      </c>
      <c r="AA49" s="11">
        <f t="shared" si="13"/>
        <v>0</v>
      </c>
      <c r="AB49" s="11">
        <f t="shared" si="14"/>
        <v>1</v>
      </c>
      <c r="AC49" s="11">
        <f t="shared" si="15"/>
        <v>1</v>
      </c>
      <c r="AD49" s="11">
        <f t="shared" si="16"/>
        <v>1</v>
      </c>
      <c r="AE49" s="11" t="str">
        <f t="shared" si="17"/>
        <v/>
      </c>
      <c r="AF49" s="11">
        <f t="shared" si="18"/>
        <v>1.25</v>
      </c>
      <c r="AG49" s="11">
        <f t="shared" si="19"/>
        <v>0</v>
      </c>
      <c r="AH49" s="11">
        <f t="shared" si="20"/>
        <v>-1</v>
      </c>
      <c r="AI49" s="11">
        <f t="shared" si="21"/>
        <v>-1</v>
      </c>
      <c r="AJ49" s="39">
        <f t="shared" si="22"/>
        <v>0</v>
      </c>
      <c r="AK49" s="39">
        <f t="shared" si="23"/>
        <v>0</v>
      </c>
      <c r="AL49" s="39">
        <f t="shared" si="24"/>
        <v>0</v>
      </c>
      <c r="AM49" s="11">
        <f t="shared" si="25"/>
        <v>0</v>
      </c>
      <c r="AN49" s="11">
        <f t="shared" si="26"/>
        <v>0</v>
      </c>
      <c r="AO49" s="11">
        <f t="shared" si="27"/>
        <v>0</v>
      </c>
      <c r="AP49" s="40">
        <f t="shared" si="28"/>
        <v>0</v>
      </c>
      <c r="AQ49" s="40">
        <f t="shared" si="29"/>
        <v>0</v>
      </c>
      <c r="AR49" s="40">
        <f t="shared" si="30"/>
        <v>0</v>
      </c>
      <c r="AS49" s="40" t="str">
        <f t="shared" si="31"/>
        <v/>
      </c>
      <c r="AT49" s="11" t="str">
        <f t="shared" si="32"/>
        <v/>
      </c>
      <c r="AU49" s="11">
        <f t="shared" si="33"/>
        <v>1</v>
      </c>
      <c r="AV49" s="11">
        <f t="shared" si="34"/>
        <v>1</v>
      </c>
      <c r="AW49" s="11" t="str">
        <f t="shared" si="35"/>
        <v/>
      </c>
      <c r="AX49" s="11" t="str">
        <f t="shared" si="36"/>
        <v/>
      </c>
      <c r="AY49" s="11" t="str">
        <f t="shared" si="37"/>
        <v/>
      </c>
      <c r="AZ49" s="11" t="str">
        <f t="shared" si="38"/>
        <v/>
      </c>
      <c r="BA49" s="11" t="str">
        <f t="shared" si="39"/>
        <v/>
      </c>
      <c r="BB49" s="11" t="str">
        <f t="shared" si="40"/>
        <v/>
      </c>
      <c r="BC49" s="11" t="str">
        <f t="shared" si="41"/>
        <v/>
      </c>
      <c r="BD49" s="11" t="str">
        <f t="shared" si="42"/>
        <v/>
      </c>
      <c r="BE49" s="39" t="str">
        <f t="shared" si="43"/>
        <v/>
      </c>
      <c r="BF49" s="11" t="str">
        <f t="shared" si="44"/>
        <v/>
      </c>
      <c r="BG49" s="11" t="str">
        <f t="shared" si="45"/>
        <v/>
      </c>
      <c r="BH49" s="39" t="str">
        <f t="shared" si="46"/>
        <v/>
      </c>
      <c r="BI49" s="11" t="str">
        <f t="shared" si="47"/>
        <v/>
      </c>
      <c r="BJ49" s="11" t="str">
        <f>IF($X49=0,"",IF($Q49&lt;&gt;"",$Q49,NEC_UNIDAD($W49,$E49,$Y49,$Z49,N($AT49),$C$7,OCUPACION)))</f>
        <v/>
      </c>
      <c r="BK49" s="11" t="str">
        <f>IF($X49=0,"",IF(N($R49)&gt;0,$R49,BREAKER_SEL($BX$60,$BI49,$AT49,$C$7,$BX$58,$BX$69,$BJ49)))</f>
        <v/>
      </c>
      <c r="BL49" s="11" t="str">
        <f>IF($BK49="","",BREAKER_REF($BX$60,$BK49,$BI49,$AT49,FALSE))</f>
        <v/>
      </c>
      <c r="BM49" s="11" t="str">
        <f>IF($BK49="","",BREAKER_DATO($BX$60,$BK49,"sccr"))</f>
        <v/>
      </c>
      <c r="BN49" s="11" t="str">
        <f>IF(OR($BK49="",N($BM49)&gt;=$BX$58,$BX$71="",N($BX$74)&lt;$BX$58),"",SERIE_KA($BX$60,BREAKER_DATO($BX$60,$BK49,"modelo"),$BX$72,N($BX$24),$C$7,$BX$58))</f>
        <v/>
      </c>
      <c r="BO49" s="11" t="str">
        <f>IF($BK49="","",BREAKER_DATO($BX$60,$BK49,"unidad"))</f>
        <v/>
      </c>
      <c r="BP49" s="11" t="str">
        <f>IF($BK49="","",BREAKER_DATO($BX$60,$BK49,"marco"))</f>
        <v/>
      </c>
      <c r="BQ49" s="11" t="str">
        <f t="shared" si="48"/>
        <v/>
      </c>
      <c r="BR49" s="11" t="str">
        <f t="shared" si="49"/>
        <v/>
      </c>
      <c r="BS49" s="11" t="str">
        <f t="shared" si="50"/>
        <v/>
      </c>
      <c r="BT49" s="11" t="str">
        <f t="shared" si="51"/>
        <v/>
      </c>
      <c r="BU49" s="11" t="str">
        <f t="shared" si="52"/>
        <v/>
      </c>
      <c r="BW49" t="s">
        <v>768</v>
      </c>
      <c r="BX49">
        <f>BX47-BX48</f>
        <v>208</v>
      </c>
      <c r="CA49" s="11" t="str">
        <f t="shared" si="53"/>
        <v/>
      </c>
      <c r="CB49" s="11" t="str">
        <f t="shared" si="54"/>
        <v/>
      </c>
    </row>
    <row r="50" spans="1:80" ht="14.65" x14ac:dyDescent="0.45">
      <c r="A50" s="37"/>
      <c r="B50" s="14">
        <v>51</v>
      </c>
      <c r="C50" s="37"/>
      <c r="D50" s="37"/>
      <c r="E50" s="37"/>
      <c r="F50" s="37" t="str">
        <f t="shared" si="0"/>
        <v/>
      </c>
      <c r="G50" s="38"/>
      <c r="H50" s="37"/>
      <c r="I50" s="37" t="str">
        <f t="shared" si="1"/>
        <v/>
      </c>
      <c r="J50" s="37" t="str">
        <f t="shared" si="2"/>
        <v/>
      </c>
      <c r="K50" s="37" t="str">
        <f t="shared" si="3"/>
        <v/>
      </c>
      <c r="L50" s="37" t="str">
        <f t="shared" si="4"/>
        <v/>
      </c>
      <c r="M50" s="37" t="str">
        <f t="shared" si="5"/>
        <v/>
      </c>
      <c r="N50" s="37" t="str">
        <f t="shared" si="6"/>
        <v/>
      </c>
      <c r="O50" s="37" t="str">
        <f t="shared" si="7"/>
        <v/>
      </c>
      <c r="P50" s="37" t="str">
        <f t="shared" si="8"/>
        <v/>
      </c>
      <c r="Q50" s="37" t="str">
        <f>IF($X50=0,"",NEC_UNIDAD($W50,$E50,$Y50,$Z50,N($AT50),$C$7,OCUPACION))</f>
        <v/>
      </c>
      <c r="R50" s="37" t="str">
        <f>IF($X50=0,"",BREAKER_SEL($BX$60,$BI50,$AT50,$C$7,$BX$58,$BX$69,$BJ50))</f>
        <v/>
      </c>
      <c r="S50" s="37"/>
      <c r="T50" s="37"/>
      <c r="U50" s="37"/>
      <c r="V50" s="37"/>
      <c r="W50" s="11" t="str">
        <f t="shared" si="9"/>
        <v/>
      </c>
      <c r="X50" s="39">
        <f t="shared" si="10"/>
        <v>0</v>
      </c>
      <c r="Y50" s="11">
        <f t="shared" si="11"/>
        <v>0</v>
      </c>
      <c r="Z50" s="11">
        <f t="shared" si="12"/>
        <v>0</v>
      </c>
      <c r="AA50" s="11">
        <f t="shared" si="13"/>
        <v>0</v>
      </c>
      <c r="AB50" s="11">
        <f t="shared" si="14"/>
        <v>1</v>
      </c>
      <c r="AC50" s="11">
        <f t="shared" si="15"/>
        <v>1</v>
      </c>
      <c r="AD50" s="11">
        <f t="shared" si="16"/>
        <v>1</v>
      </c>
      <c r="AE50" s="11" t="str">
        <f t="shared" si="17"/>
        <v/>
      </c>
      <c r="AF50" s="11">
        <f t="shared" si="18"/>
        <v>1.25</v>
      </c>
      <c r="AG50" s="11">
        <f t="shared" si="19"/>
        <v>1</v>
      </c>
      <c r="AH50" s="11">
        <f t="shared" si="20"/>
        <v>-1</v>
      </c>
      <c r="AI50" s="11">
        <f t="shared" si="21"/>
        <v>-1</v>
      </c>
      <c r="AJ50" s="39">
        <f t="shared" si="22"/>
        <v>0</v>
      </c>
      <c r="AK50" s="39">
        <f t="shared" si="23"/>
        <v>0</v>
      </c>
      <c r="AL50" s="39">
        <f t="shared" si="24"/>
        <v>0</v>
      </c>
      <c r="AM50" s="11">
        <f t="shared" si="25"/>
        <v>0</v>
      </c>
      <c r="AN50" s="11">
        <f t="shared" si="26"/>
        <v>0</v>
      </c>
      <c r="AO50" s="11">
        <f t="shared" si="27"/>
        <v>0</v>
      </c>
      <c r="AP50" s="40">
        <f t="shared" si="28"/>
        <v>0</v>
      </c>
      <c r="AQ50" s="40">
        <f t="shared" si="29"/>
        <v>0</v>
      </c>
      <c r="AR50" s="40">
        <f t="shared" si="30"/>
        <v>0</v>
      </c>
      <c r="AS50" s="40" t="str">
        <f t="shared" si="31"/>
        <v/>
      </c>
      <c r="AT50" s="11" t="str">
        <f t="shared" si="32"/>
        <v/>
      </c>
      <c r="AU50" s="11">
        <f t="shared" si="33"/>
        <v>1</v>
      </c>
      <c r="AV50" s="11">
        <f t="shared" si="34"/>
        <v>1</v>
      </c>
      <c r="AW50" s="11" t="str">
        <f t="shared" si="35"/>
        <v/>
      </c>
      <c r="AX50" s="11" t="str">
        <f t="shared" si="36"/>
        <v/>
      </c>
      <c r="AY50" s="11" t="str">
        <f t="shared" si="37"/>
        <v/>
      </c>
      <c r="AZ50" s="11" t="str">
        <f t="shared" si="38"/>
        <v/>
      </c>
      <c r="BA50" s="11" t="str">
        <f t="shared" si="39"/>
        <v/>
      </c>
      <c r="BB50" s="11" t="str">
        <f t="shared" si="40"/>
        <v/>
      </c>
      <c r="BC50" s="11" t="str">
        <f t="shared" si="41"/>
        <v/>
      </c>
      <c r="BD50" s="11" t="str">
        <f t="shared" si="42"/>
        <v/>
      </c>
      <c r="BE50" s="39" t="str">
        <f t="shared" si="43"/>
        <v/>
      </c>
      <c r="BF50" s="11" t="str">
        <f t="shared" si="44"/>
        <v/>
      </c>
      <c r="BG50" s="11" t="str">
        <f t="shared" si="45"/>
        <v/>
      </c>
      <c r="BH50" s="39" t="str">
        <f t="shared" si="46"/>
        <v/>
      </c>
      <c r="BI50" s="11" t="str">
        <f t="shared" si="47"/>
        <v/>
      </c>
      <c r="BJ50" s="11" t="str">
        <f>IF($X50=0,"",IF($Q50&lt;&gt;"",$Q50,NEC_UNIDAD($W50,$E50,$Y50,$Z50,N($AT50),$C$7,OCUPACION)))</f>
        <v/>
      </c>
      <c r="BK50" s="11" t="str">
        <f>IF($X50=0,"",IF(N($R50)&gt;0,$R50,BREAKER_SEL($BX$60,$BI50,$AT50,$C$7,$BX$58,$BX$69,$BJ50)))</f>
        <v/>
      </c>
      <c r="BL50" s="11" t="str">
        <f>IF($BK50="","",BREAKER_REF($BX$60,$BK50,$BI50,$AT50,FALSE))</f>
        <v/>
      </c>
      <c r="BM50" s="11" t="str">
        <f>IF($BK50="","",BREAKER_DATO($BX$60,$BK50,"sccr"))</f>
        <v/>
      </c>
      <c r="BN50" s="11" t="str">
        <f>IF(OR($BK50="",N($BM50)&gt;=$BX$58,$BX$71="",N($BX$74)&lt;$BX$58),"",SERIE_KA($BX$60,BREAKER_DATO($BX$60,$BK50,"modelo"),$BX$72,N($BX$24),$C$7,$BX$58))</f>
        <v/>
      </c>
      <c r="BO50" s="11" t="str">
        <f>IF($BK50="","",BREAKER_DATO($BX$60,$BK50,"unidad"))</f>
        <v/>
      </c>
      <c r="BP50" s="11" t="str">
        <f>IF($BK50="","",BREAKER_DATO($BX$60,$BK50,"marco"))</f>
        <v/>
      </c>
      <c r="BQ50" s="11" t="str">
        <f t="shared" si="48"/>
        <v/>
      </c>
      <c r="BR50" s="11" t="str">
        <f t="shared" si="49"/>
        <v/>
      </c>
      <c r="BS50" s="11" t="str">
        <f t="shared" si="50"/>
        <v/>
      </c>
      <c r="BT50" s="11" t="str">
        <f t="shared" si="51"/>
        <v/>
      </c>
      <c r="BU50" s="11" t="str">
        <f t="shared" si="52"/>
        <v/>
      </c>
      <c r="BW50" t="s">
        <v>769</v>
      </c>
      <c r="BX50">
        <f>$C$7-BX49</f>
        <v>0</v>
      </c>
      <c r="CA50" s="11" t="str">
        <f t="shared" si="53"/>
        <v/>
      </c>
      <c r="CB50" s="11" t="str">
        <f t="shared" si="54"/>
        <v/>
      </c>
    </row>
    <row r="51" spans="1:80" ht="14.65" x14ac:dyDescent="0.45">
      <c r="A51" s="37"/>
      <c r="B51" s="14">
        <v>53</v>
      </c>
      <c r="C51" s="37"/>
      <c r="D51" s="37"/>
      <c r="E51" s="37"/>
      <c r="F51" s="37" t="str">
        <f t="shared" si="0"/>
        <v/>
      </c>
      <c r="G51" s="38"/>
      <c r="H51" s="37"/>
      <c r="I51" s="37" t="str">
        <f t="shared" si="1"/>
        <v/>
      </c>
      <c r="J51" s="37" t="str">
        <f t="shared" si="2"/>
        <v/>
      </c>
      <c r="K51" s="37" t="str">
        <f t="shared" si="3"/>
        <v/>
      </c>
      <c r="L51" s="37" t="str">
        <f t="shared" si="4"/>
        <v/>
      </c>
      <c r="M51" s="37" t="str">
        <f t="shared" si="5"/>
        <v/>
      </c>
      <c r="N51" s="37" t="str">
        <f t="shared" si="6"/>
        <v/>
      </c>
      <c r="O51" s="37" t="str">
        <f t="shared" si="7"/>
        <v/>
      </c>
      <c r="P51" s="37" t="str">
        <f t="shared" si="8"/>
        <v/>
      </c>
      <c r="Q51" s="37" t="str">
        <f>IF($X51=0,"",NEC_UNIDAD($W51,$E51,$Y51,$Z51,N($AT51),$C$7,OCUPACION))</f>
        <v/>
      </c>
      <c r="R51" s="37" t="str">
        <f>IF($X51=0,"",BREAKER_SEL($BX$60,$BI51,$AT51,$C$7,$BX$58,$BX$69,$BJ51))</f>
        <v/>
      </c>
      <c r="S51" s="37"/>
      <c r="T51" s="37"/>
      <c r="U51" s="37"/>
      <c r="V51" s="37"/>
      <c r="W51" s="11" t="str">
        <f t="shared" si="9"/>
        <v/>
      </c>
      <c r="X51" s="39">
        <f t="shared" si="10"/>
        <v>0</v>
      </c>
      <c r="Y51" s="11">
        <f t="shared" si="11"/>
        <v>0</v>
      </c>
      <c r="Z51" s="11">
        <f t="shared" si="12"/>
        <v>0</v>
      </c>
      <c r="AA51" s="11">
        <f t="shared" si="13"/>
        <v>0</v>
      </c>
      <c r="AB51" s="11">
        <f t="shared" si="14"/>
        <v>1</v>
      </c>
      <c r="AC51" s="11">
        <f t="shared" si="15"/>
        <v>1</v>
      </c>
      <c r="AD51" s="11">
        <f t="shared" si="16"/>
        <v>1</v>
      </c>
      <c r="AE51" s="11" t="str">
        <f t="shared" si="17"/>
        <v/>
      </c>
      <c r="AF51" s="11">
        <f t="shared" si="18"/>
        <v>1.25</v>
      </c>
      <c r="AG51" s="11">
        <f t="shared" si="19"/>
        <v>2</v>
      </c>
      <c r="AH51" s="11">
        <f t="shared" si="20"/>
        <v>-1</v>
      </c>
      <c r="AI51" s="11">
        <f t="shared" si="21"/>
        <v>-1</v>
      </c>
      <c r="AJ51" s="39">
        <f t="shared" si="22"/>
        <v>0</v>
      </c>
      <c r="AK51" s="39">
        <f t="shared" si="23"/>
        <v>0</v>
      </c>
      <c r="AL51" s="39">
        <f t="shared" si="24"/>
        <v>0</v>
      </c>
      <c r="AM51" s="11">
        <f t="shared" si="25"/>
        <v>0</v>
      </c>
      <c r="AN51" s="11">
        <f t="shared" si="26"/>
        <v>0</v>
      </c>
      <c r="AO51" s="11">
        <f t="shared" si="27"/>
        <v>0</v>
      </c>
      <c r="AP51" s="40">
        <f t="shared" si="28"/>
        <v>0</v>
      </c>
      <c r="AQ51" s="40">
        <f t="shared" si="29"/>
        <v>0</v>
      </c>
      <c r="AR51" s="40">
        <f t="shared" si="30"/>
        <v>0</v>
      </c>
      <c r="AS51" s="40" t="str">
        <f t="shared" si="31"/>
        <v/>
      </c>
      <c r="AT51" s="11" t="str">
        <f t="shared" si="32"/>
        <v/>
      </c>
      <c r="AU51" s="11">
        <f t="shared" si="33"/>
        <v>1</v>
      </c>
      <c r="AV51" s="11">
        <f t="shared" si="34"/>
        <v>1</v>
      </c>
      <c r="AW51" s="11" t="str">
        <f t="shared" si="35"/>
        <v/>
      </c>
      <c r="AX51" s="11" t="str">
        <f t="shared" si="36"/>
        <v/>
      </c>
      <c r="AY51" s="11" t="str">
        <f t="shared" si="37"/>
        <v/>
      </c>
      <c r="AZ51" s="11" t="str">
        <f t="shared" si="38"/>
        <v/>
      </c>
      <c r="BA51" s="11" t="str">
        <f t="shared" si="39"/>
        <v/>
      </c>
      <c r="BB51" s="11" t="str">
        <f t="shared" si="40"/>
        <v/>
      </c>
      <c r="BC51" s="11" t="str">
        <f t="shared" si="41"/>
        <v/>
      </c>
      <c r="BD51" s="11" t="str">
        <f t="shared" si="42"/>
        <v/>
      </c>
      <c r="BE51" s="39" t="str">
        <f t="shared" si="43"/>
        <v/>
      </c>
      <c r="BF51" s="11" t="str">
        <f t="shared" si="44"/>
        <v/>
      </c>
      <c r="BG51" s="11" t="str">
        <f t="shared" si="45"/>
        <v/>
      </c>
      <c r="BH51" s="39" t="str">
        <f t="shared" si="46"/>
        <v/>
      </c>
      <c r="BI51" s="11" t="str">
        <f t="shared" si="47"/>
        <v/>
      </c>
      <c r="BJ51" s="11" t="str">
        <f>IF($X51=0,"",IF($Q51&lt;&gt;"",$Q51,NEC_UNIDAD($W51,$E51,$Y51,$Z51,N($AT51),$C$7,OCUPACION)))</f>
        <v/>
      </c>
      <c r="BK51" s="11" t="str">
        <f>IF($X51=0,"",IF(N($R51)&gt;0,$R51,BREAKER_SEL($BX$60,$BI51,$AT51,$C$7,$BX$58,$BX$69,$BJ51)))</f>
        <v/>
      </c>
      <c r="BL51" s="11" t="str">
        <f>IF($BK51="","",BREAKER_REF($BX$60,$BK51,$BI51,$AT51,FALSE))</f>
        <v/>
      </c>
      <c r="BM51" s="11" t="str">
        <f>IF($BK51="","",BREAKER_DATO($BX$60,$BK51,"sccr"))</f>
        <v/>
      </c>
      <c r="BN51" s="11" t="str">
        <f>IF(OR($BK51="",N($BM51)&gt;=$BX$58,$BX$71="",N($BX$74)&lt;$BX$58),"",SERIE_KA($BX$60,BREAKER_DATO($BX$60,$BK51,"modelo"),$BX$72,N($BX$24),$C$7,$BX$58))</f>
        <v/>
      </c>
      <c r="BO51" s="11" t="str">
        <f>IF($BK51="","",BREAKER_DATO($BX$60,$BK51,"unidad"))</f>
        <v/>
      </c>
      <c r="BP51" s="11" t="str">
        <f>IF($BK51="","",BREAKER_DATO($BX$60,$BK51,"marco"))</f>
        <v/>
      </c>
      <c r="BQ51" s="11" t="str">
        <f t="shared" si="48"/>
        <v/>
      </c>
      <c r="BR51" s="11" t="str">
        <f t="shared" si="49"/>
        <v/>
      </c>
      <c r="BS51" s="11" t="str">
        <f t="shared" si="50"/>
        <v/>
      </c>
      <c r="BT51" s="11" t="str">
        <f t="shared" si="51"/>
        <v/>
      </c>
      <c r="BU51" s="11" t="str">
        <f t="shared" si="52"/>
        <v/>
      </c>
      <c r="BW51" t="s">
        <v>646</v>
      </c>
      <c r="BX51">
        <f>BX50*100/$C$7</f>
        <v>0</v>
      </c>
      <c r="CA51" s="11" t="str">
        <f t="shared" si="53"/>
        <v/>
      </c>
      <c r="CB51" s="11" t="str">
        <f t="shared" si="54"/>
        <v/>
      </c>
    </row>
    <row r="52" spans="1:80" ht="14.65" x14ac:dyDescent="0.45">
      <c r="A52" s="37"/>
      <c r="B52" s="14">
        <v>55</v>
      </c>
      <c r="C52" s="37"/>
      <c r="D52" s="37"/>
      <c r="E52" s="37"/>
      <c r="F52" s="37" t="str">
        <f t="shared" si="0"/>
        <v/>
      </c>
      <c r="G52" s="38"/>
      <c r="H52" s="37"/>
      <c r="I52" s="37" t="str">
        <f t="shared" si="1"/>
        <v/>
      </c>
      <c r="J52" s="37" t="str">
        <f t="shared" si="2"/>
        <v/>
      </c>
      <c r="K52" s="37" t="str">
        <f t="shared" si="3"/>
        <v/>
      </c>
      <c r="L52" s="37" t="str">
        <f t="shared" si="4"/>
        <v/>
      </c>
      <c r="M52" s="37" t="str">
        <f t="shared" si="5"/>
        <v/>
      </c>
      <c r="N52" s="37" t="str">
        <f t="shared" si="6"/>
        <v/>
      </c>
      <c r="O52" s="37" t="str">
        <f t="shared" si="7"/>
        <v/>
      </c>
      <c r="P52" s="37" t="str">
        <f t="shared" si="8"/>
        <v/>
      </c>
      <c r="Q52" s="37" t="str">
        <f>IF($X52=0,"",NEC_UNIDAD($W52,$E52,$Y52,$Z52,N($AT52),$C$7,OCUPACION))</f>
        <v/>
      </c>
      <c r="R52" s="37" t="str">
        <f>IF($X52=0,"",BREAKER_SEL($BX$60,$BI52,$AT52,$C$7,$BX$58,$BX$69,$BJ52))</f>
        <v/>
      </c>
      <c r="S52" s="37"/>
      <c r="T52" s="37"/>
      <c r="U52" s="37"/>
      <c r="V52" s="37"/>
      <c r="W52" s="11" t="str">
        <f t="shared" si="9"/>
        <v/>
      </c>
      <c r="X52" s="39">
        <f t="shared" si="10"/>
        <v>0</v>
      </c>
      <c r="Y52" s="11">
        <f t="shared" si="11"/>
        <v>0</v>
      </c>
      <c r="Z52" s="11">
        <f t="shared" si="12"/>
        <v>0</v>
      </c>
      <c r="AA52" s="11">
        <f t="shared" si="13"/>
        <v>0</v>
      </c>
      <c r="AB52" s="11">
        <f t="shared" si="14"/>
        <v>1</v>
      </c>
      <c r="AC52" s="11">
        <f t="shared" si="15"/>
        <v>1</v>
      </c>
      <c r="AD52" s="11">
        <f t="shared" si="16"/>
        <v>1</v>
      </c>
      <c r="AE52" s="11" t="str">
        <f t="shared" si="17"/>
        <v/>
      </c>
      <c r="AF52" s="11">
        <f t="shared" si="18"/>
        <v>1.25</v>
      </c>
      <c r="AG52" s="11">
        <f t="shared" si="19"/>
        <v>0</v>
      </c>
      <c r="AH52" s="11">
        <f t="shared" si="20"/>
        <v>-1</v>
      </c>
      <c r="AI52" s="11">
        <f t="shared" si="21"/>
        <v>-1</v>
      </c>
      <c r="AJ52" s="39">
        <f t="shared" si="22"/>
        <v>0</v>
      </c>
      <c r="AK52" s="39">
        <f t="shared" si="23"/>
        <v>0</v>
      </c>
      <c r="AL52" s="39">
        <f t="shared" si="24"/>
        <v>0</v>
      </c>
      <c r="AM52" s="11">
        <f t="shared" si="25"/>
        <v>0</v>
      </c>
      <c r="AN52" s="11">
        <f t="shared" si="26"/>
        <v>0</v>
      </c>
      <c r="AO52" s="11">
        <f t="shared" si="27"/>
        <v>0</v>
      </c>
      <c r="AP52" s="40">
        <f t="shared" si="28"/>
        <v>0</v>
      </c>
      <c r="AQ52" s="40">
        <f t="shared" si="29"/>
        <v>0</v>
      </c>
      <c r="AR52" s="40">
        <f t="shared" si="30"/>
        <v>0</v>
      </c>
      <c r="AS52" s="40" t="str">
        <f t="shared" si="31"/>
        <v/>
      </c>
      <c r="AT52" s="11" t="str">
        <f t="shared" si="32"/>
        <v/>
      </c>
      <c r="AU52" s="11">
        <f t="shared" si="33"/>
        <v>1</v>
      </c>
      <c r="AV52" s="11">
        <f t="shared" si="34"/>
        <v>1</v>
      </c>
      <c r="AW52" s="11" t="str">
        <f t="shared" si="35"/>
        <v/>
      </c>
      <c r="AX52" s="11" t="str">
        <f t="shared" si="36"/>
        <v/>
      </c>
      <c r="AY52" s="11" t="str">
        <f t="shared" si="37"/>
        <v/>
      </c>
      <c r="AZ52" s="11" t="str">
        <f t="shared" si="38"/>
        <v/>
      </c>
      <c r="BA52" s="11" t="str">
        <f t="shared" si="39"/>
        <v/>
      </c>
      <c r="BB52" s="11" t="str">
        <f t="shared" si="40"/>
        <v/>
      </c>
      <c r="BC52" s="11" t="str">
        <f t="shared" si="41"/>
        <v/>
      </c>
      <c r="BD52" s="11" t="str">
        <f t="shared" si="42"/>
        <v/>
      </c>
      <c r="BE52" s="39" t="str">
        <f t="shared" si="43"/>
        <v/>
      </c>
      <c r="BF52" s="11" t="str">
        <f t="shared" si="44"/>
        <v/>
      </c>
      <c r="BG52" s="11" t="str">
        <f t="shared" si="45"/>
        <v/>
      </c>
      <c r="BH52" s="39" t="str">
        <f t="shared" si="46"/>
        <v/>
      </c>
      <c r="BI52" s="11" t="str">
        <f t="shared" si="47"/>
        <v/>
      </c>
      <c r="BJ52" s="11" t="str">
        <f>IF($X52=0,"",IF($Q52&lt;&gt;"",$Q52,NEC_UNIDAD($W52,$E52,$Y52,$Z52,N($AT52),$C$7,OCUPACION)))</f>
        <v/>
      </c>
      <c r="BK52" s="11" t="str">
        <f>IF($X52=0,"",IF(N($R52)&gt;0,$R52,BREAKER_SEL($BX$60,$BI52,$AT52,$C$7,$BX$58,$BX$69,$BJ52)))</f>
        <v/>
      </c>
      <c r="BL52" s="11" t="str">
        <f>IF($BK52="","",BREAKER_REF($BX$60,$BK52,$BI52,$AT52,FALSE))</f>
        <v/>
      </c>
      <c r="BM52" s="11" t="str">
        <f>IF($BK52="","",BREAKER_DATO($BX$60,$BK52,"sccr"))</f>
        <v/>
      </c>
      <c r="BN52" s="11" t="str">
        <f>IF(OR($BK52="",N($BM52)&gt;=$BX$58,$BX$71="",N($BX$74)&lt;$BX$58),"",SERIE_KA($BX$60,BREAKER_DATO($BX$60,$BK52,"modelo"),$BX$72,N($BX$24),$C$7,$BX$58))</f>
        <v/>
      </c>
      <c r="BO52" s="11" t="str">
        <f>IF($BK52="","",BREAKER_DATO($BX$60,$BK52,"unidad"))</f>
        <v/>
      </c>
      <c r="BP52" s="11" t="str">
        <f>IF($BK52="","",BREAKER_DATO($BX$60,$BK52,"marco"))</f>
        <v/>
      </c>
      <c r="BQ52" s="11" t="str">
        <f t="shared" si="48"/>
        <v/>
      </c>
      <c r="BR52" s="11" t="str">
        <f t="shared" si="49"/>
        <v/>
      </c>
      <c r="BS52" s="11" t="str">
        <f t="shared" si="50"/>
        <v/>
      </c>
      <c r="BT52" s="11" t="str">
        <f t="shared" si="51"/>
        <v/>
      </c>
      <c r="BU52" s="11" t="str">
        <f t="shared" si="52"/>
        <v/>
      </c>
      <c r="BW52" t="s">
        <v>770</v>
      </c>
      <c r="BX52">
        <f>IF($C$7&gt;490,$C$7/1.732,IF($C$7&gt;240,277,IF($C$7=220,127,120)))</f>
        <v>120</v>
      </c>
      <c r="CA52" s="11" t="str">
        <f t="shared" si="53"/>
        <v/>
      </c>
      <c r="CB52" s="11" t="str">
        <f t="shared" si="54"/>
        <v/>
      </c>
    </row>
    <row r="53" spans="1:80" ht="14.65" x14ac:dyDescent="0.45">
      <c r="A53" s="37"/>
      <c r="B53" s="14">
        <v>57</v>
      </c>
      <c r="C53" s="37"/>
      <c r="D53" s="37"/>
      <c r="E53" s="37"/>
      <c r="F53" s="37" t="str">
        <f t="shared" si="0"/>
        <v/>
      </c>
      <c r="G53" s="38"/>
      <c r="H53" s="37"/>
      <c r="I53" s="37" t="str">
        <f t="shared" si="1"/>
        <v/>
      </c>
      <c r="J53" s="37" t="str">
        <f t="shared" si="2"/>
        <v/>
      </c>
      <c r="K53" s="37" t="str">
        <f t="shared" si="3"/>
        <v/>
      </c>
      <c r="L53" s="37" t="str">
        <f t="shared" si="4"/>
        <v/>
      </c>
      <c r="M53" s="37" t="str">
        <f t="shared" si="5"/>
        <v/>
      </c>
      <c r="N53" s="37" t="str">
        <f t="shared" si="6"/>
        <v/>
      </c>
      <c r="O53" s="37" t="str">
        <f t="shared" si="7"/>
        <v/>
      </c>
      <c r="P53" s="37" t="str">
        <f t="shared" si="8"/>
        <v/>
      </c>
      <c r="Q53" s="37" t="str">
        <f>IF($X53=0,"",NEC_UNIDAD($W53,$E53,$Y53,$Z53,N($AT53),$C$7,OCUPACION))</f>
        <v/>
      </c>
      <c r="R53" s="37" t="str">
        <f>IF($X53=0,"",BREAKER_SEL($BX$60,$BI53,$AT53,$C$7,$BX$58,$BX$69,$BJ53))</f>
        <v/>
      </c>
      <c r="S53" s="37"/>
      <c r="T53" s="37"/>
      <c r="U53" s="37"/>
      <c r="V53" s="37"/>
      <c r="W53" s="11" t="str">
        <f t="shared" si="9"/>
        <v/>
      </c>
      <c r="X53" s="39">
        <f t="shared" si="10"/>
        <v>0</v>
      </c>
      <c r="Y53" s="11">
        <f t="shared" si="11"/>
        <v>0</v>
      </c>
      <c r="Z53" s="11">
        <f t="shared" si="12"/>
        <v>0</v>
      </c>
      <c r="AA53" s="11">
        <f t="shared" si="13"/>
        <v>0</v>
      </c>
      <c r="AB53" s="11">
        <f t="shared" si="14"/>
        <v>1</v>
      </c>
      <c r="AC53" s="11">
        <f t="shared" si="15"/>
        <v>1</v>
      </c>
      <c r="AD53" s="11">
        <f t="shared" si="16"/>
        <v>1</v>
      </c>
      <c r="AE53" s="11" t="str">
        <f t="shared" si="17"/>
        <v/>
      </c>
      <c r="AF53" s="11">
        <f t="shared" si="18"/>
        <v>1.25</v>
      </c>
      <c r="AG53" s="11">
        <f t="shared" si="19"/>
        <v>1</v>
      </c>
      <c r="AH53" s="11">
        <f t="shared" si="20"/>
        <v>-1</v>
      </c>
      <c r="AI53" s="11">
        <f t="shared" si="21"/>
        <v>-1</v>
      </c>
      <c r="AJ53" s="39">
        <f t="shared" si="22"/>
        <v>0</v>
      </c>
      <c r="AK53" s="39">
        <f t="shared" si="23"/>
        <v>0</v>
      </c>
      <c r="AL53" s="39">
        <f t="shared" si="24"/>
        <v>0</v>
      </c>
      <c r="AM53" s="11">
        <f t="shared" si="25"/>
        <v>0</v>
      </c>
      <c r="AN53" s="11">
        <f t="shared" si="26"/>
        <v>0</v>
      </c>
      <c r="AO53" s="11">
        <f t="shared" si="27"/>
        <v>0</v>
      </c>
      <c r="AP53" s="40">
        <f t="shared" si="28"/>
        <v>0</v>
      </c>
      <c r="AQ53" s="40">
        <f t="shared" si="29"/>
        <v>0</v>
      </c>
      <c r="AR53" s="40">
        <f t="shared" si="30"/>
        <v>0</v>
      </c>
      <c r="AS53" s="40" t="str">
        <f t="shared" si="31"/>
        <v/>
      </c>
      <c r="AT53" s="11" t="str">
        <f t="shared" si="32"/>
        <v/>
      </c>
      <c r="AU53" s="11">
        <f t="shared" si="33"/>
        <v>1</v>
      </c>
      <c r="AV53" s="11">
        <f t="shared" si="34"/>
        <v>1</v>
      </c>
      <c r="AW53" s="11" t="str">
        <f t="shared" si="35"/>
        <v/>
      </c>
      <c r="AX53" s="11" t="str">
        <f t="shared" si="36"/>
        <v/>
      </c>
      <c r="AY53" s="11" t="str">
        <f t="shared" si="37"/>
        <v/>
      </c>
      <c r="AZ53" s="11" t="str">
        <f t="shared" si="38"/>
        <v/>
      </c>
      <c r="BA53" s="11" t="str">
        <f t="shared" si="39"/>
        <v/>
      </c>
      <c r="BB53" s="11" t="str">
        <f t="shared" si="40"/>
        <v/>
      </c>
      <c r="BC53" s="11" t="str">
        <f t="shared" si="41"/>
        <v/>
      </c>
      <c r="BD53" s="11" t="str">
        <f t="shared" si="42"/>
        <v/>
      </c>
      <c r="BE53" s="39" t="str">
        <f t="shared" si="43"/>
        <v/>
      </c>
      <c r="BF53" s="11" t="str">
        <f t="shared" si="44"/>
        <v/>
      </c>
      <c r="BG53" s="11" t="str">
        <f t="shared" si="45"/>
        <v/>
      </c>
      <c r="BH53" s="39" t="str">
        <f t="shared" si="46"/>
        <v/>
      </c>
      <c r="BI53" s="11" t="str">
        <f t="shared" si="47"/>
        <v/>
      </c>
      <c r="BJ53" s="11" t="str">
        <f>IF($X53=0,"",IF($Q53&lt;&gt;"",$Q53,NEC_UNIDAD($W53,$E53,$Y53,$Z53,N($AT53),$C$7,OCUPACION)))</f>
        <v/>
      </c>
      <c r="BK53" s="11" t="str">
        <f>IF($X53=0,"",IF(N($R53)&gt;0,$R53,BREAKER_SEL($BX$60,$BI53,$AT53,$C$7,$BX$58,$BX$69,$BJ53)))</f>
        <v/>
      </c>
      <c r="BL53" s="11" t="str">
        <f>IF($BK53="","",BREAKER_REF($BX$60,$BK53,$BI53,$AT53,FALSE))</f>
        <v/>
      </c>
      <c r="BM53" s="11" t="str">
        <f>IF($BK53="","",BREAKER_DATO($BX$60,$BK53,"sccr"))</f>
        <v/>
      </c>
      <c r="BN53" s="11" t="str">
        <f>IF(OR($BK53="",N($BM53)&gt;=$BX$58,$BX$71="",N($BX$74)&lt;$BX$58),"",SERIE_KA($BX$60,BREAKER_DATO($BX$60,$BK53,"modelo"),$BX$72,N($BX$24),$C$7,$BX$58))</f>
        <v/>
      </c>
      <c r="BO53" s="11" t="str">
        <f>IF($BK53="","",BREAKER_DATO($BX$60,$BK53,"unidad"))</f>
        <v/>
      </c>
      <c r="BP53" s="11" t="str">
        <f>IF($BK53="","",BREAKER_DATO($BX$60,$BK53,"marco"))</f>
        <v/>
      </c>
      <c r="BQ53" s="11" t="str">
        <f t="shared" si="48"/>
        <v/>
      </c>
      <c r="BR53" s="11" t="str">
        <f t="shared" si="49"/>
        <v/>
      </c>
      <c r="BS53" s="11" t="str">
        <f t="shared" si="50"/>
        <v/>
      </c>
      <c r="BT53" s="11" t="str">
        <f t="shared" si="51"/>
        <v/>
      </c>
      <c r="BU53" s="11" t="str">
        <f t="shared" si="52"/>
        <v/>
      </c>
      <c r="BW53" t="s">
        <v>771</v>
      </c>
      <c r="BX53">
        <f>BX48/IF($C$7=240,2,1.732)</f>
        <v>0</v>
      </c>
      <c r="CA53" s="11" t="str">
        <f t="shared" si="53"/>
        <v/>
      </c>
      <c r="CB53" s="11" t="str">
        <f t="shared" si="54"/>
        <v/>
      </c>
    </row>
    <row r="54" spans="1:80" ht="14.65" x14ac:dyDescent="0.45">
      <c r="A54" s="37"/>
      <c r="B54" s="14">
        <v>59</v>
      </c>
      <c r="C54" s="37"/>
      <c r="D54" s="37"/>
      <c r="E54" s="37"/>
      <c r="F54" s="37" t="str">
        <f t="shared" si="0"/>
        <v/>
      </c>
      <c r="G54" s="38"/>
      <c r="H54" s="37"/>
      <c r="I54" s="37" t="str">
        <f t="shared" si="1"/>
        <v/>
      </c>
      <c r="J54" s="37" t="str">
        <f t="shared" si="2"/>
        <v/>
      </c>
      <c r="K54" s="37" t="str">
        <f t="shared" si="3"/>
        <v/>
      </c>
      <c r="L54" s="37" t="str">
        <f t="shared" si="4"/>
        <v/>
      </c>
      <c r="M54" s="37" t="str">
        <f t="shared" si="5"/>
        <v/>
      </c>
      <c r="N54" s="37" t="str">
        <f t="shared" si="6"/>
        <v/>
      </c>
      <c r="O54" s="37" t="str">
        <f t="shared" si="7"/>
        <v/>
      </c>
      <c r="P54" s="37" t="str">
        <f t="shared" si="8"/>
        <v/>
      </c>
      <c r="Q54" s="37" t="str">
        <f>IF($X54=0,"",NEC_UNIDAD($W54,$E54,$Y54,$Z54,N($AT54),$C$7,OCUPACION))</f>
        <v/>
      </c>
      <c r="R54" s="37" t="str">
        <f>IF($X54=0,"",BREAKER_SEL($BX$60,$BI54,$AT54,$C$7,$BX$58,$BX$69,$BJ54))</f>
        <v/>
      </c>
      <c r="S54" s="37"/>
      <c r="T54" s="37"/>
      <c r="U54" s="37"/>
      <c r="V54" s="37"/>
      <c r="W54" s="11" t="str">
        <f t="shared" si="9"/>
        <v/>
      </c>
      <c r="X54" s="39">
        <f t="shared" si="10"/>
        <v>0</v>
      </c>
      <c r="Y54" s="11">
        <f t="shared" si="11"/>
        <v>0</v>
      </c>
      <c r="Z54" s="11">
        <f t="shared" si="12"/>
        <v>0</v>
      </c>
      <c r="AA54" s="11">
        <f t="shared" si="13"/>
        <v>0</v>
      </c>
      <c r="AB54" s="11">
        <f t="shared" si="14"/>
        <v>1</v>
      </c>
      <c r="AC54" s="11">
        <f t="shared" si="15"/>
        <v>1</v>
      </c>
      <c r="AD54" s="11">
        <f t="shared" si="16"/>
        <v>1</v>
      </c>
      <c r="AE54" s="11" t="str">
        <f t="shared" si="17"/>
        <v/>
      </c>
      <c r="AF54" s="11">
        <f t="shared" si="18"/>
        <v>1.25</v>
      </c>
      <c r="AG54" s="11">
        <f t="shared" si="19"/>
        <v>2</v>
      </c>
      <c r="AH54" s="11">
        <f t="shared" si="20"/>
        <v>-1</v>
      </c>
      <c r="AI54" s="11">
        <f t="shared" si="21"/>
        <v>-1</v>
      </c>
      <c r="AJ54" s="39">
        <f t="shared" si="22"/>
        <v>0</v>
      </c>
      <c r="AK54" s="39">
        <f t="shared" si="23"/>
        <v>0</v>
      </c>
      <c r="AL54" s="39">
        <f t="shared" si="24"/>
        <v>0</v>
      </c>
      <c r="AM54" s="11">
        <f t="shared" si="25"/>
        <v>0</v>
      </c>
      <c r="AN54" s="11">
        <f t="shared" si="26"/>
        <v>0</v>
      </c>
      <c r="AO54" s="11">
        <f t="shared" si="27"/>
        <v>0</v>
      </c>
      <c r="AP54" s="40">
        <f t="shared" si="28"/>
        <v>0</v>
      </c>
      <c r="AQ54" s="40">
        <f t="shared" si="29"/>
        <v>0</v>
      </c>
      <c r="AR54" s="40">
        <f t="shared" si="30"/>
        <v>0</v>
      </c>
      <c r="AS54" s="40" t="str">
        <f t="shared" si="31"/>
        <v/>
      </c>
      <c r="AT54" s="11" t="str">
        <f t="shared" si="32"/>
        <v/>
      </c>
      <c r="AU54" s="11">
        <f t="shared" si="33"/>
        <v>1</v>
      </c>
      <c r="AV54" s="11">
        <f t="shared" si="34"/>
        <v>1</v>
      </c>
      <c r="AW54" s="11" t="str">
        <f t="shared" si="35"/>
        <v/>
      </c>
      <c r="AX54" s="11" t="str">
        <f t="shared" si="36"/>
        <v/>
      </c>
      <c r="AY54" s="11" t="str">
        <f t="shared" si="37"/>
        <v/>
      </c>
      <c r="AZ54" s="11" t="str">
        <f t="shared" si="38"/>
        <v/>
      </c>
      <c r="BA54" s="11" t="str">
        <f t="shared" si="39"/>
        <v/>
      </c>
      <c r="BB54" s="11" t="str">
        <f t="shared" si="40"/>
        <v/>
      </c>
      <c r="BC54" s="11" t="str">
        <f t="shared" si="41"/>
        <v/>
      </c>
      <c r="BD54" s="11" t="str">
        <f t="shared" si="42"/>
        <v/>
      </c>
      <c r="BE54" s="39" t="str">
        <f t="shared" si="43"/>
        <v/>
      </c>
      <c r="BF54" s="11" t="str">
        <f t="shared" si="44"/>
        <v/>
      </c>
      <c r="BG54" s="11" t="str">
        <f t="shared" si="45"/>
        <v/>
      </c>
      <c r="BH54" s="39" t="str">
        <f t="shared" si="46"/>
        <v/>
      </c>
      <c r="BI54" s="11" t="str">
        <f t="shared" si="47"/>
        <v/>
      </c>
      <c r="BJ54" s="11" t="str">
        <f>IF($X54=0,"",IF($Q54&lt;&gt;"",$Q54,NEC_UNIDAD($W54,$E54,$Y54,$Z54,N($AT54),$C$7,OCUPACION)))</f>
        <v/>
      </c>
      <c r="BK54" s="11" t="str">
        <f>IF($X54=0,"",IF(N($R54)&gt;0,$R54,BREAKER_SEL($BX$60,$BI54,$AT54,$C$7,$BX$58,$BX$69,$BJ54)))</f>
        <v/>
      </c>
      <c r="BL54" s="11" t="str">
        <f>IF($BK54="","",BREAKER_REF($BX$60,$BK54,$BI54,$AT54,FALSE))</f>
        <v/>
      </c>
      <c r="BM54" s="11" t="str">
        <f>IF($BK54="","",BREAKER_DATO($BX$60,$BK54,"sccr"))</f>
        <v/>
      </c>
      <c r="BN54" s="11" t="str">
        <f>IF(OR($BK54="",N($BM54)&gt;=$BX$58,$BX$71="",N($BX$74)&lt;$BX$58),"",SERIE_KA($BX$60,BREAKER_DATO($BX$60,$BK54,"modelo"),$BX$72,N($BX$24),$C$7,$BX$58))</f>
        <v/>
      </c>
      <c r="BO54" s="11" t="str">
        <f>IF($BK54="","",BREAKER_DATO($BX$60,$BK54,"unidad"))</f>
        <v/>
      </c>
      <c r="BP54" s="11" t="str">
        <f>IF($BK54="","",BREAKER_DATO($BX$60,$BK54,"marco"))</f>
        <v/>
      </c>
      <c r="BQ54" s="11" t="str">
        <f t="shared" si="48"/>
        <v/>
      </c>
      <c r="BR54" s="11" t="str">
        <f t="shared" si="49"/>
        <v/>
      </c>
      <c r="BS54" s="11" t="str">
        <f t="shared" si="50"/>
        <v/>
      </c>
      <c r="BT54" s="11" t="str">
        <f t="shared" si="51"/>
        <v/>
      </c>
      <c r="BU54" s="11" t="str">
        <f t="shared" si="52"/>
        <v/>
      </c>
      <c r="BW54" t="s">
        <v>772</v>
      </c>
      <c r="BX54">
        <f>BX52-($C$7-BX47)/IF($C$7=240,2,1.732)-BX53</f>
        <v>120</v>
      </c>
      <c r="CA54" s="11" t="str">
        <f t="shared" si="53"/>
        <v/>
      </c>
      <c r="CB54" s="11" t="str">
        <f t="shared" si="54"/>
        <v/>
      </c>
    </row>
    <row r="55" spans="1:80" ht="14.65" x14ac:dyDescent="0.45">
      <c r="A55" s="37"/>
      <c r="B55" s="14">
        <v>61</v>
      </c>
      <c r="C55" s="37"/>
      <c r="D55" s="37"/>
      <c r="E55" s="37"/>
      <c r="F55" s="37" t="str">
        <f t="shared" si="0"/>
        <v/>
      </c>
      <c r="G55" s="38"/>
      <c r="H55" s="37"/>
      <c r="I55" s="37" t="str">
        <f t="shared" si="1"/>
        <v/>
      </c>
      <c r="J55" s="37" t="str">
        <f t="shared" si="2"/>
        <v/>
      </c>
      <c r="K55" s="37" t="str">
        <f t="shared" si="3"/>
        <v/>
      </c>
      <c r="L55" s="37" t="str">
        <f t="shared" si="4"/>
        <v/>
      </c>
      <c r="M55" s="37" t="str">
        <f t="shared" si="5"/>
        <v/>
      </c>
      <c r="N55" s="37" t="str">
        <f t="shared" si="6"/>
        <v/>
      </c>
      <c r="O55" s="37" t="str">
        <f t="shared" si="7"/>
        <v/>
      </c>
      <c r="P55" s="37" t="str">
        <f t="shared" si="8"/>
        <v/>
      </c>
      <c r="Q55" s="37" t="str">
        <f>IF($X55=0,"",NEC_UNIDAD($W55,$E55,$Y55,$Z55,N($AT55),$C$7,OCUPACION))</f>
        <v/>
      </c>
      <c r="R55" s="37" t="str">
        <f>IF($X55=0,"",BREAKER_SEL($BX$60,$BI55,$AT55,$C$7,$BX$58,$BX$69,$BJ55))</f>
        <v/>
      </c>
      <c r="S55" s="37"/>
      <c r="T55" s="37"/>
      <c r="U55" s="37"/>
      <c r="V55" s="37"/>
      <c r="W55" s="11" t="str">
        <f t="shared" si="9"/>
        <v/>
      </c>
      <c r="X55" s="39">
        <f t="shared" si="10"/>
        <v>0</v>
      </c>
      <c r="Y55" s="11">
        <f t="shared" si="11"/>
        <v>0</v>
      </c>
      <c r="Z55" s="11">
        <f t="shared" si="12"/>
        <v>0</v>
      </c>
      <c r="AA55" s="11">
        <f t="shared" si="13"/>
        <v>0</v>
      </c>
      <c r="AB55" s="11">
        <f t="shared" si="14"/>
        <v>1</v>
      </c>
      <c r="AC55" s="11">
        <f t="shared" si="15"/>
        <v>1</v>
      </c>
      <c r="AD55" s="11">
        <f t="shared" si="16"/>
        <v>1</v>
      </c>
      <c r="AE55" s="11" t="str">
        <f t="shared" si="17"/>
        <v/>
      </c>
      <c r="AF55" s="11">
        <f t="shared" si="18"/>
        <v>1.25</v>
      </c>
      <c r="AG55" s="11">
        <f t="shared" si="19"/>
        <v>0</v>
      </c>
      <c r="AH55" s="11">
        <f t="shared" si="20"/>
        <v>-1</v>
      </c>
      <c r="AI55" s="11">
        <f t="shared" si="21"/>
        <v>-1</v>
      </c>
      <c r="AJ55" s="39">
        <f t="shared" si="22"/>
        <v>0</v>
      </c>
      <c r="AK55" s="39">
        <f t="shared" si="23"/>
        <v>0</v>
      </c>
      <c r="AL55" s="39">
        <f t="shared" si="24"/>
        <v>0</v>
      </c>
      <c r="AM55" s="11">
        <f t="shared" si="25"/>
        <v>0</v>
      </c>
      <c r="AN55" s="11">
        <f t="shared" si="26"/>
        <v>0</v>
      </c>
      <c r="AO55" s="11">
        <f t="shared" si="27"/>
        <v>0</v>
      </c>
      <c r="AP55" s="40">
        <f t="shared" si="28"/>
        <v>0</v>
      </c>
      <c r="AQ55" s="40">
        <f t="shared" si="29"/>
        <v>0</v>
      </c>
      <c r="AR55" s="40">
        <f t="shared" si="30"/>
        <v>0</v>
      </c>
      <c r="AS55" s="40" t="str">
        <f t="shared" si="31"/>
        <v/>
      </c>
      <c r="AT55" s="11" t="str">
        <f t="shared" si="32"/>
        <v/>
      </c>
      <c r="AU55" s="11">
        <f t="shared" si="33"/>
        <v>1</v>
      </c>
      <c r="AV55" s="11">
        <f t="shared" si="34"/>
        <v>1</v>
      </c>
      <c r="AW55" s="11" t="str">
        <f t="shared" si="35"/>
        <v/>
      </c>
      <c r="AX55" s="11" t="str">
        <f t="shared" si="36"/>
        <v/>
      </c>
      <c r="AY55" s="11" t="str">
        <f t="shared" si="37"/>
        <v/>
      </c>
      <c r="AZ55" s="11" t="str">
        <f t="shared" si="38"/>
        <v/>
      </c>
      <c r="BA55" s="11" t="str">
        <f t="shared" si="39"/>
        <v/>
      </c>
      <c r="BB55" s="11" t="str">
        <f t="shared" si="40"/>
        <v/>
      </c>
      <c r="BC55" s="11" t="str">
        <f t="shared" si="41"/>
        <v/>
      </c>
      <c r="BD55" s="11" t="str">
        <f t="shared" si="42"/>
        <v/>
      </c>
      <c r="BE55" s="39" t="str">
        <f t="shared" si="43"/>
        <v/>
      </c>
      <c r="BF55" s="11" t="str">
        <f t="shared" si="44"/>
        <v/>
      </c>
      <c r="BG55" s="11" t="str">
        <f t="shared" si="45"/>
        <v/>
      </c>
      <c r="BH55" s="39" t="str">
        <f t="shared" si="46"/>
        <v/>
      </c>
      <c r="BI55" s="11" t="str">
        <f t="shared" si="47"/>
        <v/>
      </c>
      <c r="BJ55" s="11" t="str">
        <f>IF($X55=0,"",IF($Q55&lt;&gt;"",$Q55,NEC_UNIDAD($W55,$E55,$Y55,$Z55,N($AT55),$C$7,OCUPACION)))</f>
        <v/>
      </c>
      <c r="BK55" s="11" t="str">
        <f>IF($X55=0,"",IF(N($R55)&gt;0,$R55,BREAKER_SEL($BX$60,$BI55,$AT55,$C$7,$BX$58,$BX$69,$BJ55)))</f>
        <v/>
      </c>
      <c r="BL55" s="11" t="str">
        <f>IF($BK55="","",BREAKER_REF($BX$60,$BK55,$BI55,$AT55,FALSE))</f>
        <v/>
      </c>
      <c r="BM55" s="11" t="str">
        <f>IF($BK55="","",BREAKER_DATO($BX$60,$BK55,"sccr"))</f>
        <v/>
      </c>
      <c r="BN55" s="11" t="str">
        <f>IF(OR($BK55="",N($BM55)&gt;=$BX$58,$BX$71="",N($BX$74)&lt;$BX$58),"",SERIE_KA($BX$60,BREAKER_DATO($BX$60,$BK55,"modelo"),$BX$72,N($BX$24),$C$7,$BX$58))</f>
        <v/>
      </c>
      <c r="BO55" s="11" t="str">
        <f>IF($BK55="","",BREAKER_DATO($BX$60,$BK55,"unidad"))</f>
        <v/>
      </c>
      <c r="BP55" s="11" t="str">
        <f>IF($BK55="","",BREAKER_DATO($BX$60,$BK55,"marco"))</f>
        <v/>
      </c>
      <c r="BQ55" s="11" t="str">
        <f t="shared" si="48"/>
        <v/>
      </c>
      <c r="BR55" s="11" t="str">
        <f t="shared" si="49"/>
        <v/>
      </c>
      <c r="BS55" s="11" t="str">
        <f t="shared" si="50"/>
        <v/>
      </c>
      <c r="BT55" s="11" t="str">
        <f t="shared" si="51"/>
        <v/>
      </c>
      <c r="BU55" s="11" t="str">
        <f t="shared" si="52"/>
        <v/>
      </c>
      <c r="BW55" t="s">
        <v>773</v>
      </c>
      <c r="BX55" t="str">
        <f>IF(N($C$14)&gt;0,$C$14*1000,IF($I$3="SI",IF(N(BX57)&gt;0,P2P(BX57,BX31,IF($F$4="","XHHW-2",$F$4),IF($F$5="","EMT",$F$5),BX30,BX40,$C$7,$C$8,ICC_LMAX),""),IF(AND($C$10&lt;&gt;"",N(BX44)=$C$7,N(BX46)&gt;0),P2P(BX46,BX31,IF($F$4="","XHHW-2",$F$4),IF($F$5="","EMT",$F$5),BX30,BX40,$C$7,$C$8,ICC_LMAX),"")))</f>
        <v/>
      </c>
      <c r="CA55" s="11" t="str">
        <f t="shared" si="53"/>
        <v/>
      </c>
      <c r="CB55" s="11" t="str">
        <f t="shared" si="54"/>
        <v/>
      </c>
    </row>
    <row r="56" spans="1:80" ht="14.65" x14ac:dyDescent="0.45">
      <c r="A56" s="37"/>
      <c r="B56" s="14">
        <v>63</v>
      </c>
      <c r="C56" s="37"/>
      <c r="D56" s="37"/>
      <c r="E56" s="37"/>
      <c r="F56" s="37" t="str">
        <f t="shared" si="0"/>
        <v/>
      </c>
      <c r="G56" s="38"/>
      <c r="H56" s="37"/>
      <c r="I56" s="37" t="str">
        <f t="shared" si="1"/>
        <v/>
      </c>
      <c r="J56" s="37" t="str">
        <f t="shared" si="2"/>
        <v/>
      </c>
      <c r="K56" s="37" t="str">
        <f t="shared" si="3"/>
        <v/>
      </c>
      <c r="L56" s="37" t="str">
        <f t="shared" si="4"/>
        <v/>
      </c>
      <c r="M56" s="37" t="str">
        <f t="shared" si="5"/>
        <v/>
      </c>
      <c r="N56" s="37" t="str">
        <f t="shared" si="6"/>
        <v/>
      </c>
      <c r="O56" s="37" t="str">
        <f t="shared" si="7"/>
        <v/>
      </c>
      <c r="P56" s="37" t="str">
        <f t="shared" si="8"/>
        <v/>
      </c>
      <c r="Q56" s="37" t="str">
        <f>IF($X56=0,"",NEC_UNIDAD($W56,$E56,$Y56,$Z56,N($AT56),$C$7,OCUPACION))</f>
        <v/>
      </c>
      <c r="R56" s="37" t="str">
        <f>IF($X56=0,"",BREAKER_SEL($BX$60,$BI56,$AT56,$C$7,$BX$58,$BX$69,$BJ56))</f>
        <v/>
      </c>
      <c r="S56" s="37"/>
      <c r="T56" s="37"/>
      <c r="U56" s="37"/>
      <c r="V56" s="37"/>
      <c r="W56" s="11" t="str">
        <f t="shared" si="9"/>
        <v/>
      </c>
      <c r="X56" s="39">
        <f t="shared" si="10"/>
        <v>0</v>
      </c>
      <c r="Y56" s="11">
        <f t="shared" si="11"/>
        <v>0</v>
      </c>
      <c r="Z56" s="11">
        <f t="shared" si="12"/>
        <v>0</v>
      </c>
      <c r="AA56" s="11">
        <f t="shared" si="13"/>
        <v>0</v>
      </c>
      <c r="AB56" s="11">
        <f t="shared" si="14"/>
        <v>1</v>
      </c>
      <c r="AC56" s="11">
        <f t="shared" si="15"/>
        <v>1</v>
      </c>
      <c r="AD56" s="11">
        <f t="shared" si="16"/>
        <v>1</v>
      </c>
      <c r="AE56" s="11" t="str">
        <f t="shared" si="17"/>
        <v/>
      </c>
      <c r="AF56" s="11">
        <f t="shared" si="18"/>
        <v>1.25</v>
      </c>
      <c r="AG56" s="11">
        <f t="shared" si="19"/>
        <v>1</v>
      </c>
      <c r="AH56" s="11">
        <f t="shared" si="20"/>
        <v>-1</v>
      </c>
      <c r="AI56" s="11">
        <f t="shared" si="21"/>
        <v>-1</v>
      </c>
      <c r="AJ56" s="39">
        <f t="shared" si="22"/>
        <v>0</v>
      </c>
      <c r="AK56" s="39">
        <f t="shared" si="23"/>
        <v>0</v>
      </c>
      <c r="AL56" s="39">
        <f t="shared" si="24"/>
        <v>0</v>
      </c>
      <c r="AM56" s="11">
        <f t="shared" si="25"/>
        <v>0</v>
      </c>
      <c r="AN56" s="11">
        <f t="shared" si="26"/>
        <v>0</v>
      </c>
      <c r="AO56" s="11">
        <f t="shared" si="27"/>
        <v>0</v>
      </c>
      <c r="AP56" s="40">
        <f t="shared" si="28"/>
        <v>0</v>
      </c>
      <c r="AQ56" s="40">
        <f t="shared" si="29"/>
        <v>0</v>
      </c>
      <c r="AR56" s="40">
        <f t="shared" si="30"/>
        <v>0</v>
      </c>
      <c r="AS56" s="40" t="str">
        <f t="shared" si="31"/>
        <v/>
      </c>
      <c r="AT56" s="11" t="str">
        <f t="shared" si="32"/>
        <v/>
      </c>
      <c r="AU56" s="11">
        <f t="shared" si="33"/>
        <v>1</v>
      </c>
      <c r="AV56" s="11">
        <f t="shared" si="34"/>
        <v>1</v>
      </c>
      <c r="AW56" s="11" t="str">
        <f t="shared" si="35"/>
        <v/>
      </c>
      <c r="AX56" s="11" t="str">
        <f t="shared" si="36"/>
        <v/>
      </c>
      <c r="AY56" s="11" t="str">
        <f t="shared" si="37"/>
        <v/>
      </c>
      <c r="AZ56" s="11" t="str">
        <f t="shared" si="38"/>
        <v/>
      </c>
      <c r="BA56" s="11" t="str">
        <f t="shared" si="39"/>
        <v/>
      </c>
      <c r="BB56" s="11" t="str">
        <f t="shared" si="40"/>
        <v/>
      </c>
      <c r="BC56" s="11" t="str">
        <f t="shared" si="41"/>
        <v/>
      </c>
      <c r="BD56" s="11" t="str">
        <f t="shared" si="42"/>
        <v/>
      </c>
      <c r="BE56" s="39" t="str">
        <f t="shared" si="43"/>
        <v/>
      </c>
      <c r="BF56" s="11" t="str">
        <f t="shared" si="44"/>
        <v/>
      </c>
      <c r="BG56" s="11" t="str">
        <f t="shared" si="45"/>
        <v/>
      </c>
      <c r="BH56" s="39" t="str">
        <f t="shared" si="46"/>
        <v/>
      </c>
      <c r="BI56" s="11" t="str">
        <f t="shared" si="47"/>
        <v/>
      </c>
      <c r="BJ56" s="11" t="str">
        <f>IF($X56=0,"",IF($Q56&lt;&gt;"",$Q56,NEC_UNIDAD($W56,$E56,$Y56,$Z56,N($AT56),$C$7,OCUPACION)))</f>
        <v/>
      </c>
      <c r="BK56" s="11" t="str">
        <f>IF($X56=0,"",IF(N($R56)&gt;0,$R56,BREAKER_SEL($BX$60,$BI56,$AT56,$C$7,$BX$58,$BX$69,$BJ56)))</f>
        <v/>
      </c>
      <c r="BL56" s="11" t="str">
        <f>IF($BK56="","",BREAKER_REF($BX$60,$BK56,$BI56,$AT56,FALSE))</f>
        <v/>
      </c>
      <c r="BM56" s="11" t="str">
        <f>IF($BK56="","",BREAKER_DATO($BX$60,$BK56,"sccr"))</f>
        <v/>
      </c>
      <c r="BN56" s="11" t="str">
        <f>IF(OR($BK56="",N($BM56)&gt;=$BX$58,$BX$71="",N($BX$74)&lt;$BX$58),"",SERIE_KA($BX$60,BREAKER_DATO($BX$60,$BK56,"modelo"),$BX$72,N($BX$24),$C$7,$BX$58))</f>
        <v/>
      </c>
      <c r="BO56" s="11" t="str">
        <f>IF($BK56="","",BREAKER_DATO($BX$60,$BK56,"unidad"))</f>
        <v/>
      </c>
      <c r="BP56" s="11" t="str">
        <f>IF($BK56="","",BREAKER_DATO($BX$60,$BK56,"marco"))</f>
        <v/>
      </c>
      <c r="BQ56" s="11" t="str">
        <f t="shared" si="48"/>
        <v/>
      </c>
      <c r="BR56" s="11" t="str">
        <f t="shared" si="49"/>
        <v/>
      </c>
      <c r="BS56" s="11" t="str">
        <f t="shared" si="50"/>
        <v/>
      </c>
      <c r="BT56" s="11" t="str">
        <f t="shared" si="51"/>
        <v/>
      </c>
      <c r="BU56" s="11" t="str">
        <f t="shared" si="52"/>
        <v/>
      </c>
      <c r="BW56" t="s">
        <v>774</v>
      </c>
      <c r="BX56" t="str">
        <f>IF(MAX(N(BX88),IF($I$10="SI",P2P(IF(N(BX55)&gt;0,MIN(BX59,BX55),BX59),BX31,IF($F$4="","XHHW-2",$F$4),IF($F$5="","EMT",$F$5),BX30,BX40,$C$7,$C$8,ICC_LMAX),N(BX55)))=0,"",MAX(N(BX88),IF($I$10="SI",P2P(IF(N(BX55)&gt;0,MIN(BX59,BX55),BX59),BX31,IF($F$4="","XHHW-2",$F$4),IF($F$5="","EMT",$F$5),BX30,BX40,$C$7,$C$8,ICC_LMAX),N(BX55))))</f>
        <v/>
      </c>
      <c r="CA56" s="11" t="str">
        <f t="shared" si="53"/>
        <v/>
      </c>
      <c r="CB56" s="11" t="str">
        <f t="shared" si="54"/>
        <v/>
      </c>
    </row>
    <row r="57" spans="1:80" ht="14.65" x14ac:dyDescent="0.45">
      <c r="A57" s="37"/>
      <c r="B57" s="14">
        <v>65</v>
      </c>
      <c r="C57" s="37"/>
      <c r="D57" s="37"/>
      <c r="E57" s="37"/>
      <c r="F57" s="37" t="str">
        <f t="shared" ref="F57:F88" si="55">IF($E57="","",IFERROR(VLOOKUP($E57,T_DET,3,FALSE),""))</f>
        <v/>
      </c>
      <c r="G57" s="38"/>
      <c r="H57" s="37"/>
      <c r="I57" s="37" t="str">
        <f t="shared" ref="I57:I88" si="56">IF($E57="","",IFERROR(VLOOKUP($E57,T_DET,11,FALSE)*100,125))</f>
        <v/>
      </c>
      <c r="J57" s="37" t="str">
        <f t="shared" ref="J57:J88" si="57">IF($E57="","",IFERROR(VLOOKUP($E57,T_DET,7,FALSE),1))</f>
        <v/>
      </c>
      <c r="K57" s="37" t="str">
        <f t="shared" ref="K57:K88" si="58">IF($E57="","",IFERROR(VLOOKUP($E57,T_DET,8,FALSE),1))</f>
        <v/>
      </c>
      <c r="L57" s="37" t="str">
        <f t="shared" ref="L57:L88" si="59">IF(AND($E57="",$G57=""),"","CU")</f>
        <v/>
      </c>
      <c r="M57" s="37" t="str">
        <f t="shared" ref="M57:M88" si="60">IF(AND($E57="",$G57=""),"","THHN")</f>
        <v/>
      </c>
      <c r="N57" s="37" t="str">
        <f t="shared" ref="N57:N88" si="61">IF($AS57="","",IF($AS57&gt;1600,5,IF($AS57&gt;1000,4,IF($AS57&gt;600,3,IF($AS57&gt;300,2,1)))))</f>
        <v/>
      </c>
      <c r="O57" s="37" t="str">
        <f t="shared" ref="O57:O88" si="62">IF(AND($E57="",$G57=""),"",0)</f>
        <v/>
      </c>
      <c r="P57" s="37" t="str">
        <f t="shared" ref="P57:P88" si="63">IF($AS57="","",VLOOKUP($AS57,T_PROT,2,TRUE))</f>
        <v/>
      </c>
      <c r="Q57" s="37" t="str">
        <f>IF($X57=0,"",NEC_UNIDAD($W57,$E57,$Y57,$Z57,N($AT57),$C$7,OCUPACION))</f>
        <v/>
      </c>
      <c r="R57" s="37" t="str">
        <f>IF($X57=0,"",BREAKER_SEL($BX$60,$BI57,$AT57,$C$7,$BX$58,$BX$69,$BJ57))</f>
        <v/>
      </c>
      <c r="S57" s="37"/>
      <c r="T57" s="37"/>
      <c r="U57" s="37"/>
      <c r="V57" s="37"/>
      <c r="W57" s="11" t="str">
        <f t="shared" ref="W57:W88" si="64">IF($F57&lt;&gt;"",$F57,IFERROR(VLOOKUP($E57,T_DET,3,FALSE),""))</f>
        <v/>
      </c>
      <c r="X57" s="39">
        <f t="shared" ref="X57:X88" si="65">IF(ISNUMBER($G57),$G57,0)</f>
        <v>0</v>
      </c>
      <c r="Y57" s="11">
        <f t="shared" ref="Y57:Y88" si="66">IFERROR(VLOOKUP($E57,T_DET,4,FALSE),0)</f>
        <v>0</v>
      </c>
      <c r="Z57" s="11">
        <f t="shared" ref="Z57:Z88" si="67">IFERROR(IF(AND(VLOOKUP($E57,T_DET,5,FALSE)=1,VLOOKUP($E57,T_DET,4,FALSE)&gt;=208,VLOOKUP($E57,T_DET,4,FALSE)&lt;=240,COUNT($B57:$D57)=2),2,VLOOKUP($E57,T_DET,5,FALSE)),0)</f>
        <v>0</v>
      </c>
      <c r="AA57" s="11">
        <f t="shared" ref="AA57:AA88" si="68">IFERROR(VLOOKUP($E57,T_DET,6,FALSE),0)</f>
        <v>0</v>
      </c>
      <c r="AB57" s="11">
        <f t="shared" ref="AB57:AB88" si="69">IF(ISNUMBER($J57),$J57,IFERROR(VLOOKUP($E57,T_DET,7,FALSE),1))</f>
        <v>1</v>
      </c>
      <c r="AC57" s="11">
        <f t="shared" ref="AC57:AC88" si="70">IF(AND(N($K57)&gt;0,N($K57)&lt;=1),$K57,IFERROR(VLOOKUP($E57,T_DET,8,FALSE),1))</f>
        <v>1</v>
      </c>
      <c r="AD57" s="11">
        <f t="shared" ref="AD57:AD88" si="71">IFERROR(VLOOKUP($E57,T_DET,9,FALSE),1)</f>
        <v>1</v>
      </c>
      <c r="AE57" s="11" t="str">
        <f t="shared" ref="AE57:AE88" si="72">IFERROR(VLOOKUP($E57,T_DET,2,FALSE),"")</f>
        <v/>
      </c>
      <c r="AF57" s="11">
        <f t="shared" ref="AF57:AF88" si="73">IF(ISNUMBER($I57),$I57/100,IFERROR(VLOOKUP($E57,T_DET,11,FALSE),1.25))</f>
        <v>1.25</v>
      </c>
      <c r="AG57" s="11">
        <f t="shared" ref="AG57:AG88" si="74">IF(N($B57)&gt;0,MOD(INT(($B57-1)/2),IF($C$8=3,3,2)),-1)</f>
        <v>2</v>
      </c>
      <c r="AH57" s="11">
        <f t="shared" ref="AH57:AH88" si="75">IF(N($CA57)&gt;0,MOD(INT(($CA57-1)/2),IF($C$8=3,3,2)),-1)</f>
        <v>-1</v>
      </c>
      <c r="AI57" s="11">
        <f t="shared" ref="AI57:AI88" si="76">IF(N($CB57)&gt;0,MOD(INT(($CB57-1)/2),IF($C$8=3,3,2)),-1)</f>
        <v>-1</v>
      </c>
      <c r="AJ57" s="39">
        <f t="shared" ref="AJ57:AJ88" si="77">IF(OR($X57=0,$Z57=0),0,IF($C$8=1,$X57,IF(OR($AG57=0,$AH57=0,$AI57=0),$X57/$Z57,0)))</f>
        <v>0</v>
      </c>
      <c r="AK57" s="39">
        <f t="shared" ref="AK57:AK88" si="78">IF(OR($X57=0,$Z57=0,$C$8=1),0,IF(OR($AG57=1,$AH57=1,$AI57=1),$X57/$Z57,0))</f>
        <v>0</v>
      </c>
      <c r="AL57" s="39">
        <f t="shared" ref="AL57:AL88" si="79">IF(OR($X57=0,$Z57=0,$C$8&lt;3),0,IF(OR($AG57=2,$AH57=2,$AI57=2),$X57/$Z57,0))</f>
        <v>0</v>
      </c>
      <c r="AM57" s="11">
        <f t="shared" ref="AM57:AM88" si="80">$AJ57*$AB57*$AC57</f>
        <v>0</v>
      </c>
      <c r="AN57" s="11">
        <f t="shared" ref="AN57:AN88" si="81">$AK57*$AB57*$AC57</f>
        <v>0</v>
      </c>
      <c r="AO57" s="11">
        <f t="shared" ref="AO57:AO88" si="82">$AL57*$AB57*$AC57</f>
        <v>0</v>
      </c>
      <c r="AP57" s="40">
        <f t="shared" ref="AP57:AP88" si="83">IF($AJ57=0,0,IF(AND($Y57=120,$Z57=1),$AM57*1000/$Y57,IF(AND($Y57=208,$Z57=1),$AM57*1000/$Y57,IF(AND($Y57=208,$Z57=2),$AJ57*2*1000/$Y57,IF(AND($Y57=230,$Z57=1),$AM57*1000/$Y57,IF(AND($Y57=240,$Z57=1),$AM57*1000/($Y57/2),IF(AND($Y57=277,$Z57=1),$AM57*1000/$Y57,$AM57*1000/($Y57/1.732))))))))</f>
        <v>0</v>
      </c>
      <c r="AQ57" s="40">
        <f t="shared" ref="AQ57:AQ88" si="84">IF($AK57=0,0,IF(AND($Y57=120,$Z57=1),$AN57*1000/$Y57,IF(AND($Y57=208,$Z57=1),$AN57*1000/$Y57,IF(AND($Y57=208,$Z57=2),$AK57*2*1000/$Y57,IF(AND($Y57=230,$Z57=1),$AN57*1000/$Y57,IF(AND($Y57=240,$Z57=1),$AN57*1000/($Y57/2),IF(AND($Y57=277,$Z57=1),$AN57*1000/$Y57,$AN57*1000/($Y57/1.732))))))))</f>
        <v>0</v>
      </c>
      <c r="AR57" s="40">
        <f t="shared" ref="AR57:AR88" si="85">IF($AL57=0,0,IF(AND($Y57=120,$Z57=1),$AO57*1000/$Y57,IF(AND($Y57=208,$Z57=1),$AO57*1000/$Y57,IF(AND($Y57=208,$Z57=2),$AL57*2*1000/$Y57,IF(AND($Y57=230,$Z57=1),$AO57*1000/$Y57,IF(AND($Y57=240,$Z57=1),$AO57*1000/($Y57/2),IF(AND($Y57=277,$Z57=1),$AO57*1000/$Y57,$AO57*1000/($Y57/1.732))))))))</f>
        <v>0</v>
      </c>
      <c r="AS57" s="40" t="str">
        <f t="shared" ref="AS57:AS88" si="86">IF($X57=0,"",IF($C$8=3,MAX($AP57:$AR57),IF($AJ57&gt;0,$AP57,IF($AK57&gt;0,$AQ57,$AR57)))*$AF57)</f>
        <v/>
      </c>
      <c r="AT57" s="11" t="str">
        <f t="shared" ref="AT57:AT88" si="87">IF($AS57="","",IF(N($P57)&gt;0,$P57,VLOOKUP($AS57,T_PROT,2,TRUE)))</f>
        <v/>
      </c>
      <c r="AU57" s="11">
        <f t="shared" ref="AU57:AU88" si="88">IF($AS57="",1,IF(N($N57)&gt;0,$N57,IF($AS57&gt;1600,5,IF($AS57&gt;1000,4,IF($AS57&gt;600,3,IF($AS57&gt;300,2,1))))))</f>
        <v>1</v>
      </c>
      <c r="AV57" s="11">
        <f t="shared" ref="AV57:AV88" si="89">1+N($O57)/100</f>
        <v>1</v>
      </c>
      <c r="AW57" s="11" t="str">
        <f t="shared" ref="AW57:AW88" si="90">IF($AT57="","",VLOOKUP($AT57*$AV57/$AU57,CHOOSE(IF(OR($L57="AL",$L57="AL-MC"),2,1),T_AMPCU,T_AMPAL),2,TRUE))</f>
        <v/>
      </c>
      <c r="AX57" s="11" t="str">
        <f t="shared" ref="AX57:AX88" si="91">IF($AW57="","",IF($AU57=1,"",$AU57&amp;"x")&amp;IF($Z57=3,"3#",IF(AND($Y57&gt;=208,$Y57&lt;=240),"2#","")))</f>
        <v/>
      </c>
      <c r="AY57" s="11" t="str">
        <f t="shared" ref="AY57:AY88" si="92">IF($AW57="","",IF($AA57=0,"",IF(AND($Y57&gt;=208,$Z57=3,$AA57=4),$AW57,IF(AND($Z57=3,$AA57=3),"",IF(AND($Y57&gt;=208,$Z57=1,$AA57=3),"",$AW57)))))</f>
        <v/>
      </c>
      <c r="AZ57" s="11" t="str">
        <f t="shared" ref="AZ57:AZ88" si="93">IF($AT57="","",INDEX(T_TIERRA,MATCH(TRUE,INDEX(T_TIERRA_A&gt;=$AT57,0),0),IFERROR(MATCH(IF($L57="","CU",$L57),T_TIERRA_H,0),1)))</f>
        <v/>
      </c>
      <c r="BA57" s="11" t="str">
        <f t="shared" ref="BA57:BA88" si="94">IF($AW57="","",IF(OR($L57="CU-MC",$L57="AL-MC"),"MC",IFERROR(VLOOKUP($AW57,T_CONDUIT,IF($M57="RHW",3,IF($M57="XHHW",4,2)),FALSE),"")))</f>
        <v/>
      </c>
      <c r="BB57" s="11" t="str">
        <f t="shared" ref="BB57:BB88" si="95">IF($AW57="","",IFERROR(INDEX(CHOOSE(IF(OR($L57="AL",$L57="AL-MC"),2,1),T_FAC_CU,T_FAC_AL),IF($AD57=1,1,IF($AD57&gt;0.949,2,IF($AD57&gt;0.899,3,IF($AD57&gt;0.799,4,99)))),MATCH($AW57,T_FAC_H,0)),""))</f>
        <v/>
      </c>
      <c r="BC57" s="11" t="str">
        <f t="shared" ref="BC57:BC88" si="96">IF($BB57="","",$BB57*IF(AND($Z57=1,OR($Y57=120,$Y57=230,$Y57=277)),1.1547,IF(AND($Z57=1,OR($Y57=208,$Y57=240)),1.15,1)))</f>
        <v/>
      </c>
      <c r="BD57" s="11" t="str">
        <f t="shared" ref="BD57:BD88" si="97">IF($X57=0,"",IF($Y57=$C$7,$BX$49,$BX$54))</f>
        <v/>
      </c>
      <c r="BE57" s="39" t="str">
        <f t="shared" ref="BE57:BE88" si="98">IF(OR($X57=0,$BC57=""),"",N($H57)*3.28*IF($AJ57&gt;0,$AP57,IF($AK57&gt;0,$AQ57,$AR57))*$BC57/(10000*$AU57))</f>
        <v/>
      </c>
      <c r="BF57" s="11" t="str">
        <f t="shared" ref="BF57:BF88" si="99">IF($BE57="","",$BD57-$BE57)</f>
        <v/>
      </c>
      <c r="BG57" s="11" t="str">
        <f t="shared" ref="BG57:BG88" si="100">IF($BF57="","",$Y57-$BF57)</f>
        <v/>
      </c>
      <c r="BH57" s="39" t="str">
        <f t="shared" ref="BH57:BH88" si="101">IF($BG57="","",$BG57*100/$Y57)</f>
        <v/>
      </c>
      <c r="BI57" s="11" t="str">
        <f t="shared" ref="BI57:BI88" si="102">IF($X57=0,"",IF($Z57=3,3,IF(AND($Y57&gt;=208,$Y57&lt;=240),2,MAX($Z57,1))))</f>
        <v/>
      </c>
      <c r="BJ57" s="11" t="str">
        <f>IF($X57=0,"",IF($Q57&lt;&gt;"",$Q57,NEC_UNIDAD($W57,$E57,$Y57,$Z57,N($AT57),$C$7,OCUPACION)))</f>
        <v/>
      </c>
      <c r="BK57" s="11" t="str">
        <f>IF($X57=0,"",IF(N($R57)&gt;0,$R57,BREAKER_SEL($BX$60,$BI57,$AT57,$C$7,$BX$58,$BX$69,$BJ57)))</f>
        <v/>
      </c>
      <c r="BL57" s="11" t="str">
        <f>IF($BK57="","",BREAKER_REF($BX$60,$BK57,$BI57,$AT57,FALSE))</f>
        <v/>
      </c>
      <c r="BM57" s="11" t="str">
        <f>IF($BK57="","",BREAKER_DATO($BX$60,$BK57,"sccr"))</f>
        <v/>
      </c>
      <c r="BN57" s="11" t="str">
        <f>IF(OR($BK57="",N($BM57)&gt;=$BX$58,$BX$71="",N($BX$74)&lt;$BX$58),"",SERIE_KA($BX$60,BREAKER_DATO($BX$60,$BK57,"modelo"),$BX$72,N($BX$24),$C$7,$BX$58))</f>
        <v/>
      </c>
      <c r="BO57" s="11" t="str">
        <f>IF($BK57="","",BREAKER_DATO($BX$60,$BK57,"unidad"))</f>
        <v/>
      </c>
      <c r="BP57" s="11" t="str">
        <f>IF($BK57="","",BREAKER_DATO($BX$60,$BK57,"marco"))</f>
        <v/>
      </c>
      <c r="BQ57" s="11" t="str">
        <f t="shared" ref="BQ57:BQ88" si="103">IF($AW57="","",$AX57&amp;$AW57)</f>
        <v/>
      </c>
      <c r="BR57" s="11" t="str">
        <f t="shared" ref="BR57:BR88" si="104">IF(OR($AY57="",$AW57=""),"",IF($AU57=1,"",$AU57&amp;"x")&amp;$AY57)</f>
        <v/>
      </c>
      <c r="BS57" s="11" t="str">
        <f t="shared" ref="BS57:BS88" si="105">IF($AZ57="","",IF($AU57=1,"",$AU57&amp;"x")&amp;$AZ57)</f>
        <v/>
      </c>
      <c r="BT57" s="11" t="str">
        <f t="shared" ref="BT57:BT88" si="106">IF($BA57="","",IF($AU57=1,"",$AU57&amp;"x")&amp;$BA57)</f>
        <v/>
      </c>
      <c r="BU57" s="11" t="str">
        <f t="shared" ref="BU57:BU88" si="107">IF($X57=0,"",TRIM(IF($E57="","Sin detalle de carga. ","")&amp;IF(N($BH57)&gt;CVMAX_TOT,"Caída "&amp;FIXED($BH57,2)&amp;" %. ","")&amp;IF(AND($BM57&lt;&gt;"",N($BM57)&lt;$BX$58,$BN57=""),"SCCR "&amp;$BM57&amp;" kA &lt; Icc. ","")&amp;IF(AND($Z57&gt;0,COUNT($B57:$D57)&gt;$Z57),"Más polos que fases del detalle. ","")&amp;IF(AND(COUNT($B57:$D57)&lt;$Z57,$Z57&gt;1),"Faltan polos: el detalle es de "&amp;$Z57&amp;" fases. ","")&amp;IF(COUNTIF($CA$25:$CB$124,$B57)&gt;0,"Posición ocupada por otro circuito. ","")&amp;IF($BN57&lt;&gt;"","Serie "&amp;$BN57&amp;" kA (110.22(C)). ","")))</f>
        <v/>
      </c>
      <c r="BW57" t="s">
        <v>775</v>
      </c>
      <c r="BX57" t="str">
        <f>IF($I$3&lt;&gt;"SI","",IFERROR(IF(IF($C$10&lt;&gt;"",N(BX46),N(ICC_RED)*1000)&gt;0,(IF(N($I$7)&gt;0,$I$7,IF(N(BX44)&gt;0,BX44,$C$7))/$C$7)*IF($C$10&lt;&gt;"",N(BX46),N(ICC_RED)*1000)/(1+IF($C$8=3,1.732,1)*IF($C$10&lt;&gt;"",N(BX46),N(ICC_RED)*1000)*IF(N($I$7)&gt;0,$I$7,IF(N(BX44)&gt;0,BX44,$C$7))*$I$5/(100000*$I$4)),$I$4*1000/(IF($C$8=3,1.732,1)*$C$7*$I$5/100)),""))</f>
        <v/>
      </c>
      <c r="CA57" s="11" t="str">
        <f t="shared" ref="CA57:CA88" si="108">IF(N($C57)&gt;0,$C57,"")</f>
        <v/>
      </c>
      <c r="CB57" s="11" t="str">
        <f t="shared" ref="CB57:CB88" si="109">IF(N($D57)&gt;0,$D57,"")</f>
        <v/>
      </c>
    </row>
    <row r="58" spans="1:80" ht="14.65" x14ac:dyDescent="0.45">
      <c r="A58" s="37"/>
      <c r="B58" s="14">
        <v>67</v>
      </c>
      <c r="C58" s="37"/>
      <c r="D58" s="37"/>
      <c r="E58" s="37"/>
      <c r="F58" s="37" t="str">
        <f t="shared" si="55"/>
        <v/>
      </c>
      <c r="G58" s="38"/>
      <c r="H58" s="37"/>
      <c r="I58" s="37" t="str">
        <f t="shared" si="56"/>
        <v/>
      </c>
      <c r="J58" s="37" t="str">
        <f t="shared" si="57"/>
        <v/>
      </c>
      <c r="K58" s="37" t="str">
        <f t="shared" si="58"/>
        <v/>
      </c>
      <c r="L58" s="37" t="str">
        <f t="shared" si="59"/>
        <v/>
      </c>
      <c r="M58" s="37" t="str">
        <f t="shared" si="60"/>
        <v/>
      </c>
      <c r="N58" s="37" t="str">
        <f t="shared" si="61"/>
        <v/>
      </c>
      <c r="O58" s="37" t="str">
        <f t="shared" si="62"/>
        <v/>
      </c>
      <c r="P58" s="37" t="str">
        <f t="shared" si="63"/>
        <v/>
      </c>
      <c r="Q58" s="37" t="str">
        <f>IF($X58=0,"",NEC_UNIDAD($W58,$E58,$Y58,$Z58,N($AT58),$C$7,OCUPACION))</f>
        <v/>
      </c>
      <c r="R58" s="37" t="str">
        <f>IF($X58=0,"",BREAKER_SEL($BX$60,$BI58,$AT58,$C$7,$BX$58,$BX$69,$BJ58))</f>
        <v/>
      </c>
      <c r="S58" s="37"/>
      <c r="T58" s="37"/>
      <c r="U58" s="37"/>
      <c r="V58" s="37"/>
      <c r="W58" s="11" t="str">
        <f t="shared" si="64"/>
        <v/>
      </c>
      <c r="X58" s="39">
        <f t="shared" si="65"/>
        <v>0</v>
      </c>
      <c r="Y58" s="11">
        <f t="shared" si="66"/>
        <v>0</v>
      </c>
      <c r="Z58" s="11">
        <f t="shared" si="67"/>
        <v>0</v>
      </c>
      <c r="AA58" s="11">
        <f t="shared" si="68"/>
        <v>0</v>
      </c>
      <c r="AB58" s="11">
        <f t="shared" si="69"/>
        <v>1</v>
      </c>
      <c r="AC58" s="11">
        <f t="shared" si="70"/>
        <v>1</v>
      </c>
      <c r="AD58" s="11">
        <f t="shared" si="71"/>
        <v>1</v>
      </c>
      <c r="AE58" s="11" t="str">
        <f t="shared" si="72"/>
        <v/>
      </c>
      <c r="AF58" s="11">
        <f t="shared" si="73"/>
        <v>1.25</v>
      </c>
      <c r="AG58" s="11">
        <f t="shared" si="74"/>
        <v>0</v>
      </c>
      <c r="AH58" s="11">
        <f t="shared" si="75"/>
        <v>-1</v>
      </c>
      <c r="AI58" s="11">
        <f t="shared" si="76"/>
        <v>-1</v>
      </c>
      <c r="AJ58" s="39">
        <f t="shared" si="77"/>
        <v>0</v>
      </c>
      <c r="AK58" s="39">
        <f t="shared" si="78"/>
        <v>0</v>
      </c>
      <c r="AL58" s="39">
        <f t="shared" si="79"/>
        <v>0</v>
      </c>
      <c r="AM58" s="11">
        <f t="shared" si="80"/>
        <v>0</v>
      </c>
      <c r="AN58" s="11">
        <f t="shared" si="81"/>
        <v>0</v>
      </c>
      <c r="AO58" s="11">
        <f t="shared" si="82"/>
        <v>0</v>
      </c>
      <c r="AP58" s="40">
        <f t="shared" si="83"/>
        <v>0</v>
      </c>
      <c r="AQ58" s="40">
        <f t="shared" si="84"/>
        <v>0</v>
      </c>
      <c r="AR58" s="40">
        <f t="shared" si="85"/>
        <v>0</v>
      </c>
      <c r="AS58" s="40" t="str">
        <f t="shared" si="86"/>
        <v/>
      </c>
      <c r="AT58" s="11" t="str">
        <f t="shared" si="87"/>
        <v/>
      </c>
      <c r="AU58" s="11">
        <f t="shared" si="88"/>
        <v>1</v>
      </c>
      <c r="AV58" s="11">
        <f t="shared" si="89"/>
        <v>1</v>
      </c>
      <c r="AW58" s="11" t="str">
        <f t="shared" si="90"/>
        <v/>
      </c>
      <c r="AX58" s="11" t="str">
        <f t="shared" si="91"/>
        <v/>
      </c>
      <c r="AY58" s="11" t="str">
        <f t="shared" si="92"/>
        <v/>
      </c>
      <c r="AZ58" s="11" t="str">
        <f t="shared" si="93"/>
        <v/>
      </c>
      <c r="BA58" s="11" t="str">
        <f t="shared" si="94"/>
        <v/>
      </c>
      <c r="BB58" s="11" t="str">
        <f t="shared" si="95"/>
        <v/>
      </c>
      <c r="BC58" s="11" t="str">
        <f t="shared" si="96"/>
        <v/>
      </c>
      <c r="BD58" s="11" t="str">
        <f t="shared" si="97"/>
        <v/>
      </c>
      <c r="BE58" s="39" t="str">
        <f t="shared" si="98"/>
        <v/>
      </c>
      <c r="BF58" s="11" t="str">
        <f t="shared" si="99"/>
        <v/>
      </c>
      <c r="BG58" s="11" t="str">
        <f t="shared" si="100"/>
        <v/>
      </c>
      <c r="BH58" s="39" t="str">
        <f t="shared" si="101"/>
        <v/>
      </c>
      <c r="BI58" s="11" t="str">
        <f t="shared" si="102"/>
        <v/>
      </c>
      <c r="BJ58" s="11" t="str">
        <f>IF($X58=0,"",IF($Q58&lt;&gt;"",$Q58,NEC_UNIDAD($W58,$E58,$Y58,$Z58,N($AT58),$C$7,OCUPACION)))</f>
        <v/>
      </c>
      <c r="BK58" s="11" t="str">
        <f>IF($X58=0,"",IF(N($R58)&gt;0,$R58,BREAKER_SEL($BX$60,$BI58,$AT58,$C$7,$BX$58,$BX$69,$BJ58)))</f>
        <v/>
      </c>
      <c r="BL58" s="11" t="str">
        <f>IF($BK58="","",BREAKER_REF($BX$60,$BK58,$BI58,$AT58,FALSE))</f>
        <v/>
      </c>
      <c r="BM58" s="11" t="str">
        <f>IF($BK58="","",BREAKER_DATO($BX$60,$BK58,"sccr"))</f>
        <v/>
      </c>
      <c r="BN58" s="11" t="str">
        <f>IF(OR($BK58="",N($BM58)&gt;=$BX$58,$BX$71="",N($BX$74)&lt;$BX$58),"",SERIE_KA($BX$60,BREAKER_DATO($BX$60,$BK58,"modelo"),$BX$72,N($BX$24),$C$7,$BX$58))</f>
        <v/>
      </c>
      <c r="BO58" s="11" t="str">
        <f>IF($BK58="","",BREAKER_DATO($BX$60,$BK58,"unidad"))</f>
        <v/>
      </c>
      <c r="BP58" s="11" t="str">
        <f>IF($BK58="","",BREAKER_DATO($BX$60,$BK58,"marco"))</f>
        <v/>
      </c>
      <c r="BQ58" s="11" t="str">
        <f t="shared" si="103"/>
        <v/>
      </c>
      <c r="BR58" s="11" t="str">
        <f t="shared" si="104"/>
        <v/>
      </c>
      <c r="BS58" s="11" t="str">
        <f t="shared" si="105"/>
        <v/>
      </c>
      <c r="BT58" s="11" t="str">
        <f t="shared" si="106"/>
        <v/>
      </c>
      <c r="BU58" s="11" t="str">
        <f t="shared" si="107"/>
        <v/>
      </c>
      <c r="BW58" t="s">
        <v>651</v>
      </c>
      <c r="BX58">
        <f>IF(N(BX56)&gt;0,BX56/1000,0)</f>
        <v>0</v>
      </c>
      <c r="CA58" s="11" t="str">
        <f t="shared" si="108"/>
        <v/>
      </c>
      <c r="CB58" s="11" t="str">
        <f t="shared" si="109"/>
        <v/>
      </c>
    </row>
    <row r="59" spans="1:80" ht="14.65" x14ac:dyDescent="0.45">
      <c r="A59" s="37"/>
      <c r="B59" s="14">
        <v>69</v>
      </c>
      <c r="C59" s="37"/>
      <c r="D59" s="37"/>
      <c r="E59" s="37"/>
      <c r="F59" s="37" t="str">
        <f t="shared" si="55"/>
        <v/>
      </c>
      <c r="G59" s="38"/>
      <c r="H59" s="37"/>
      <c r="I59" s="37" t="str">
        <f t="shared" si="56"/>
        <v/>
      </c>
      <c r="J59" s="37" t="str">
        <f t="shared" si="57"/>
        <v/>
      </c>
      <c r="K59" s="37" t="str">
        <f t="shared" si="58"/>
        <v/>
      </c>
      <c r="L59" s="37" t="str">
        <f t="shared" si="59"/>
        <v/>
      </c>
      <c r="M59" s="37" t="str">
        <f t="shared" si="60"/>
        <v/>
      </c>
      <c r="N59" s="37" t="str">
        <f t="shared" si="61"/>
        <v/>
      </c>
      <c r="O59" s="37" t="str">
        <f t="shared" si="62"/>
        <v/>
      </c>
      <c r="P59" s="37" t="str">
        <f t="shared" si="63"/>
        <v/>
      </c>
      <c r="Q59" s="37" t="str">
        <f>IF($X59=0,"",NEC_UNIDAD($W59,$E59,$Y59,$Z59,N($AT59),$C$7,OCUPACION))</f>
        <v/>
      </c>
      <c r="R59" s="37" t="str">
        <f>IF($X59=0,"",BREAKER_SEL($BX$60,$BI59,$AT59,$C$7,$BX$58,$BX$69,$BJ59))</f>
        <v/>
      </c>
      <c r="S59" s="37"/>
      <c r="T59" s="37"/>
      <c r="U59" s="37"/>
      <c r="V59" s="37"/>
      <c r="W59" s="11" t="str">
        <f t="shared" si="64"/>
        <v/>
      </c>
      <c r="X59" s="39">
        <f t="shared" si="65"/>
        <v>0</v>
      </c>
      <c r="Y59" s="11">
        <f t="shared" si="66"/>
        <v>0</v>
      </c>
      <c r="Z59" s="11">
        <f t="shared" si="67"/>
        <v>0</v>
      </c>
      <c r="AA59" s="11">
        <f t="shared" si="68"/>
        <v>0</v>
      </c>
      <c r="AB59" s="11">
        <f t="shared" si="69"/>
        <v>1</v>
      </c>
      <c r="AC59" s="11">
        <f t="shared" si="70"/>
        <v>1</v>
      </c>
      <c r="AD59" s="11">
        <f t="shared" si="71"/>
        <v>1</v>
      </c>
      <c r="AE59" s="11" t="str">
        <f t="shared" si="72"/>
        <v/>
      </c>
      <c r="AF59" s="11">
        <f t="shared" si="73"/>
        <v>1.25</v>
      </c>
      <c r="AG59" s="11">
        <f t="shared" si="74"/>
        <v>1</v>
      </c>
      <c r="AH59" s="11">
        <f t="shared" si="75"/>
        <v>-1</v>
      </c>
      <c r="AI59" s="11">
        <f t="shared" si="76"/>
        <v>-1</v>
      </c>
      <c r="AJ59" s="39">
        <f t="shared" si="77"/>
        <v>0</v>
      </c>
      <c r="AK59" s="39">
        <f t="shared" si="78"/>
        <v>0</v>
      </c>
      <c r="AL59" s="39">
        <f t="shared" si="79"/>
        <v>0</v>
      </c>
      <c r="AM59" s="11">
        <f t="shared" si="80"/>
        <v>0</v>
      </c>
      <c r="AN59" s="11">
        <f t="shared" si="81"/>
        <v>0</v>
      </c>
      <c r="AO59" s="11">
        <f t="shared" si="82"/>
        <v>0</v>
      </c>
      <c r="AP59" s="40">
        <f t="shared" si="83"/>
        <v>0</v>
      </c>
      <c r="AQ59" s="40">
        <f t="shared" si="84"/>
        <v>0</v>
      </c>
      <c r="AR59" s="40">
        <f t="shared" si="85"/>
        <v>0</v>
      </c>
      <c r="AS59" s="40" t="str">
        <f t="shared" si="86"/>
        <v/>
      </c>
      <c r="AT59" s="11" t="str">
        <f t="shared" si="87"/>
        <v/>
      </c>
      <c r="AU59" s="11">
        <f t="shared" si="88"/>
        <v>1</v>
      </c>
      <c r="AV59" s="11">
        <f t="shared" si="89"/>
        <v>1</v>
      </c>
      <c r="AW59" s="11" t="str">
        <f t="shared" si="90"/>
        <v/>
      </c>
      <c r="AX59" s="11" t="str">
        <f t="shared" si="91"/>
        <v/>
      </c>
      <c r="AY59" s="11" t="str">
        <f t="shared" si="92"/>
        <v/>
      </c>
      <c r="AZ59" s="11" t="str">
        <f t="shared" si="93"/>
        <v/>
      </c>
      <c r="BA59" s="11" t="str">
        <f t="shared" si="94"/>
        <v/>
      </c>
      <c r="BB59" s="11" t="str">
        <f t="shared" si="95"/>
        <v/>
      </c>
      <c r="BC59" s="11" t="str">
        <f t="shared" si="96"/>
        <v/>
      </c>
      <c r="BD59" s="11" t="str">
        <f t="shared" si="97"/>
        <v/>
      </c>
      <c r="BE59" s="39" t="str">
        <f t="shared" si="98"/>
        <v/>
      </c>
      <c r="BF59" s="11" t="str">
        <f t="shared" si="99"/>
        <v/>
      </c>
      <c r="BG59" s="11" t="str">
        <f t="shared" si="100"/>
        <v/>
      </c>
      <c r="BH59" s="39" t="str">
        <f t="shared" si="101"/>
        <v/>
      </c>
      <c r="BI59" s="11" t="str">
        <f t="shared" si="102"/>
        <v/>
      </c>
      <c r="BJ59" s="11" t="str">
        <f>IF($X59=0,"",IF($Q59&lt;&gt;"",$Q59,NEC_UNIDAD($W59,$E59,$Y59,$Z59,N($AT59),$C$7,OCUPACION)))</f>
        <v/>
      </c>
      <c r="BK59" s="11" t="str">
        <f>IF($X59=0,"",IF(N($R59)&gt;0,$R59,BREAKER_SEL($BX$60,$BI59,$AT59,$C$7,$BX$58,$BX$69,$BJ59)))</f>
        <v/>
      </c>
      <c r="BL59" s="11" t="str">
        <f>IF($BK59="","",BREAKER_REF($BX$60,$BK59,$BI59,$AT59,FALSE))</f>
        <v/>
      </c>
      <c r="BM59" s="11" t="str">
        <f>IF($BK59="","",BREAKER_DATO($BX$60,$BK59,"sccr"))</f>
        <v/>
      </c>
      <c r="BN59" s="11" t="str">
        <f>IF(OR($BK59="",N($BM59)&gt;=$BX$58,$BX$71="",N($BX$74)&lt;$BX$58),"",SERIE_KA($BX$60,BREAKER_DATO($BX$60,$BK59,"modelo"),$BX$72,N($BX$24),$C$7,$BX$58))</f>
        <v/>
      </c>
      <c r="BO59" s="11" t="str">
        <f>IF($BK59="","",BREAKER_DATO($BX$60,$BK59,"unidad"))</f>
        <v/>
      </c>
      <c r="BP59" s="11" t="str">
        <f>IF($BK59="","",BREAKER_DATO($BX$60,$BK59,"marco"))</f>
        <v/>
      </c>
      <c r="BQ59" s="11" t="str">
        <f t="shared" si="103"/>
        <v/>
      </c>
      <c r="BR59" s="11" t="str">
        <f t="shared" si="104"/>
        <v/>
      </c>
      <c r="BS59" s="11" t="str">
        <f t="shared" si="105"/>
        <v/>
      </c>
      <c r="BT59" s="11" t="str">
        <f t="shared" si="106"/>
        <v/>
      </c>
      <c r="BU59" s="11" t="str">
        <f t="shared" si="107"/>
        <v/>
      </c>
      <c r="BW59" t="s">
        <v>776</v>
      </c>
      <c r="BX59" t="str">
        <f>IF($I$10="SI",IF(N($I$12)&gt;0,$I$12,2)*N($I$11)*1000/(IF($C$8=3,1.732,1)*$C$7),"")</f>
        <v/>
      </c>
      <c r="CA59" s="11" t="str">
        <f t="shared" si="108"/>
        <v/>
      </c>
      <c r="CB59" s="11" t="str">
        <f t="shared" si="109"/>
        <v/>
      </c>
    </row>
    <row r="60" spans="1:80" ht="14.65" x14ac:dyDescent="0.45">
      <c r="A60" s="37"/>
      <c r="B60" s="14">
        <v>71</v>
      </c>
      <c r="C60" s="37"/>
      <c r="D60" s="37"/>
      <c r="E60" s="37"/>
      <c r="F60" s="37" t="str">
        <f t="shared" si="55"/>
        <v/>
      </c>
      <c r="G60" s="38"/>
      <c r="H60" s="37"/>
      <c r="I60" s="37" t="str">
        <f t="shared" si="56"/>
        <v/>
      </c>
      <c r="J60" s="37" t="str">
        <f t="shared" si="57"/>
        <v/>
      </c>
      <c r="K60" s="37" t="str">
        <f t="shared" si="58"/>
        <v/>
      </c>
      <c r="L60" s="37" t="str">
        <f t="shared" si="59"/>
        <v/>
      </c>
      <c r="M60" s="37" t="str">
        <f t="shared" si="60"/>
        <v/>
      </c>
      <c r="N60" s="37" t="str">
        <f t="shared" si="61"/>
        <v/>
      </c>
      <c r="O60" s="37" t="str">
        <f t="shared" si="62"/>
        <v/>
      </c>
      <c r="P60" s="37" t="str">
        <f t="shared" si="63"/>
        <v/>
      </c>
      <c r="Q60" s="37" t="str">
        <f>IF($X60=0,"",NEC_UNIDAD($W60,$E60,$Y60,$Z60,N($AT60),$C$7,OCUPACION))</f>
        <v/>
      </c>
      <c r="R60" s="37" t="str">
        <f>IF($X60=0,"",BREAKER_SEL($BX$60,$BI60,$AT60,$C$7,$BX$58,$BX$69,$BJ60))</f>
        <v/>
      </c>
      <c r="S60" s="37"/>
      <c r="T60" s="37"/>
      <c r="U60" s="37"/>
      <c r="V60" s="37"/>
      <c r="W60" s="11" t="str">
        <f t="shared" si="64"/>
        <v/>
      </c>
      <c r="X60" s="39">
        <f t="shared" si="65"/>
        <v>0</v>
      </c>
      <c r="Y60" s="11">
        <f t="shared" si="66"/>
        <v>0</v>
      </c>
      <c r="Z60" s="11">
        <f t="shared" si="67"/>
        <v>0</v>
      </c>
      <c r="AA60" s="11">
        <f t="shared" si="68"/>
        <v>0</v>
      </c>
      <c r="AB60" s="11">
        <f t="shared" si="69"/>
        <v>1</v>
      </c>
      <c r="AC60" s="11">
        <f t="shared" si="70"/>
        <v>1</v>
      </c>
      <c r="AD60" s="11">
        <f t="shared" si="71"/>
        <v>1</v>
      </c>
      <c r="AE60" s="11" t="str">
        <f t="shared" si="72"/>
        <v/>
      </c>
      <c r="AF60" s="11">
        <f t="shared" si="73"/>
        <v>1.25</v>
      </c>
      <c r="AG60" s="11">
        <f t="shared" si="74"/>
        <v>2</v>
      </c>
      <c r="AH60" s="11">
        <f t="shared" si="75"/>
        <v>-1</v>
      </c>
      <c r="AI60" s="11">
        <f t="shared" si="76"/>
        <v>-1</v>
      </c>
      <c r="AJ60" s="39">
        <f t="shared" si="77"/>
        <v>0</v>
      </c>
      <c r="AK60" s="39">
        <f t="shared" si="78"/>
        <v>0</v>
      </c>
      <c r="AL60" s="39">
        <f t="shared" si="79"/>
        <v>0</v>
      </c>
      <c r="AM60" s="11">
        <f t="shared" si="80"/>
        <v>0</v>
      </c>
      <c r="AN60" s="11">
        <f t="shared" si="81"/>
        <v>0</v>
      </c>
      <c r="AO60" s="11">
        <f t="shared" si="82"/>
        <v>0</v>
      </c>
      <c r="AP60" s="40">
        <f t="shared" si="83"/>
        <v>0</v>
      </c>
      <c r="AQ60" s="40">
        <f t="shared" si="84"/>
        <v>0</v>
      </c>
      <c r="AR60" s="40">
        <f t="shared" si="85"/>
        <v>0</v>
      </c>
      <c r="AS60" s="40" t="str">
        <f t="shared" si="86"/>
        <v/>
      </c>
      <c r="AT60" s="11" t="str">
        <f t="shared" si="87"/>
        <v/>
      </c>
      <c r="AU60" s="11">
        <f t="shared" si="88"/>
        <v>1</v>
      </c>
      <c r="AV60" s="11">
        <f t="shared" si="89"/>
        <v>1</v>
      </c>
      <c r="AW60" s="11" t="str">
        <f t="shared" si="90"/>
        <v/>
      </c>
      <c r="AX60" s="11" t="str">
        <f t="shared" si="91"/>
        <v/>
      </c>
      <c r="AY60" s="11" t="str">
        <f t="shared" si="92"/>
        <v/>
      </c>
      <c r="AZ60" s="11" t="str">
        <f t="shared" si="93"/>
        <v/>
      </c>
      <c r="BA60" s="11" t="str">
        <f t="shared" si="94"/>
        <v/>
      </c>
      <c r="BB60" s="11" t="str">
        <f t="shared" si="95"/>
        <v/>
      </c>
      <c r="BC60" s="11" t="str">
        <f t="shared" si="96"/>
        <v/>
      </c>
      <c r="BD60" s="11" t="str">
        <f t="shared" si="97"/>
        <v/>
      </c>
      <c r="BE60" s="39" t="str">
        <f t="shared" si="98"/>
        <v/>
      </c>
      <c r="BF60" s="11" t="str">
        <f t="shared" si="99"/>
        <v/>
      </c>
      <c r="BG60" s="11" t="str">
        <f t="shared" si="100"/>
        <v/>
      </c>
      <c r="BH60" s="39" t="str">
        <f t="shared" si="101"/>
        <v/>
      </c>
      <c r="BI60" s="11" t="str">
        <f t="shared" si="102"/>
        <v/>
      </c>
      <c r="BJ60" s="11" t="str">
        <f>IF($X60=0,"",IF($Q60&lt;&gt;"",$Q60,NEC_UNIDAD($W60,$E60,$Y60,$Z60,N($AT60),$C$7,OCUPACION)))</f>
        <v/>
      </c>
      <c r="BK60" s="11" t="str">
        <f>IF($X60=0,"",IF(N($R60)&gt;0,$R60,BREAKER_SEL($BX$60,$BI60,$AT60,$C$7,$BX$58,$BX$69,$BJ60)))</f>
        <v/>
      </c>
      <c r="BL60" s="11" t="str">
        <f>IF($BK60="","",BREAKER_REF($BX$60,$BK60,$BI60,$AT60,FALSE))</f>
        <v/>
      </c>
      <c r="BM60" s="11" t="str">
        <f>IF($BK60="","",BREAKER_DATO($BX$60,$BK60,"sccr"))</f>
        <v/>
      </c>
      <c r="BN60" s="11" t="str">
        <f>IF(OR($BK60="",N($BM60)&gt;=$BX$58,$BX$71="",N($BX$74)&lt;$BX$58),"",SERIE_KA($BX$60,BREAKER_DATO($BX$60,$BK60,"modelo"),$BX$72,N($BX$24),$C$7,$BX$58))</f>
        <v/>
      </c>
      <c r="BO60" s="11" t="str">
        <f>IF($BK60="","",BREAKER_DATO($BX$60,$BK60,"unidad"))</f>
        <v/>
      </c>
      <c r="BP60" s="11" t="str">
        <f>IF($BK60="","",BREAKER_DATO($BX$60,$BK60,"marco"))</f>
        <v/>
      </c>
      <c r="BQ60" s="11" t="str">
        <f t="shared" si="103"/>
        <v/>
      </c>
      <c r="BR60" s="11" t="str">
        <f t="shared" si="104"/>
        <v/>
      </c>
      <c r="BS60" s="11" t="str">
        <f t="shared" si="105"/>
        <v/>
      </c>
      <c r="BT60" s="11" t="str">
        <f t="shared" si="106"/>
        <v/>
      </c>
      <c r="BU60" s="11" t="str">
        <f t="shared" si="107"/>
        <v/>
      </c>
      <c r="BW60" t="s">
        <v>777</v>
      </c>
      <c r="BX60" t="str">
        <f>IF($C$15&lt;&gt;"",$C$15,MARCA_DEF)</f>
        <v>Eaton</v>
      </c>
      <c r="CA60" s="11" t="str">
        <f t="shared" si="108"/>
        <v/>
      </c>
      <c r="CB60" s="11" t="str">
        <f t="shared" si="109"/>
        <v/>
      </c>
    </row>
    <row r="61" spans="1:80" ht="14.65" x14ac:dyDescent="0.45">
      <c r="A61" s="37"/>
      <c r="B61" s="14">
        <v>73</v>
      </c>
      <c r="C61" s="37"/>
      <c r="D61" s="37"/>
      <c r="E61" s="37"/>
      <c r="F61" s="37" t="str">
        <f t="shared" si="55"/>
        <v/>
      </c>
      <c r="G61" s="38"/>
      <c r="H61" s="37"/>
      <c r="I61" s="37" t="str">
        <f t="shared" si="56"/>
        <v/>
      </c>
      <c r="J61" s="37" t="str">
        <f t="shared" si="57"/>
        <v/>
      </c>
      <c r="K61" s="37" t="str">
        <f t="shared" si="58"/>
        <v/>
      </c>
      <c r="L61" s="37" t="str">
        <f t="shared" si="59"/>
        <v/>
      </c>
      <c r="M61" s="37" t="str">
        <f t="shared" si="60"/>
        <v/>
      </c>
      <c r="N61" s="37" t="str">
        <f t="shared" si="61"/>
        <v/>
      </c>
      <c r="O61" s="37" t="str">
        <f t="shared" si="62"/>
        <v/>
      </c>
      <c r="P61" s="37" t="str">
        <f t="shared" si="63"/>
        <v/>
      </c>
      <c r="Q61" s="37" t="str">
        <f>IF($X61=0,"",NEC_UNIDAD($W61,$E61,$Y61,$Z61,N($AT61),$C$7,OCUPACION))</f>
        <v/>
      </c>
      <c r="R61" s="37" t="str">
        <f>IF($X61=0,"",BREAKER_SEL($BX$60,$BI61,$AT61,$C$7,$BX$58,$BX$69,$BJ61))</f>
        <v/>
      </c>
      <c r="S61" s="37"/>
      <c r="T61" s="37"/>
      <c r="U61" s="37"/>
      <c r="V61" s="37"/>
      <c r="W61" s="11" t="str">
        <f t="shared" si="64"/>
        <v/>
      </c>
      <c r="X61" s="39">
        <f t="shared" si="65"/>
        <v>0</v>
      </c>
      <c r="Y61" s="11">
        <f t="shared" si="66"/>
        <v>0</v>
      </c>
      <c r="Z61" s="11">
        <f t="shared" si="67"/>
        <v>0</v>
      </c>
      <c r="AA61" s="11">
        <f t="shared" si="68"/>
        <v>0</v>
      </c>
      <c r="AB61" s="11">
        <f t="shared" si="69"/>
        <v>1</v>
      </c>
      <c r="AC61" s="11">
        <f t="shared" si="70"/>
        <v>1</v>
      </c>
      <c r="AD61" s="11">
        <f t="shared" si="71"/>
        <v>1</v>
      </c>
      <c r="AE61" s="11" t="str">
        <f t="shared" si="72"/>
        <v/>
      </c>
      <c r="AF61" s="11">
        <f t="shared" si="73"/>
        <v>1.25</v>
      </c>
      <c r="AG61" s="11">
        <f t="shared" si="74"/>
        <v>0</v>
      </c>
      <c r="AH61" s="11">
        <f t="shared" si="75"/>
        <v>-1</v>
      </c>
      <c r="AI61" s="11">
        <f t="shared" si="76"/>
        <v>-1</v>
      </c>
      <c r="AJ61" s="39">
        <f t="shared" si="77"/>
        <v>0</v>
      </c>
      <c r="AK61" s="39">
        <f t="shared" si="78"/>
        <v>0</v>
      </c>
      <c r="AL61" s="39">
        <f t="shared" si="79"/>
        <v>0</v>
      </c>
      <c r="AM61" s="11">
        <f t="shared" si="80"/>
        <v>0</v>
      </c>
      <c r="AN61" s="11">
        <f t="shared" si="81"/>
        <v>0</v>
      </c>
      <c r="AO61" s="11">
        <f t="shared" si="82"/>
        <v>0</v>
      </c>
      <c r="AP61" s="40">
        <f t="shared" si="83"/>
        <v>0</v>
      </c>
      <c r="AQ61" s="40">
        <f t="shared" si="84"/>
        <v>0</v>
      </c>
      <c r="AR61" s="40">
        <f t="shared" si="85"/>
        <v>0</v>
      </c>
      <c r="AS61" s="40" t="str">
        <f t="shared" si="86"/>
        <v/>
      </c>
      <c r="AT61" s="11" t="str">
        <f t="shared" si="87"/>
        <v/>
      </c>
      <c r="AU61" s="11">
        <f t="shared" si="88"/>
        <v>1</v>
      </c>
      <c r="AV61" s="11">
        <f t="shared" si="89"/>
        <v>1</v>
      </c>
      <c r="AW61" s="11" t="str">
        <f t="shared" si="90"/>
        <v/>
      </c>
      <c r="AX61" s="11" t="str">
        <f t="shared" si="91"/>
        <v/>
      </c>
      <c r="AY61" s="11" t="str">
        <f t="shared" si="92"/>
        <v/>
      </c>
      <c r="AZ61" s="11" t="str">
        <f t="shared" si="93"/>
        <v/>
      </c>
      <c r="BA61" s="11" t="str">
        <f t="shared" si="94"/>
        <v/>
      </c>
      <c r="BB61" s="11" t="str">
        <f t="shared" si="95"/>
        <v/>
      </c>
      <c r="BC61" s="11" t="str">
        <f t="shared" si="96"/>
        <v/>
      </c>
      <c r="BD61" s="11" t="str">
        <f t="shared" si="97"/>
        <v/>
      </c>
      <c r="BE61" s="39" t="str">
        <f t="shared" si="98"/>
        <v/>
      </c>
      <c r="BF61" s="11" t="str">
        <f t="shared" si="99"/>
        <v/>
      </c>
      <c r="BG61" s="11" t="str">
        <f t="shared" si="100"/>
        <v/>
      </c>
      <c r="BH61" s="39" t="str">
        <f t="shared" si="101"/>
        <v/>
      </c>
      <c r="BI61" s="11" t="str">
        <f t="shared" si="102"/>
        <v/>
      </c>
      <c r="BJ61" s="11" t="str">
        <f>IF($X61=0,"",IF($Q61&lt;&gt;"",$Q61,NEC_UNIDAD($W61,$E61,$Y61,$Z61,N($AT61),$C$7,OCUPACION)))</f>
        <v/>
      </c>
      <c r="BK61" s="11" t="str">
        <f>IF($X61=0,"",IF(N($R61)&gt;0,$R61,BREAKER_SEL($BX$60,$BI61,$AT61,$C$7,$BX$58,$BX$69,$BJ61)))</f>
        <v/>
      </c>
      <c r="BL61" s="11" t="str">
        <f>IF($BK61="","",BREAKER_REF($BX$60,$BK61,$BI61,$AT61,FALSE))</f>
        <v/>
      </c>
      <c r="BM61" s="11" t="str">
        <f>IF($BK61="","",BREAKER_DATO($BX$60,$BK61,"sccr"))</f>
        <v/>
      </c>
      <c r="BN61" s="11" t="str">
        <f>IF(OR($BK61="",N($BM61)&gt;=$BX$58,$BX$71="",N($BX$74)&lt;$BX$58),"",SERIE_KA($BX$60,BREAKER_DATO($BX$60,$BK61,"modelo"),$BX$72,N($BX$24),$C$7,$BX$58))</f>
        <v/>
      </c>
      <c r="BO61" s="11" t="str">
        <f>IF($BK61="","",BREAKER_DATO($BX$60,$BK61,"unidad"))</f>
        <v/>
      </c>
      <c r="BP61" s="11" t="str">
        <f>IF($BK61="","",BREAKER_DATO($BX$60,$BK61,"marco"))</f>
        <v/>
      </c>
      <c r="BQ61" s="11" t="str">
        <f t="shared" si="103"/>
        <v/>
      </c>
      <c r="BR61" s="11" t="str">
        <f t="shared" si="104"/>
        <v/>
      </c>
      <c r="BS61" s="11" t="str">
        <f t="shared" si="105"/>
        <v/>
      </c>
      <c r="BT61" s="11" t="str">
        <f t="shared" si="106"/>
        <v/>
      </c>
      <c r="BU61" s="11" t="str">
        <f t="shared" si="107"/>
        <v/>
      </c>
      <c r="BW61" t="s">
        <v>778</v>
      </c>
      <c r="BX61">
        <f>MAX(SUMPRODUCT(MAX(($X$25:$X$124&gt;0)*$B$25:$B$124)),MAX(0,$CA$25:$CB$124))</f>
        <v>0</v>
      </c>
      <c r="CA61" s="11" t="str">
        <f t="shared" si="108"/>
        <v/>
      </c>
      <c r="CB61" s="11" t="str">
        <f t="shared" si="109"/>
        <v/>
      </c>
    </row>
    <row r="62" spans="1:80" ht="14.65" x14ac:dyDescent="0.45">
      <c r="A62" s="37"/>
      <c r="B62" s="14">
        <v>75</v>
      </c>
      <c r="C62" s="37"/>
      <c r="D62" s="37"/>
      <c r="E62" s="37"/>
      <c r="F62" s="37" t="str">
        <f t="shared" si="55"/>
        <v/>
      </c>
      <c r="G62" s="38"/>
      <c r="H62" s="37"/>
      <c r="I62" s="37" t="str">
        <f t="shared" si="56"/>
        <v/>
      </c>
      <c r="J62" s="37" t="str">
        <f t="shared" si="57"/>
        <v/>
      </c>
      <c r="K62" s="37" t="str">
        <f t="shared" si="58"/>
        <v/>
      </c>
      <c r="L62" s="37" t="str">
        <f t="shared" si="59"/>
        <v/>
      </c>
      <c r="M62" s="37" t="str">
        <f t="shared" si="60"/>
        <v/>
      </c>
      <c r="N62" s="37" t="str">
        <f t="shared" si="61"/>
        <v/>
      </c>
      <c r="O62" s="37" t="str">
        <f t="shared" si="62"/>
        <v/>
      </c>
      <c r="P62" s="37" t="str">
        <f t="shared" si="63"/>
        <v/>
      </c>
      <c r="Q62" s="37" t="str">
        <f>IF($X62=0,"",NEC_UNIDAD($W62,$E62,$Y62,$Z62,N($AT62),$C$7,OCUPACION))</f>
        <v/>
      </c>
      <c r="R62" s="37" t="str">
        <f>IF($X62=0,"",BREAKER_SEL($BX$60,$BI62,$AT62,$C$7,$BX$58,$BX$69,$BJ62))</f>
        <v/>
      </c>
      <c r="S62" s="37"/>
      <c r="T62" s="37"/>
      <c r="U62" s="37"/>
      <c r="V62" s="37"/>
      <c r="W62" s="11" t="str">
        <f t="shared" si="64"/>
        <v/>
      </c>
      <c r="X62" s="39">
        <f t="shared" si="65"/>
        <v>0</v>
      </c>
      <c r="Y62" s="11">
        <f t="shared" si="66"/>
        <v>0</v>
      </c>
      <c r="Z62" s="11">
        <f t="shared" si="67"/>
        <v>0</v>
      </c>
      <c r="AA62" s="11">
        <f t="shared" si="68"/>
        <v>0</v>
      </c>
      <c r="AB62" s="11">
        <f t="shared" si="69"/>
        <v>1</v>
      </c>
      <c r="AC62" s="11">
        <f t="shared" si="70"/>
        <v>1</v>
      </c>
      <c r="AD62" s="11">
        <f t="shared" si="71"/>
        <v>1</v>
      </c>
      <c r="AE62" s="11" t="str">
        <f t="shared" si="72"/>
        <v/>
      </c>
      <c r="AF62" s="11">
        <f t="shared" si="73"/>
        <v>1.25</v>
      </c>
      <c r="AG62" s="11">
        <f t="shared" si="74"/>
        <v>1</v>
      </c>
      <c r="AH62" s="11">
        <f t="shared" si="75"/>
        <v>-1</v>
      </c>
      <c r="AI62" s="11">
        <f t="shared" si="76"/>
        <v>-1</v>
      </c>
      <c r="AJ62" s="39">
        <f t="shared" si="77"/>
        <v>0</v>
      </c>
      <c r="AK62" s="39">
        <f t="shared" si="78"/>
        <v>0</v>
      </c>
      <c r="AL62" s="39">
        <f t="shared" si="79"/>
        <v>0</v>
      </c>
      <c r="AM62" s="11">
        <f t="shared" si="80"/>
        <v>0</v>
      </c>
      <c r="AN62" s="11">
        <f t="shared" si="81"/>
        <v>0</v>
      </c>
      <c r="AO62" s="11">
        <f t="shared" si="82"/>
        <v>0</v>
      </c>
      <c r="AP62" s="40">
        <f t="shared" si="83"/>
        <v>0</v>
      </c>
      <c r="AQ62" s="40">
        <f t="shared" si="84"/>
        <v>0</v>
      </c>
      <c r="AR62" s="40">
        <f t="shared" si="85"/>
        <v>0</v>
      </c>
      <c r="AS62" s="40" t="str">
        <f t="shared" si="86"/>
        <v/>
      </c>
      <c r="AT62" s="11" t="str">
        <f t="shared" si="87"/>
        <v/>
      </c>
      <c r="AU62" s="11">
        <f t="shared" si="88"/>
        <v>1</v>
      </c>
      <c r="AV62" s="11">
        <f t="shared" si="89"/>
        <v>1</v>
      </c>
      <c r="AW62" s="11" t="str">
        <f t="shared" si="90"/>
        <v/>
      </c>
      <c r="AX62" s="11" t="str">
        <f t="shared" si="91"/>
        <v/>
      </c>
      <c r="AY62" s="11" t="str">
        <f t="shared" si="92"/>
        <v/>
      </c>
      <c r="AZ62" s="11" t="str">
        <f t="shared" si="93"/>
        <v/>
      </c>
      <c r="BA62" s="11" t="str">
        <f t="shared" si="94"/>
        <v/>
      </c>
      <c r="BB62" s="11" t="str">
        <f t="shared" si="95"/>
        <v/>
      </c>
      <c r="BC62" s="11" t="str">
        <f t="shared" si="96"/>
        <v/>
      </c>
      <c r="BD62" s="11" t="str">
        <f t="shared" si="97"/>
        <v/>
      </c>
      <c r="BE62" s="39" t="str">
        <f t="shared" si="98"/>
        <v/>
      </c>
      <c r="BF62" s="11" t="str">
        <f t="shared" si="99"/>
        <v/>
      </c>
      <c r="BG62" s="11" t="str">
        <f t="shared" si="100"/>
        <v/>
      </c>
      <c r="BH62" s="39" t="str">
        <f t="shared" si="101"/>
        <v/>
      </c>
      <c r="BI62" s="11" t="str">
        <f t="shared" si="102"/>
        <v/>
      </c>
      <c r="BJ62" s="11" t="str">
        <f>IF($X62=0,"",IF($Q62&lt;&gt;"",$Q62,NEC_UNIDAD($W62,$E62,$Y62,$Z62,N($AT62),$C$7,OCUPACION)))</f>
        <v/>
      </c>
      <c r="BK62" s="11" t="str">
        <f>IF($X62=0,"",IF(N($R62)&gt;0,$R62,BREAKER_SEL($BX$60,$BI62,$AT62,$C$7,$BX$58,$BX$69,$BJ62)))</f>
        <v/>
      </c>
      <c r="BL62" s="11" t="str">
        <f>IF($BK62="","",BREAKER_REF($BX$60,$BK62,$BI62,$AT62,FALSE))</f>
        <v/>
      </c>
      <c r="BM62" s="11" t="str">
        <f>IF($BK62="","",BREAKER_DATO($BX$60,$BK62,"sccr"))</f>
        <v/>
      </c>
      <c r="BN62" s="11" t="str">
        <f>IF(OR($BK62="",N($BM62)&gt;=$BX$58,$BX$71="",N($BX$74)&lt;$BX$58),"",SERIE_KA($BX$60,BREAKER_DATO($BX$60,$BK62,"modelo"),$BX$72,N($BX$24),$C$7,$BX$58))</f>
        <v/>
      </c>
      <c r="BO62" s="11" t="str">
        <f>IF($BK62="","",BREAKER_DATO($BX$60,$BK62,"unidad"))</f>
        <v/>
      </c>
      <c r="BP62" s="11" t="str">
        <f>IF($BK62="","",BREAKER_DATO($BX$60,$BK62,"marco"))</f>
        <v/>
      </c>
      <c r="BQ62" s="11" t="str">
        <f t="shared" si="103"/>
        <v/>
      </c>
      <c r="BR62" s="11" t="str">
        <f t="shared" si="104"/>
        <v/>
      </c>
      <c r="BS62" s="11" t="str">
        <f t="shared" si="105"/>
        <v/>
      </c>
      <c r="BT62" s="11" t="str">
        <f t="shared" si="106"/>
        <v/>
      </c>
      <c r="BU62" s="11" t="str">
        <f t="shared" si="107"/>
        <v/>
      </c>
      <c r="BW62" t="s">
        <v>779</v>
      </c>
      <c r="BX62">
        <f>IF(N($F$17)&gt;0,$F$17,TABLERO_SEL(BX60,$C$7,$C$5,N(BX24),BX61,RESERVA_ESP,$C$20,$C$16,N($C$17)))</f>
        <v>98</v>
      </c>
      <c r="CA62" s="11" t="str">
        <f t="shared" si="108"/>
        <v/>
      </c>
      <c r="CB62" s="11" t="str">
        <f t="shared" si="109"/>
        <v/>
      </c>
    </row>
    <row r="63" spans="1:80" ht="14.65" x14ac:dyDescent="0.45">
      <c r="A63" s="37"/>
      <c r="B63" s="14">
        <v>77</v>
      </c>
      <c r="C63" s="37"/>
      <c r="D63" s="37"/>
      <c r="E63" s="37"/>
      <c r="F63" s="37" t="str">
        <f t="shared" si="55"/>
        <v/>
      </c>
      <c r="G63" s="38"/>
      <c r="H63" s="37"/>
      <c r="I63" s="37" t="str">
        <f t="shared" si="56"/>
        <v/>
      </c>
      <c r="J63" s="37" t="str">
        <f t="shared" si="57"/>
        <v/>
      </c>
      <c r="K63" s="37" t="str">
        <f t="shared" si="58"/>
        <v/>
      </c>
      <c r="L63" s="37" t="str">
        <f t="shared" si="59"/>
        <v/>
      </c>
      <c r="M63" s="37" t="str">
        <f t="shared" si="60"/>
        <v/>
      </c>
      <c r="N63" s="37" t="str">
        <f t="shared" si="61"/>
        <v/>
      </c>
      <c r="O63" s="37" t="str">
        <f t="shared" si="62"/>
        <v/>
      </c>
      <c r="P63" s="37" t="str">
        <f t="shared" si="63"/>
        <v/>
      </c>
      <c r="Q63" s="37" t="str">
        <f>IF($X63=0,"",NEC_UNIDAD($W63,$E63,$Y63,$Z63,N($AT63),$C$7,OCUPACION))</f>
        <v/>
      </c>
      <c r="R63" s="37" t="str">
        <f>IF($X63=0,"",BREAKER_SEL($BX$60,$BI63,$AT63,$C$7,$BX$58,$BX$69,$BJ63))</f>
        <v/>
      </c>
      <c r="S63" s="37"/>
      <c r="T63" s="37"/>
      <c r="U63" s="37"/>
      <c r="V63" s="37"/>
      <c r="W63" s="11" t="str">
        <f t="shared" si="64"/>
        <v/>
      </c>
      <c r="X63" s="39">
        <f t="shared" si="65"/>
        <v>0</v>
      </c>
      <c r="Y63" s="11">
        <f t="shared" si="66"/>
        <v>0</v>
      </c>
      <c r="Z63" s="11">
        <f t="shared" si="67"/>
        <v>0</v>
      </c>
      <c r="AA63" s="11">
        <f t="shared" si="68"/>
        <v>0</v>
      </c>
      <c r="AB63" s="11">
        <f t="shared" si="69"/>
        <v>1</v>
      </c>
      <c r="AC63" s="11">
        <f t="shared" si="70"/>
        <v>1</v>
      </c>
      <c r="AD63" s="11">
        <f t="shared" si="71"/>
        <v>1</v>
      </c>
      <c r="AE63" s="11" t="str">
        <f t="shared" si="72"/>
        <v/>
      </c>
      <c r="AF63" s="11">
        <f t="shared" si="73"/>
        <v>1.25</v>
      </c>
      <c r="AG63" s="11">
        <f t="shared" si="74"/>
        <v>2</v>
      </c>
      <c r="AH63" s="11">
        <f t="shared" si="75"/>
        <v>-1</v>
      </c>
      <c r="AI63" s="11">
        <f t="shared" si="76"/>
        <v>-1</v>
      </c>
      <c r="AJ63" s="39">
        <f t="shared" si="77"/>
        <v>0</v>
      </c>
      <c r="AK63" s="39">
        <f t="shared" si="78"/>
        <v>0</v>
      </c>
      <c r="AL63" s="39">
        <f t="shared" si="79"/>
        <v>0</v>
      </c>
      <c r="AM63" s="11">
        <f t="shared" si="80"/>
        <v>0</v>
      </c>
      <c r="AN63" s="11">
        <f t="shared" si="81"/>
        <v>0</v>
      </c>
      <c r="AO63" s="11">
        <f t="shared" si="82"/>
        <v>0</v>
      </c>
      <c r="AP63" s="40">
        <f t="shared" si="83"/>
        <v>0</v>
      </c>
      <c r="AQ63" s="40">
        <f t="shared" si="84"/>
        <v>0</v>
      </c>
      <c r="AR63" s="40">
        <f t="shared" si="85"/>
        <v>0</v>
      </c>
      <c r="AS63" s="40" t="str">
        <f t="shared" si="86"/>
        <v/>
      </c>
      <c r="AT63" s="11" t="str">
        <f t="shared" si="87"/>
        <v/>
      </c>
      <c r="AU63" s="11">
        <f t="shared" si="88"/>
        <v>1</v>
      </c>
      <c r="AV63" s="11">
        <f t="shared" si="89"/>
        <v>1</v>
      </c>
      <c r="AW63" s="11" t="str">
        <f t="shared" si="90"/>
        <v/>
      </c>
      <c r="AX63" s="11" t="str">
        <f t="shared" si="91"/>
        <v/>
      </c>
      <c r="AY63" s="11" t="str">
        <f t="shared" si="92"/>
        <v/>
      </c>
      <c r="AZ63" s="11" t="str">
        <f t="shared" si="93"/>
        <v/>
      </c>
      <c r="BA63" s="11" t="str">
        <f t="shared" si="94"/>
        <v/>
      </c>
      <c r="BB63" s="11" t="str">
        <f t="shared" si="95"/>
        <v/>
      </c>
      <c r="BC63" s="11" t="str">
        <f t="shared" si="96"/>
        <v/>
      </c>
      <c r="BD63" s="11" t="str">
        <f t="shared" si="97"/>
        <v/>
      </c>
      <c r="BE63" s="39" t="str">
        <f t="shared" si="98"/>
        <v/>
      </c>
      <c r="BF63" s="11" t="str">
        <f t="shared" si="99"/>
        <v/>
      </c>
      <c r="BG63" s="11" t="str">
        <f t="shared" si="100"/>
        <v/>
      </c>
      <c r="BH63" s="39" t="str">
        <f t="shared" si="101"/>
        <v/>
      </c>
      <c r="BI63" s="11" t="str">
        <f t="shared" si="102"/>
        <v/>
      </c>
      <c r="BJ63" s="11" t="str">
        <f>IF($X63=0,"",IF($Q63&lt;&gt;"",$Q63,NEC_UNIDAD($W63,$E63,$Y63,$Z63,N($AT63),$C$7,OCUPACION)))</f>
        <v/>
      </c>
      <c r="BK63" s="11" t="str">
        <f>IF($X63=0,"",IF(N($R63)&gt;0,$R63,BREAKER_SEL($BX$60,$BI63,$AT63,$C$7,$BX$58,$BX$69,$BJ63)))</f>
        <v/>
      </c>
      <c r="BL63" s="11" t="str">
        <f>IF($BK63="","",BREAKER_REF($BX$60,$BK63,$BI63,$AT63,FALSE))</f>
        <v/>
      </c>
      <c r="BM63" s="11" t="str">
        <f>IF($BK63="","",BREAKER_DATO($BX$60,$BK63,"sccr"))</f>
        <v/>
      </c>
      <c r="BN63" s="11" t="str">
        <f>IF(OR($BK63="",N($BM63)&gt;=$BX$58,$BX$71="",N($BX$74)&lt;$BX$58),"",SERIE_KA($BX$60,BREAKER_DATO($BX$60,$BK63,"modelo"),$BX$72,N($BX$24),$C$7,$BX$58))</f>
        <v/>
      </c>
      <c r="BO63" s="11" t="str">
        <f>IF($BK63="","",BREAKER_DATO($BX$60,$BK63,"unidad"))</f>
        <v/>
      </c>
      <c r="BP63" s="11" t="str">
        <f>IF($BK63="","",BREAKER_DATO($BX$60,$BK63,"marco"))</f>
        <v/>
      </c>
      <c r="BQ63" s="11" t="str">
        <f t="shared" si="103"/>
        <v/>
      </c>
      <c r="BR63" s="11" t="str">
        <f t="shared" si="104"/>
        <v/>
      </c>
      <c r="BS63" s="11" t="str">
        <f t="shared" si="105"/>
        <v/>
      </c>
      <c r="BT63" s="11" t="str">
        <f t="shared" si="106"/>
        <v/>
      </c>
      <c r="BU63" s="11" t="str">
        <f t="shared" si="107"/>
        <v/>
      </c>
      <c r="BW63" t="s">
        <v>780</v>
      </c>
      <c r="BX63" t="str">
        <f>CAT_DATO(BX62,"modelo")</f>
        <v>CH30B3150L</v>
      </c>
      <c r="CA63" s="11" t="str">
        <f t="shared" si="108"/>
        <v/>
      </c>
      <c r="CB63" s="11" t="str">
        <f t="shared" si="109"/>
        <v/>
      </c>
    </row>
    <row r="64" spans="1:80" ht="14.65" x14ac:dyDescent="0.45">
      <c r="A64" s="37"/>
      <c r="B64" s="14">
        <v>79</v>
      </c>
      <c r="C64" s="37"/>
      <c r="D64" s="37"/>
      <c r="E64" s="37"/>
      <c r="F64" s="37" t="str">
        <f t="shared" si="55"/>
        <v/>
      </c>
      <c r="G64" s="38"/>
      <c r="H64" s="37"/>
      <c r="I64" s="37" t="str">
        <f t="shared" si="56"/>
        <v/>
      </c>
      <c r="J64" s="37" t="str">
        <f t="shared" si="57"/>
        <v/>
      </c>
      <c r="K64" s="37" t="str">
        <f t="shared" si="58"/>
        <v/>
      </c>
      <c r="L64" s="37" t="str">
        <f t="shared" si="59"/>
        <v/>
      </c>
      <c r="M64" s="37" t="str">
        <f t="shared" si="60"/>
        <v/>
      </c>
      <c r="N64" s="37" t="str">
        <f t="shared" si="61"/>
        <v/>
      </c>
      <c r="O64" s="37" t="str">
        <f t="shared" si="62"/>
        <v/>
      </c>
      <c r="P64" s="37" t="str">
        <f t="shared" si="63"/>
        <v/>
      </c>
      <c r="Q64" s="37" t="str">
        <f>IF($X64=0,"",NEC_UNIDAD($W64,$E64,$Y64,$Z64,N($AT64),$C$7,OCUPACION))</f>
        <v/>
      </c>
      <c r="R64" s="37" t="str">
        <f>IF($X64=0,"",BREAKER_SEL($BX$60,$BI64,$AT64,$C$7,$BX$58,$BX$69,$BJ64))</f>
        <v/>
      </c>
      <c r="S64" s="37"/>
      <c r="T64" s="37"/>
      <c r="U64" s="37"/>
      <c r="V64" s="37"/>
      <c r="W64" s="11" t="str">
        <f t="shared" si="64"/>
        <v/>
      </c>
      <c r="X64" s="39">
        <f t="shared" si="65"/>
        <v>0</v>
      </c>
      <c r="Y64" s="11">
        <f t="shared" si="66"/>
        <v>0</v>
      </c>
      <c r="Z64" s="11">
        <f t="shared" si="67"/>
        <v>0</v>
      </c>
      <c r="AA64" s="11">
        <f t="shared" si="68"/>
        <v>0</v>
      </c>
      <c r="AB64" s="11">
        <f t="shared" si="69"/>
        <v>1</v>
      </c>
      <c r="AC64" s="11">
        <f t="shared" si="70"/>
        <v>1</v>
      </c>
      <c r="AD64" s="11">
        <f t="shared" si="71"/>
        <v>1</v>
      </c>
      <c r="AE64" s="11" t="str">
        <f t="shared" si="72"/>
        <v/>
      </c>
      <c r="AF64" s="11">
        <f t="shared" si="73"/>
        <v>1.25</v>
      </c>
      <c r="AG64" s="11">
        <f t="shared" si="74"/>
        <v>0</v>
      </c>
      <c r="AH64" s="11">
        <f t="shared" si="75"/>
        <v>-1</v>
      </c>
      <c r="AI64" s="11">
        <f t="shared" si="76"/>
        <v>-1</v>
      </c>
      <c r="AJ64" s="39">
        <f t="shared" si="77"/>
        <v>0</v>
      </c>
      <c r="AK64" s="39">
        <f t="shared" si="78"/>
        <v>0</v>
      </c>
      <c r="AL64" s="39">
        <f t="shared" si="79"/>
        <v>0</v>
      </c>
      <c r="AM64" s="11">
        <f t="shared" si="80"/>
        <v>0</v>
      </c>
      <c r="AN64" s="11">
        <f t="shared" si="81"/>
        <v>0</v>
      </c>
      <c r="AO64" s="11">
        <f t="shared" si="82"/>
        <v>0</v>
      </c>
      <c r="AP64" s="40">
        <f t="shared" si="83"/>
        <v>0</v>
      </c>
      <c r="AQ64" s="40">
        <f t="shared" si="84"/>
        <v>0</v>
      </c>
      <c r="AR64" s="40">
        <f t="shared" si="85"/>
        <v>0</v>
      </c>
      <c r="AS64" s="40" t="str">
        <f t="shared" si="86"/>
        <v/>
      </c>
      <c r="AT64" s="11" t="str">
        <f t="shared" si="87"/>
        <v/>
      </c>
      <c r="AU64" s="11">
        <f t="shared" si="88"/>
        <v>1</v>
      </c>
      <c r="AV64" s="11">
        <f t="shared" si="89"/>
        <v>1</v>
      </c>
      <c r="AW64" s="11" t="str">
        <f t="shared" si="90"/>
        <v/>
      </c>
      <c r="AX64" s="11" t="str">
        <f t="shared" si="91"/>
        <v/>
      </c>
      <c r="AY64" s="11" t="str">
        <f t="shared" si="92"/>
        <v/>
      </c>
      <c r="AZ64" s="11" t="str">
        <f t="shared" si="93"/>
        <v/>
      </c>
      <c r="BA64" s="11" t="str">
        <f t="shared" si="94"/>
        <v/>
      </c>
      <c r="BB64" s="11" t="str">
        <f t="shared" si="95"/>
        <v/>
      </c>
      <c r="BC64" s="11" t="str">
        <f t="shared" si="96"/>
        <v/>
      </c>
      <c r="BD64" s="11" t="str">
        <f t="shared" si="97"/>
        <v/>
      </c>
      <c r="BE64" s="39" t="str">
        <f t="shared" si="98"/>
        <v/>
      </c>
      <c r="BF64" s="11" t="str">
        <f t="shared" si="99"/>
        <v/>
      </c>
      <c r="BG64" s="11" t="str">
        <f t="shared" si="100"/>
        <v/>
      </c>
      <c r="BH64" s="39" t="str">
        <f t="shared" si="101"/>
        <v/>
      </c>
      <c r="BI64" s="11" t="str">
        <f t="shared" si="102"/>
        <v/>
      </c>
      <c r="BJ64" s="11" t="str">
        <f>IF($X64=0,"",IF($Q64&lt;&gt;"",$Q64,NEC_UNIDAD($W64,$E64,$Y64,$Z64,N($AT64),$C$7,OCUPACION)))</f>
        <v/>
      </c>
      <c r="BK64" s="11" t="str">
        <f>IF($X64=0,"",IF(N($R64)&gt;0,$R64,BREAKER_SEL($BX$60,$BI64,$AT64,$C$7,$BX$58,$BX$69,$BJ64)))</f>
        <v/>
      </c>
      <c r="BL64" s="11" t="str">
        <f>IF($BK64="","",BREAKER_REF($BX$60,$BK64,$BI64,$AT64,FALSE))</f>
        <v/>
      </c>
      <c r="BM64" s="11" t="str">
        <f>IF($BK64="","",BREAKER_DATO($BX$60,$BK64,"sccr"))</f>
        <v/>
      </c>
      <c r="BN64" s="11" t="str">
        <f>IF(OR($BK64="",N($BM64)&gt;=$BX$58,$BX$71="",N($BX$74)&lt;$BX$58),"",SERIE_KA($BX$60,BREAKER_DATO($BX$60,$BK64,"modelo"),$BX$72,N($BX$24),$C$7,$BX$58))</f>
        <v/>
      </c>
      <c r="BO64" s="11" t="str">
        <f>IF($BK64="","",BREAKER_DATO($BX$60,$BK64,"unidad"))</f>
        <v/>
      </c>
      <c r="BP64" s="11" t="str">
        <f>IF($BK64="","",BREAKER_DATO($BX$60,$BK64,"marco"))</f>
        <v/>
      </c>
      <c r="BQ64" s="11" t="str">
        <f t="shared" si="103"/>
        <v/>
      </c>
      <c r="BR64" s="11" t="str">
        <f t="shared" si="104"/>
        <v/>
      </c>
      <c r="BS64" s="11" t="str">
        <f t="shared" si="105"/>
        <v/>
      </c>
      <c r="BT64" s="11" t="str">
        <f t="shared" si="106"/>
        <v/>
      </c>
      <c r="BU64" s="11" t="str">
        <f t="shared" si="107"/>
        <v/>
      </c>
      <c r="BW64" t="s">
        <v>781</v>
      </c>
      <c r="BX64">
        <f>CAT_DATO(BX62,"barraF")</f>
        <v>150</v>
      </c>
      <c r="CA64" s="11" t="str">
        <f t="shared" si="108"/>
        <v/>
      </c>
      <c r="CB64" s="11" t="str">
        <f t="shared" si="109"/>
        <v/>
      </c>
    </row>
    <row r="65" spans="1:80" ht="14.65" x14ac:dyDescent="0.45">
      <c r="A65" s="37"/>
      <c r="B65" s="14">
        <v>81</v>
      </c>
      <c r="C65" s="37"/>
      <c r="D65" s="37"/>
      <c r="E65" s="37"/>
      <c r="F65" s="37" t="str">
        <f t="shared" si="55"/>
        <v/>
      </c>
      <c r="G65" s="38"/>
      <c r="H65" s="37"/>
      <c r="I65" s="37" t="str">
        <f t="shared" si="56"/>
        <v/>
      </c>
      <c r="J65" s="37" t="str">
        <f t="shared" si="57"/>
        <v/>
      </c>
      <c r="K65" s="37" t="str">
        <f t="shared" si="58"/>
        <v/>
      </c>
      <c r="L65" s="37" t="str">
        <f t="shared" si="59"/>
        <v/>
      </c>
      <c r="M65" s="37" t="str">
        <f t="shared" si="60"/>
        <v/>
      </c>
      <c r="N65" s="37" t="str">
        <f t="shared" si="61"/>
        <v/>
      </c>
      <c r="O65" s="37" t="str">
        <f t="shared" si="62"/>
        <v/>
      </c>
      <c r="P65" s="37" t="str">
        <f t="shared" si="63"/>
        <v/>
      </c>
      <c r="Q65" s="37" t="str">
        <f>IF($X65=0,"",NEC_UNIDAD($W65,$E65,$Y65,$Z65,N($AT65),$C$7,OCUPACION))</f>
        <v/>
      </c>
      <c r="R65" s="37" t="str">
        <f>IF($X65=0,"",BREAKER_SEL($BX$60,$BI65,$AT65,$C$7,$BX$58,$BX$69,$BJ65))</f>
        <v/>
      </c>
      <c r="S65" s="37"/>
      <c r="T65" s="37"/>
      <c r="U65" s="37"/>
      <c r="V65" s="37"/>
      <c r="W65" s="11" t="str">
        <f t="shared" si="64"/>
        <v/>
      </c>
      <c r="X65" s="39">
        <f t="shared" si="65"/>
        <v>0</v>
      </c>
      <c r="Y65" s="11">
        <f t="shared" si="66"/>
        <v>0</v>
      </c>
      <c r="Z65" s="11">
        <f t="shared" si="67"/>
        <v>0</v>
      </c>
      <c r="AA65" s="11">
        <f t="shared" si="68"/>
        <v>0</v>
      </c>
      <c r="AB65" s="11">
        <f t="shared" si="69"/>
        <v>1</v>
      </c>
      <c r="AC65" s="11">
        <f t="shared" si="70"/>
        <v>1</v>
      </c>
      <c r="AD65" s="11">
        <f t="shared" si="71"/>
        <v>1</v>
      </c>
      <c r="AE65" s="11" t="str">
        <f t="shared" si="72"/>
        <v/>
      </c>
      <c r="AF65" s="11">
        <f t="shared" si="73"/>
        <v>1.25</v>
      </c>
      <c r="AG65" s="11">
        <f t="shared" si="74"/>
        <v>1</v>
      </c>
      <c r="AH65" s="11">
        <f t="shared" si="75"/>
        <v>-1</v>
      </c>
      <c r="AI65" s="11">
        <f t="shared" si="76"/>
        <v>-1</v>
      </c>
      <c r="AJ65" s="39">
        <f t="shared" si="77"/>
        <v>0</v>
      </c>
      <c r="AK65" s="39">
        <f t="shared" si="78"/>
        <v>0</v>
      </c>
      <c r="AL65" s="39">
        <f t="shared" si="79"/>
        <v>0</v>
      </c>
      <c r="AM65" s="11">
        <f t="shared" si="80"/>
        <v>0</v>
      </c>
      <c r="AN65" s="11">
        <f t="shared" si="81"/>
        <v>0</v>
      </c>
      <c r="AO65" s="11">
        <f t="shared" si="82"/>
        <v>0</v>
      </c>
      <c r="AP65" s="40">
        <f t="shared" si="83"/>
        <v>0</v>
      </c>
      <c r="AQ65" s="40">
        <f t="shared" si="84"/>
        <v>0</v>
      </c>
      <c r="AR65" s="40">
        <f t="shared" si="85"/>
        <v>0</v>
      </c>
      <c r="AS65" s="40" t="str">
        <f t="shared" si="86"/>
        <v/>
      </c>
      <c r="AT65" s="11" t="str">
        <f t="shared" si="87"/>
        <v/>
      </c>
      <c r="AU65" s="11">
        <f t="shared" si="88"/>
        <v>1</v>
      </c>
      <c r="AV65" s="11">
        <f t="shared" si="89"/>
        <v>1</v>
      </c>
      <c r="AW65" s="11" t="str">
        <f t="shared" si="90"/>
        <v/>
      </c>
      <c r="AX65" s="11" t="str">
        <f t="shared" si="91"/>
        <v/>
      </c>
      <c r="AY65" s="11" t="str">
        <f t="shared" si="92"/>
        <v/>
      </c>
      <c r="AZ65" s="11" t="str">
        <f t="shared" si="93"/>
        <v/>
      </c>
      <c r="BA65" s="11" t="str">
        <f t="shared" si="94"/>
        <v/>
      </c>
      <c r="BB65" s="11" t="str">
        <f t="shared" si="95"/>
        <v/>
      </c>
      <c r="BC65" s="11" t="str">
        <f t="shared" si="96"/>
        <v/>
      </c>
      <c r="BD65" s="11" t="str">
        <f t="shared" si="97"/>
        <v/>
      </c>
      <c r="BE65" s="39" t="str">
        <f t="shared" si="98"/>
        <v/>
      </c>
      <c r="BF65" s="11" t="str">
        <f t="shared" si="99"/>
        <v/>
      </c>
      <c r="BG65" s="11" t="str">
        <f t="shared" si="100"/>
        <v/>
      </c>
      <c r="BH65" s="39" t="str">
        <f t="shared" si="101"/>
        <v/>
      </c>
      <c r="BI65" s="11" t="str">
        <f t="shared" si="102"/>
        <v/>
      </c>
      <c r="BJ65" s="11" t="str">
        <f>IF($X65=0,"",IF($Q65&lt;&gt;"",$Q65,NEC_UNIDAD($W65,$E65,$Y65,$Z65,N($AT65),$C$7,OCUPACION)))</f>
        <v/>
      </c>
      <c r="BK65" s="11" t="str">
        <f>IF($X65=0,"",IF(N($R65)&gt;0,$R65,BREAKER_SEL($BX$60,$BI65,$AT65,$C$7,$BX$58,$BX$69,$BJ65)))</f>
        <v/>
      </c>
      <c r="BL65" s="11" t="str">
        <f>IF($BK65="","",BREAKER_REF($BX$60,$BK65,$BI65,$AT65,FALSE))</f>
        <v/>
      </c>
      <c r="BM65" s="11" t="str">
        <f>IF($BK65="","",BREAKER_DATO($BX$60,$BK65,"sccr"))</f>
        <v/>
      </c>
      <c r="BN65" s="11" t="str">
        <f>IF(OR($BK65="",N($BM65)&gt;=$BX$58,$BX$71="",N($BX$74)&lt;$BX$58),"",SERIE_KA($BX$60,BREAKER_DATO($BX$60,$BK65,"modelo"),$BX$72,N($BX$24),$C$7,$BX$58))</f>
        <v/>
      </c>
      <c r="BO65" s="11" t="str">
        <f>IF($BK65="","",BREAKER_DATO($BX$60,$BK65,"unidad"))</f>
        <v/>
      </c>
      <c r="BP65" s="11" t="str">
        <f>IF($BK65="","",BREAKER_DATO($BX$60,$BK65,"marco"))</f>
        <v/>
      </c>
      <c r="BQ65" s="11" t="str">
        <f t="shared" si="103"/>
        <v/>
      </c>
      <c r="BR65" s="11" t="str">
        <f t="shared" si="104"/>
        <v/>
      </c>
      <c r="BS65" s="11" t="str">
        <f t="shared" si="105"/>
        <v/>
      </c>
      <c r="BT65" s="11" t="str">
        <f t="shared" si="106"/>
        <v/>
      </c>
      <c r="BU65" s="11" t="str">
        <f t="shared" si="107"/>
        <v/>
      </c>
      <c r="BW65" t="s">
        <v>782</v>
      </c>
      <c r="BX65">
        <f>CAT_DATO(BX62,"barraN")</f>
        <v>150</v>
      </c>
      <c r="CA65" s="11" t="str">
        <f t="shared" si="108"/>
        <v/>
      </c>
      <c r="CB65" s="11" t="str">
        <f t="shared" si="109"/>
        <v/>
      </c>
    </row>
    <row r="66" spans="1:80" ht="14.65" x14ac:dyDescent="0.45">
      <c r="A66" s="37"/>
      <c r="B66" s="14">
        <v>83</v>
      </c>
      <c r="C66" s="37"/>
      <c r="D66" s="37"/>
      <c r="E66" s="37"/>
      <c r="F66" s="37" t="str">
        <f t="shared" si="55"/>
        <v/>
      </c>
      <c r="G66" s="38"/>
      <c r="H66" s="37"/>
      <c r="I66" s="37" t="str">
        <f t="shared" si="56"/>
        <v/>
      </c>
      <c r="J66" s="37" t="str">
        <f t="shared" si="57"/>
        <v/>
      </c>
      <c r="K66" s="37" t="str">
        <f t="shared" si="58"/>
        <v/>
      </c>
      <c r="L66" s="37" t="str">
        <f t="shared" si="59"/>
        <v/>
      </c>
      <c r="M66" s="37" t="str">
        <f t="shared" si="60"/>
        <v/>
      </c>
      <c r="N66" s="37" t="str">
        <f t="shared" si="61"/>
        <v/>
      </c>
      <c r="O66" s="37" t="str">
        <f t="shared" si="62"/>
        <v/>
      </c>
      <c r="P66" s="37" t="str">
        <f t="shared" si="63"/>
        <v/>
      </c>
      <c r="Q66" s="37" t="str">
        <f>IF($X66=0,"",NEC_UNIDAD($W66,$E66,$Y66,$Z66,N($AT66),$C$7,OCUPACION))</f>
        <v/>
      </c>
      <c r="R66" s="37" t="str">
        <f>IF($X66=0,"",BREAKER_SEL($BX$60,$BI66,$AT66,$C$7,$BX$58,$BX$69,$BJ66))</f>
        <v/>
      </c>
      <c r="S66" s="37"/>
      <c r="T66" s="37"/>
      <c r="U66" s="37"/>
      <c r="V66" s="37"/>
      <c r="W66" s="11" t="str">
        <f t="shared" si="64"/>
        <v/>
      </c>
      <c r="X66" s="39">
        <f t="shared" si="65"/>
        <v>0</v>
      </c>
      <c r="Y66" s="11">
        <f t="shared" si="66"/>
        <v>0</v>
      </c>
      <c r="Z66" s="11">
        <f t="shared" si="67"/>
        <v>0</v>
      </c>
      <c r="AA66" s="11">
        <f t="shared" si="68"/>
        <v>0</v>
      </c>
      <c r="AB66" s="11">
        <f t="shared" si="69"/>
        <v>1</v>
      </c>
      <c r="AC66" s="11">
        <f t="shared" si="70"/>
        <v>1</v>
      </c>
      <c r="AD66" s="11">
        <f t="shared" si="71"/>
        <v>1</v>
      </c>
      <c r="AE66" s="11" t="str">
        <f t="shared" si="72"/>
        <v/>
      </c>
      <c r="AF66" s="11">
        <f t="shared" si="73"/>
        <v>1.25</v>
      </c>
      <c r="AG66" s="11">
        <f t="shared" si="74"/>
        <v>2</v>
      </c>
      <c r="AH66" s="11">
        <f t="shared" si="75"/>
        <v>-1</v>
      </c>
      <c r="AI66" s="11">
        <f t="shared" si="76"/>
        <v>-1</v>
      </c>
      <c r="AJ66" s="39">
        <f t="shared" si="77"/>
        <v>0</v>
      </c>
      <c r="AK66" s="39">
        <f t="shared" si="78"/>
        <v>0</v>
      </c>
      <c r="AL66" s="39">
        <f t="shared" si="79"/>
        <v>0</v>
      </c>
      <c r="AM66" s="11">
        <f t="shared" si="80"/>
        <v>0</v>
      </c>
      <c r="AN66" s="11">
        <f t="shared" si="81"/>
        <v>0</v>
      </c>
      <c r="AO66" s="11">
        <f t="shared" si="82"/>
        <v>0</v>
      </c>
      <c r="AP66" s="40">
        <f t="shared" si="83"/>
        <v>0</v>
      </c>
      <c r="AQ66" s="40">
        <f t="shared" si="84"/>
        <v>0</v>
      </c>
      <c r="AR66" s="40">
        <f t="shared" si="85"/>
        <v>0</v>
      </c>
      <c r="AS66" s="40" t="str">
        <f t="shared" si="86"/>
        <v/>
      </c>
      <c r="AT66" s="11" t="str">
        <f t="shared" si="87"/>
        <v/>
      </c>
      <c r="AU66" s="11">
        <f t="shared" si="88"/>
        <v>1</v>
      </c>
      <c r="AV66" s="11">
        <f t="shared" si="89"/>
        <v>1</v>
      </c>
      <c r="AW66" s="11" t="str">
        <f t="shared" si="90"/>
        <v/>
      </c>
      <c r="AX66" s="11" t="str">
        <f t="shared" si="91"/>
        <v/>
      </c>
      <c r="AY66" s="11" t="str">
        <f t="shared" si="92"/>
        <v/>
      </c>
      <c r="AZ66" s="11" t="str">
        <f t="shared" si="93"/>
        <v/>
      </c>
      <c r="BA66" s="11" t="str">
        <f t="shared" si="94"/>
        <v/>
      </c>
      <c r="BB66" s="11" t="str">
        <f t="shared" si="95"/>
        <v/>
      </c>
      <c r="BC66" s="11" t="str">
        <f t="shared" si="96"/>
        <v/>
      </c>
      <c r="BD66" s="11" t="str">
        <f t="shared" si="97"/>
        <v/>
      </c>
      <c r="BE66" s="39" t="str">
        <f t="shared" si="98"/>
        <v/>
      </c>
      <c r="BF66" s="11" t="str">
        <f t="shared" si="99"/>
        <v/>
      </c>
      <c r="BG66" s="11" t="str">
        <f t="shared" si="100"/>
        <v/>
      </c>
      <c r="BH66" s="39" t="str">
        <f t="shared" si="101"/>
        <v/>
      </c>
      <c r="BI66" s="11" t="str">
        <f t="shared" si="102"/>
        <v/>
      </c>
      <c r="BJ66" s="11" t="str">
        <f>IF($X66=0,"",IF($Q66&lt;&gt;"",$Q66,NEC_UNIDAD($W66,$E66,$Y66,$Z66,N($AT66),$C$7,OCUPACION)))</f>
        <v/>
      </c>
      <c r="BK66" s="11" t="str">
        <f>IF($X66=0,"",IF(N($R66)&gt;0,$R66,BREAKER_SEL($BX$60,$BI66,$AT66,$C$7,$BX$58,$BX$69,$BJ66)))</f>
        <v/>
      </c>
      <c r="BL66" s="11" t="str">
        <f>IF($BK66="","",BREAKER_REF($BX$60,$BK66,$BI66,$AT66,FALSE))</f>
        <v/>
      </c>
      <c r="BM66" s="11" t="str">
        <f>IF($BK66="","",BREAKER_DATO($BX$60,$BK66,"sccr"))</f>
        <v/>
      </c>
      <c r="BN66" s="11" t="str">
        <f>IF(OR($BK66="",N($BM66)&gt;=$BX$58,$BX$71="",N($BX$74)&lt;$BX$58),"",SERIE_KA($BX$60,BREAKER_DATO($BX$60,$BK66,"modelo"),$BX$72,N($BX$24),$C$7,$BX$58))</f>
        <v/>
      </c>
      <c r="BO66" s="11" t="str">
        <f>IF($BK66="","",BREAKER_DATO($BX$60,$BK66,"unidad"))</f>
        <v/>
      </c>
      <c r="BP66" s="11" t="str">
        <f>IF($BK66="","",BREAKER_DATO($BX$60,$BK66,"marco"))</f>
        <v/>
      </c>
      <c r="BQ66" s="11" t="str">
        <f t="shared" si="103"/>
        <v/>
      </c>
      <c r="BR66" s="11" t="str">
        <f t="shared" si="104"/>
        <v/>
      </c>
      <c r="BS66" s="11" t="str">
        <f t="shared" si="105"/>
        <v/>
      </c>
      <c r="BT66" s="11" t="str">
        <f t="shared" si="106"/>
        <v/>
      </c>
      <c r="BU66" s="11" t="str">
        <f t="shared" si="107"/>
        <v/>
      </c>
      <c r="BW66" t="s">
        <v>783</v>
      </c>
      <c r="BX66">
        <f>CAT_DATO(BX62,"barraT")</f>
        <v>150</v>
      </c>
      <c r="CA66" s="11" t="str">
        <f t="shared" si="108"/>
        <v/>
      </c>
      <c r="CB66" s="11" t="str">
        <f t="shared" si="109"/>
        <v/>
      </c>
    </row>
    <row r="67" spans="1:80" ht="14.65" x14ac:dyDescent="0.45">
      <c r="A67" s="37"/>
      <c r="B67" s="14">
        <v>85</v>
      </c>
      <c r="C67" s="37"/>
      <c r="D67" s="37"/>
      <c r="E67" s="37"/>
      <c r="F67" s="37" t="str">
        <f t="shared" si="55"/>
        <v/>
      </c>
      <c r="G67" s="38"/>
      <c r="H67" s="37"/>
      <c r="I67" s="37" t="str">
        <f t="shared" si="56"/>
        <v/>
      </c>
      <c r="J67" s="37" t="str">
        <f t="shared" si="57"/>
        <v/>
      </c>
      <c r="K67" s="37" t="str">
        <f t="shared" si="58"/>
        <v/>
      </c>
      <c r="L67" s="37" t="str">
        <f t="shared" si="59"/>
        <v/>
      </c>
      <c r="M67" s="37" t="str">
        <f t="shared" si="60"/>
        <v/>
      </c>
      <c r="N67" s="37" t="str">
        <f t="shared" si="61"/>
        <v/>
      </c>
      <c r="O67" s="37" t="str">
        <f t="shared" si="62"/>
        <v/>
      </c>
      <c r="P67" s="37" t="str">
        <f t="shared" si="63"/>
        <v/>
      </c>
      <c r="Q67" s="37" t="str">
        <f>IF($X67=0,"",NEC_UNIDAD($W67,$E67,$Y67,$Z67,N($AT67),$C$7,OCUPACION))</f>
        <v/>
      </c>
      <c r="R67" s="37" t="str">
        <f>IF($X67=0,"",BREAKER_SEL($BX$60,$BI67,$AT67,$C$7,$BX$58,$BX$69,$BJ67))</f>
        <v/>
      </c>
      <c r="S67" s="37"/>
      <c r="T67" s="37"/>
      <c r="U67" s="37"/>
      <c r="V67" s="37"/>
      <c r="W67" s="11" t="str">
        <f t="shared" si="64"/>
        <v/>
      </c>
      <c r="X67" s="39">
        <f t="shared" si="65"/>
        <v>0</v>
      </c>
      <c r="Y67" s="11">
        <f t="shared" si="66"/>
        <v>0</v>
      </c>
      <c r="Z67" s="11">
        <f t="shared" si="67"/>
        <v>0</v>
      </c>
      <c r="AA67" s="11">
        <f t="shared" si="68"/>
        <v>0</v>
      </c>
      <c r="AB67" s="11">
        <f t="shared" si="69"/>
        <v>1</v>
      </c>
      <c r="AC67" s="11">
        <f t="shared" si="70"/>
        <v>1</v>
      </c>
      <c r="AD67" s="11">
        <f t="shared" si="71"/>
        <v>1</v>
      </c>
      <c r="AE67" s="11" t="str">
        <f t="shared" si="72"/>
        <v/>
      </c>
      <c r="AF67" s="11">
        <f t="shared" si="73"/>
        <v>1.25</v>
      </c>
      <c r="AG67" s="11">
        <f t="shared" si="74"/>
        <v>0</v>
      </c>
      <c r="AH67" s="11">
        <f t="shared" si="75"/>
        <v>-1</v>
      </c>
      <c r="AI67" s="11">
        <f t="shared" si="76"/>
        <v>-1</v>
      </c>
      <c r="AJ67" s="39">
        <f t="shared" si="77"/>
        <v>0</v>
      </c>
      <c r="AK67" s="39">
        <f t="shared" si="78"/>
        <v>0</v>
      </c>
      <c r="AL67" s="39">
        <f t="shared" si="79"/>
        <v>0</v>
      </c>
      <c r="AM67" s="11">
        <f t="shared" si="80"/>
        <v>0</v>
      </c>
      <c r="AN67" s="11">
        <f t="shared" si="81"/>
        <v>0</v>
      </c>
      <c r="AO67" s="11">
        <f t="shared" si="82"/>
        <v>0</v>
      </c>
      <c r="AP67" s="40">
        <f t="shared" si="83"/>
        <v>0</v>
      </c>
      <c r="AQ67" s="40">
        <f t="shared" si="84"/>
        <v>0</v>
      </c>
      <c r="AR67" s="40">
        <f t="shared" si="85"/>
        <v>0</v>
      </c>
      <c r="AS67" s="40" t="str">
        <f t="shared" si="86"/>
        <v/>
      </c>
      <c r="AT67" s="11" t="str">
        <f t="shared" si="87"/>
        <v/>
      </c>
      <c r="AU67" s="11">
        <f t="shared" si="88"/>
        <v>1</v>
      </c>
      <c r="AV67" s="11">
        <f t="shared" si="89"/>
        <v>1</v>
      </c>
      <c r="AW67" s="11" t="str">
        <f t="shared" si="90"/>
        <v/>
      </c>
      <c r="AX67" s="11" t="str">
        <f t="shared" si="91"/>
        <v/>
      </c>
      <c r="AY67" s="11" t="str">
        <f t="shared" si="92"/>
        <v/>
      </c>
      <c r="AZ67" s="11" t="str">
        <f t="shared" si="93"/>
        <v/>
      </c>
      <c r="BA67" s="11" t="str">
        <f t="shared" si="94"/>
        <v/>
      </c>
      <c r="BB67" s="11" t="str">
        <f t="shared" si="95"/>
        <v/>
      </c>
      <c r="BC67" s="11" t="str">
        <f t="shared" si="96"/>
        <v/>
      </c>
      <c r="BD67" s="11" t="str">
        <f t="shared" si="97"/>
        <v/>
      </c>
      <c r="BE67" s="39" t="str">
        <f t="shared" si="98"/>
        <v/>
      </c>
      <c r="BF67" s="11" t="str">
        <f t="shared" si="99"/>
        <v/>
      </c>
      <c r="BG67" s="11" t="str">
        <f t="shared" si="100"/>
        <v/>
      </c>
      <c r="BH67" s="39" t="str">
        <f t="shared" si="101"/>
        <v/>
      </c>
      <c r="BI67" s="11" t="str">
        <f t="shared" si="102"/>
        <v/>
      </c>
      <c r="BJ67" s="11" t="str">
        <f>IF($X67=0,"",IF($Q67&lt;&gt;"",$Q67,NEC_UNIDAD($W67,$E67,$Y67,$Z67,N($AT67),$C$7,OCUPACION)))</f>
        <v/>
      </c>
      <c r="BK67" s="11" t="str">
        <f>IF($X67=0,"",IF(N($R67)&gt;0,$R67,BREAKER_SEL($BX$60,$BI67,$AT67,$C$7,$BX$58,$BX$69,$BJ67)))</f>
        <v/>
      </c>
      <c r="BL67" s="11" t="str">
        <f>IF($BK67="","",BREAKER_REF($BX$60,$BK67,$BI67,$AT67,FALSE))</f>
        <v/>
      </c>
      <c r="BM67" s="11" t="str">
        <f>IF($BK67="","",BREAKER_DATO($BX$60,$BK67,"sccr"))</f>
        <v/>
      </c>
      <c r="BN67" s="11" t="str">
        <f>IF(OR($BK67="",N($BM67)&gt;=$BX$58,$BX$71="",N($BX$74)&lt;$BX$58),"",SERIE_KA($BX$60,BREAKER_DATO($BX$60,$BK67,"modelo"),$BX$72,N($BX$24),$C$7,$BX$58))</f>
        <v/>
      </c>
      <c r="BO67" s="11" t="str">
        <f>IF($BK67="","",BREAKER_DATO($BX$60,$BK67,"unidad"))</f>
        <v/>
      </c>
      <c r="BP67" s="11" t="str">
        <f>IF($BK67="","",BREAKER_DATO($BX$60,$BK67,"marco"))</f>
        <v/>
      </c>
      <c r="BQ67" s="11" t="str">
        <f t="shared" si="103"/>
        <v/>
      </c>
      <c r="BR67" s="11" t="str">
        <f t="shared" si="104"/>
        <v/>
      </c>
      <c r="BS67" s="11" t="str">
        <f t="shared" si="105"/>
        <v/>
      </c>
      <c r="BT67" s="11" t="str">
        <f t="shared" si="106"/>
        <v/>
      </c>
      <c r="BU67" s="11" t="str">
        <f t="shared" si="107"/>
        <v/>
      </c>
      <c r="BW67" t="s">
        <v>784</v>
      </c>
      <c r="BX67">
        <f>CAT_DATO(BX62,"espacios")</f>
        <v>30</v>
      </c>
      <c r="CA67" s="11" t="str">
        <f t="shared" si="108"/>
        <v/>
      </c>
      <c r="CB67" s="11" t="str">
        <f t="shared" si="109"/>
        <v/>
      </c>
    </row>
    <row r="68" spans="1:80" ht="14.65" x14ac:dyDescent="0.45">
      <c r="A68" s="37"/>
      <c r="B68" s="14">
        <v>87</v>
      </c>
      <c r="C68" s="37"/>
      <c r="D68" s="37"/>
      <c r="E68" s="37"/>
      <c r="F68" s="37" t="str">
        <f t="shared" si="55"/>
        <v/>
      </c>
      <c r="G68" s="38"/>
      <c r="H68" s="37"/>
      <c r="I68" s="37" t="str">
        <f t="shared" si="56"/>
        <v/>
      </c>
      <c r="J68" s="37" t="str">
        <f t="shared" si="57"/>
        <v/>
      </c>
      <c r="K68" s="37" t="str">
        <f t="shared" si="58"/>
        <v/>
      </c>
      <c r="L68" s="37" t="str">
        <f t="shared" si="59"/>
        <v/>
      </c>
      <c r="M68" s="37" t="str">
        <f t="shared" si="60"/>
        <v/>
      </c>
      <c r="N68" s="37" t="str">
        <f t="shared" si="61"/>
        <v/>
      </c>
      <c r="O68" s="37" t="str">
        <f t="shared" si="62"/>
        <v/>
      </c>
      <c r="P68" s="37" t="str">
        <f t="shared" si="63"/>
        <v/>
      </c>
      <c r="Q68" s="37" t="str">
        <f>IF($X68=0,"",NEC_UNIDAD($W68,$E68,$Y68,$Z68,N($AT68),$C$7,OCUPACION))</f>
        <v/>
      </c>
      <c r="R68" s="37" t="str">
        <f>IF($X68=0,"",BREAKER_SEL($BX$60,$BI68,$AT68,$C$7,$BX$58,$BX$69,$BJ68))</f>
        <v/>
      </c>
      <c r="S68" s="37"/>
      <c r="T68" s="37"/>
      <c r="U68" s="37"/>
      <c r="V68" s="37"/>
      <c r="W68" s="11" t="str">
        <f t="shared" si="64"/>
        <v/>
      </c>
      <c r="X68" s="39">
        <f t="shared" si="65"/>
        <v>0</v>
      </c>
      <c r="Y68" s="11">
        <f t="shared" si="66"/>
        <v>0</v>
      </c>
      <c r="Z68" s="11">
        <f t="shared" si="67"/>
        <v>0</v>
      </c>
      <c r="AA68" s="11">
        <f t="shared" si="68"/>
        <v>0</v>
      </c>
      <c r="AB68" s="11">
        <f t="shared" si="69"/>
        <v>1</v>
      </c>
      <c r="AC68" s="11">
        <f t="shared" si="70"/>
        <v>1</v>
      </c>
      <c r="AD68" s="11">
        <f t="shared" si="71"/>
        <v>1</v>
      </c>
      <c r="AE68" s="11" t="str">
        <f t="shared" si="72"/>
        <v/>
      </c>
      <c r="AF68" s="11">
        <f t="shared" si="73"/>
        <v>1.25</v>
      </c>
      <c r="AG68" s="11">
        <f t="shared" si="74"/>
        <v>1</v>
      </c>
      <c r="AH68" s="11">
        <f t="shared" si="75"/>
        <v>-1</v>
      </c>
      <c r="AI68" s="11">
        <f t="shared" si="76"/>
        <v>-1</v>
      </c>
      <c r="AJ68" s="39">
        <f t="shared" si="77"/>
        <v>0</v>
      </c>
      <c r="AK68" s="39">
        <f t="shared" si="78"/>
        <v>0</v>
      </c>
      <c r="AL68" s="39">
        <f t="shared" si="79"/>
        <v>0</v>
      </c>
      <c r="AM68" s="11">
        <f t="shared" si="80"/>
        <v>0</v>
      </c>
      <c r="AN68" s="11">
        <f t="shared" si="81"/>
        <v>0</v>
      </c>
      <c r="AO68" s="11">
        <f t="shared" si="82"/>
        <v>0</v>
      </c>
      <c r="AP68" s="40">
        <f t="shared" si="83"/>
        <v>0</v>
      </c>
      <c r="AQ68" s="40">
        <f t="shared" si="84"/>
        <v>0</v>
      </c>
      <c r="AR68" s="40">
        <f t="shared" si="85"/>
        <v>0</v>
      </c>
      <c r="AS68" s="40" t="str">
        <f t="shared" si="86"/>
        <v/>
      </c>
      <c r="AT68" s="11" t="str">
        <f t="shared" si="87"/>
        <v/>
      </c>
      <c r="AU68" s="11">
        <f t="shared" si="88"/>
        <v>1</v>
      </c>
      <c r="AV68" s="11">
        <f t="shared" si="89"/>
        <v>1</v>
      </c>
      <c r="AW68" s="11" t="str">
        <f t="shared" si="90"/>
        <v/>
      </c>
      <c r="AX68" s="11" t="str">
        <f t="shared" si="91"/>
        <v/>
      </c>
      <c r="AY68" s="11" t="str">
        <f t="shared" si="92"/>
        <v/>
      </c>
      <c r="AZ68" s="11" t="str">
        <f t="shared" si="93"/>
        <v/>
      </c>
      <c r="BA68" s="11" t="str">
        <f t="shared" si="94"/>
        <v/>
      </c>
      <c r="BB68" s="11" t="str">
        <f t="shared" si="95"/>
        <v/>
      </c>
      <c r="BC68" s="11" t="str">
        <f t="shared" si="96"/>
        <v/>
      </c>
      <c r="BD68" s="11" t="str">
        <f t="shared" si="97"/>
        <v/>
      </c>
      <c r="BE68" s="39" t="str">
        <f t="shared" si="98"/>
        <v/>
      </c>
      <c r="BF68" s="11" t="str">
        <f t="shared" si="99"/>
        <v/>
      </c>
      <c r="BG68" s="11" t="str">
        <f t="shared" si="100"/>
        <v/>
      </c>
      <c r="BH68" s="39" t="str">
        <f t="shared" si="101"/>
        <v/>
      </c>
      <c r="BI68" s="11" t="str">
        <f t="shared" si="102"/>
        <v/>
      </c>
      <c r="BJ68" s="11" t="str">
        <f>IF($X68=0,"",IF($Q68&lt;&gt;"",$Q68,NEC_UNIDAD($W68,$E68,$Y68,$Z68,N($AT68),$C$7,OCUPACION)))</f>
        <v/>
      </c>
      <c r="BK68" s="11" t="str">
        <f>IF($X68=0,"",IF(N($R68)&gt;0,$R68,BREAKER_SEL($BX$60,$BI68,$AT68,$C$7,$BX$58,$BX$69,$BJ68)))</f>
        <v/>
      </c>
      <c r="BL68" s="11" t="str">
        <f>IF($BK68="","",BREAKER_REF($BX$60,$BK68,$BI68,$AT68,FALSE))</f>
        <v/>
      </c>
      <c r="BM68" s="11" t="str">
        <f>IF($BK68="","",BREAKER_DATO($BX$60,$BK68,"sccr"))</f>
        <v/>
      </c>
      <c r="BN68" s="11" t="str">
        <f>IF(OR($BK68="",N($BM68)&gt;=$BX$58,$BX$71="",N($BX$74)&lt;$BX$58),"",SERIE_KA($BX$60,BREAKER_DATO($BX$60,$BK68,"modelo"),$BX$72,N($BX$24),$C$7,$BX$58))</f>
        <v/>
      </c>
      <c r="BO68" s="11" t="str">
        <f>IF($BK68="","",BREAKER_DATO($BX$60,$BK68,"unidad"))</f>
        <v/>
      </c>
      <c r="BP68" s="11" t="str">
        <f>IF($BK68="","",BREAKER_DATO($BX$60,$BK68,"marco"))</f>
        <v/>
      </c>
      <c r="BQ68" s="11" t="str">
        <f t="shared" si="103"/>
        <v/>
      </c>
      <c r="BR68" s="11" t="str">
        <f t="shared" si="104"/>
        <v/>
      </c>
      <c r="BS68" s="11" t="str">
        <f t="shared" si="105"/>
        <v/>
      </c>
      <c r="BT68" s="11" t="str">
        <f t="shared" si="106"/>
        <v/>
      </c>
      <c r="BU68" s="11" t="str">
        <f t="shared" si="107"/>
        <v/>
      </c>
      <c r="BW68" t="s">
        <v>785</v>
      </c>
      <c r="BX68" t="str">
        <f>CAT_DATO(BX62,"familia")</f>
        <v>CH</v>
      </c>
      <c r="CA68" s="11" t="str">
        <f t="shared" si="108"/>
        <v/>
      </c>
      <c r="CB68" s="11" t="str">
        <f t="shared" si="109"/>
        <v/>
      </c>
    </row>
    <row r="69" spans="1:80" ht="14.65" x14ac:dyDescent="0.45">
      <c r="A69" s="37"/>
      <c r="B69" s="14">
        <v>89</v>
      </c>
      <c r="C69" s="37"/>
      <c r="D69" s="37"/>
      <c r="E69" s="37"/>
      <c r="F69" s="37" t="str">
        <f t="shared" si="55"/>
        <v/>
      </c>
      <c r="G69" s="38"/>
      <c r="H69" s="37"/>
      <c r="I69" s="37" t="str">
        <f t="shared" si="56"/>
        <v/>
      </c>
      <c r="J69" s="37" t="str">
        <f t="shared" si="57"/>
        <v/>
      </c>
      <c r="K69" s="37" t="str">
        <f t="shared" si="58"/>
        <v/>
      </c>
      <c r="L69" s="37" t="str">
        <f t="shared" si="59"/>
        <v/>
      </c>
      <c r="M69" s="37" t="str">
        <f t="shared" si="60"/>
        <v/>
      </c>
      <c r="N69" s="37" t="str">
        <f t="shared" si="61"/>
        <v/>
      </c>
      <c r="O69" s="37" t="str">
        <f t="shared" si="62"/>
        <v/>
      </c>
      <c r="P69" s="37" t="str">
        <f t="shared" si="63"/>
        <v/>
      </c>
      <c r="Q69" s="37" t="str">
        <f>IF($X69=0,"",NEC_UNIDAD($W69,$E69,$Y69,$Z69,N($AT69),$C$7,OCUPACION))</f>
        <v/>
      </c>
      <c r="R69" s="37" t="str">
        <f>IF($X69=0,"",BREAKER_SEL($BX$60,$BI69,$AT69,$C$7,$BX$58,$BX$69,$BJ69))</f>
        <v/>
      </c>
      <c r="S69" s="37"/>
      <c r="T69" s="37"/>
      <c r="U69" s="37"/>
      <c r="V69" s="37"/>
      <c r="W69" s="11" t="str">
        <f t="shared" si="64"/>
        <v/>
      </c>
      <c r="X69" s="39">
        <f t="shared" si="65"/>
        <v>0</v>
      </c>
      <c r="Y69" s="11">
        <f t="shared" si="66"/>
        <v>0</v>
      </c>
      <c r="Z69" s="11">
        <f t="shared" si="67"/>
        <v>0</v>
      </c>
      <c r="AA69" s="11">
        <f t="shared" si="68"/>
        <v>0</v>
      </c>
      <c r="AB69" s="11">
        <f t="shared" si="69"/>
        <v>1</v>
      </c>
      <c r="AC69" s="11">
        <f t="shared" si="70"/>
        <v>1</v>
      </c>
      <c r="AD69" s="11">
        <f t="shared" si="71"/>
        <v>1</v>
      </c>
      <c r="AE69" s="11" t="str">
        <f t="shared" si="72"/>
        <v/>
      </c>
      <c r="AF69" s="11">
        <f t="shared" si="73"/>
        <v>1.25</v>
      </c>
      <c r="AG69" s="11">
        <f t="shared" si="74"/>
        <v>2</v>
      </c>
      <c r="AH69" s="11">
        <f t="shared" si="75"/>
        <v>-1</v>
      </c>
      <c r="AI69" s="11">
        <f t="shared" si="76"/>
        <v>-1</v>
      </c>
      <c r="AJ69" s="39">
        <f t="shared" si="77"/>
        <v>0</v>
      </c>
      <c r="AK69" s="39">
        <f t="shared" si="78"/>
        <v>0</v>
      </c>
      <c r="AL69" s="39">
        <f t="shared" si="79"/>
        <v>0</v>
      </c>
      <c r="AM69" s="11">
        <f t="shared" si="80"/>
        <v>0</v>
      </c>
      <c r="AN69" s="11">
        <f t="shared" si="81"/>
        <v>0</v>
      </c>
      <c r="AO69" s="11">
        <f t="shared" si="82"/>
        <v>0</v>
      </c>
      <c r="AP69" s="40">
        <f t="shared" si="83"/>
        <v>0</v>
      </c>
      <c r="AQ69" s="40">
        <f t="shared" si="84"/>
        <v>0</v>
      </c>
      <c r="AR69" s="40">
        <f t="shared" si="85"/>
        <v>0</v>
      </c>
      <c r="AS69" s="40" t="str">
        <f t="shared" si="86"/>
        <v/>
      </c>
      <c r="AT69" s="11" t="str">
        <f t="shared" si="87"/>
        <v/>
      </c>
      <c r="AU69" s="11">
        <f t="shared" si="88"/>
        <v>1</v>
      </c>
      <c r="AV69" s="11">
        <f t="shared" si="89"/>
        <v>1</v>
      </c>
      <c r="AW69" s="11" t="str">
        <f t="shared" si="90"/>
        <v/>
      </c>
      <c r="AX69" s="11" t="str">
        <f t="shared" si="91"/>
        <v/>
      </c>
      <c r="AY69" s="11" t="str">
        <f t="shared" si="92"/>
        <v/>
      </c>
      <c r="AZ69" s="11" t="str">
        <f t="shared" si="93"/>
        <v/>
      </c>
      <c r="BA69" s="11" t="str">
        <f t="shared" si="94"/>
        <v/>
      </c>
      <c r="BB69" s="11" t="str">
        <f t="shared" si="95"/>
        <v/>
      </c>
      <c r="BC69" s="11" t="str">
        <f t="shared" si="96"/>
        <v/>
      </c>
      <c r="BD69" s="11" t="str">
        <f t="shared" si="97"/>
        <v/>
      </c>
      <c r="BE69" s="39" t="str">
        <f t="shared" si="98"/>
        <v/>
      </c>
      <c r="BF69" s="11" t="str">
        <f t="shared" si="99"/>
        <v/>
      </c>
      <c r="BG69" s="11" t="str">
        <f t="shared" si="100"/>
        <v/>
      </c>
      <c r="BH69" s="39" t="str">
        <f t="shared" si="101"/>
        <v/>
      </c>
      <c r="BI69" s="11" t="str">
        <f t="shared" si="102"/>
        <v/>
      </c>
      <c r="BJ69" s="11" t="str">
        <f>IF($X69=0,"",IF($Q69&lt;&gt;"",$Q69,NEC_UNIDAD($W69,$E69,$Y69,$Z69,N($AT69),$C$7,OCUPACION)))</f>
        <v/>
      </c>
      <c r="BK69" s="11" t="str">
        <f>IF($X69=0,"",IF(N($R69)&gt;0,$R69,BREAKER_SEL($BX$60,$BI69,$AT69,$C$7,$BX$58,$BX$69,$BJ69)))</f>
        <v/>
      </c>
      <c r="BL69" s="11" t="str">
        <f>IF($BK69="","",BREAKER_REF($BX$60,$BK69,$BI69,$AT69,FALSE))</f>
        <v/>
      </c>
      <c r="BM69" s="11" t="str">
        <f>IF($BK69="","",BREAKER_DATO($BX$60,$BK69,"sccr"))</f>
        <v/>
      </c>
      <c r="BN69" s="11" t="str">
        <f>IF(OR($BK69="",N($BM69)&gt;=$BX$58,$BX$71="",N($BX$74)&lt;$BX$58),"",SERIE_KA($BX$60,BREAKER_DATO($BX$60,$BK69,"modelo"),$BX$72,N($BX$24),$C$7,$BX$58))</f>
        <v/>
      </c>
      <c r="BO69" s="11" t="str">
        <f>IF($BK69="","",BREAKER_DATO($BX$60,$BK69,"unidad"))</f>
        <v/>
      </c>
      <c r="BP69" s="11" t="str">
        <f>IF($BK69="","",BREAKER_DATO($BX$60,$BK69,"marco"))</f>
        <v/>
      </c>
      <c r="BQ69" s="11" t="str">
        <f t="shared" si="103"/>
        <v/>
      </c>
      <c r="BR69" s="11" t="str">
        <f t="shared" si="104"/>
        <v/>
      </c>
      <c r="BS69" s="11" t="str">
        <f t="shared" si="105"/>
        <v/>
      </c>
      <c r="BT69" s="11" t="str">
        <f t="shared" si="106"/>
        <v/>
      </c>
      <c r="BU69" s="11" t="str">
        <f t="shared" si="107"/>
        <v/>
      </c>
      <c r="BW69" t="s">
        <v>786</v>
      </c>
      <c r="BX69" t="str">
        <f>CAT_DATO(BX62,"ramales")</f>
        <v>BAB,QBHW,GFCI/AFCI</v>
      </c>
      <c r="CA69" s="11" t="str">
        <f t="shared" si="108"/>
        <v/>
      </c>
      <c r="CB69" s="11" t="str">
        <f t="shared" si="109"/>
        <v/>
      </c>
    </row>
    <row r="70" spans="1:80" ht="14.65" x14ac:dyDescent="0.45">
      <c r="A70" s="37"/>
      <c r="B70" s="14">
        <v>91</v>
      </c>
      <c r="C70" s="37"/>
      <c r="D70" s="37"/>
      <c r="E70" s="37"/>
      <c r="F70" s="37" t="str">
        <f t="shared" si="55"/>
        <v/>
      </c>
      <c r="G70" s="38"/>
      <c r="H70" s="37"/>
      <c r="I70" s="37" t="str">
        <f t="shared" si="56"/>
        <v/>
      </c>
      <c r="J70" s="37" t="str">
        <f t="shared" si="57"/>
        <v/>
      </c>
      <c r="K70" s="37" t="str">
        <f t="shared" si="58"/>
        <v/>
      </c>
      <c r="L70" s="37" t="str">
        <f t="shared" si="59"/>
        <v/>
      </c>
      <c r="M70" s="37" t="str">
        <f t="shared" si="60"/>
        <v/>
      </c>
      <c r="N70" s="37" t="str">
        <f t="shared" si="61"/>
        <v/>
      </c>
      <c r="O70" s="37" t="str">
        <f t="shared" si="62"/>
        <v/>
      </c>
      <c r="P70" s="37" t="str">
        <f t="shared" si="63"/>
        <v/>
      </c>
      <c r="Q70" s="37" t="str">
        <f>IF($X70=0,"",NEC_UNIDAD($W70,$E70,$Y70,$Z70,N($AT70),$C$7,OCUPACION))</f>
        <v/>
      </c>
      <c r="R70" s="37" t="str">
        <f>IF($X70=0,"",BREAKER_SEL($BX$60,$BI70,$AT70,$C$7,$BX$58,$BX$69,$BJ70))</f>
        <v/>
      </c>
      <c r="S70" s="37"/>
      <c r="T70" s="37"/>
      <c r="U70" s="37"/>
      <c r="V70" s="37"/>
      <c r="W70" s="11" t="str">
        <f t="shared" si="64"/>
        <v/>
      </c>
      <c r="X70" s="39">
        <f t="shared" si="65"/>
        <v>0</v>
      </c>
      <c r="Y70" s="11">
        <f t="shared" si="66"/>
        <v>0</v>
      </c>
      <c r="Z70" s="11">
        <f t="shared" si="67"/>
        <v>0</v>
      </c>
      <c r="AA70" s="11">
        <f t="shared" si="68"/>
        <v>0</v>
      </c>
      <c r="AB70" s="11">
        <f t="shared" si="69"/>
        <v>1</v>
      </c>
      <c r="AC70" s="11">
        <f t="shared" si="70"/>
        <v>1</v>
      </c>
      <c r="AD70" s="11">
        <f t="shared" si="71"/>
        <v>1</v>
      </c>
      <c r="AE70" s="11" t="str">
        <f t="shared" si="72"/>
        <v/>
      </c>
      <c r="AF70" s="11">
        <f t="shared" si="73"/>
        <v>1.25</v>
      </c>
      <c r="AG70" s="11">
        <f t="shared" si="74"/>
        <v>0</v>
      </c>
      <c r="AH70" s="11">
        <f t="shared" si="75"/>
        <v>-1</v>
      </c>
      <c r="AI70" s="11">
        <f t="shared" si="76"/>
        <v>-1</v>
      </c>
      <c r="AJ70" s="39">
        <f t="shared" si="77"/>
        <v>0</v>
      </c>
      <c r="AK70" s="39">
        <f t="shared" si="78"/>
        <v>0</v>
      </c>
      <c r="AL70" s="39">
        <f t="shared" si="79"/>
        <v>0</v>
      </c>
      <c r="AM70" s="11">
        <f t="shared" si="80"/>
        <v>0</v>
      </c>
      <c r="AN70" s="11">
        <f t="shared" si="81"/>
        <v>0</v>
      </c>
      <c r="AO70" s="11">
        <f t="shared" si="82"/>
        <v>0</v>
      </c>
      <c r="AP70" s="40">
        <f t="shared" si="83"/>
        <v>0</v>
      </c>
      <c r="AQ70" s="40">
        <f t="shared" si="84"/>
        <v>0</v>
      </c>
      <c r="AR70" s="40">
        <f t="shared" si="85"/>
        <v>0</v>
      </c>
      <c r="AS70" s="40" t="str">
        <f t="shared" si="86"/>
        <v/>
      </c>
      <c r="AT70" s="11" t="str">
        <f t="shared" si="87"/>
        <v/>
      </c>
      <c r="AU70" s="11">
        <f t="shared" si="88"/>
        <v>1</v>
      </c>
      <c r="AV70" s="11">
        <f t="shared" si="89"/>
        <v>1</v>
      </c>
      <c r="AW70" s="11" t="str">
        <f t="shared" si="90"/>
        <v/>
      </c>
      <c r="AX70" s="11" t="str">
        <f t="shared" si="91"/>
        <v/>
      </c>
      <c r="AY70" s="11" t="str">
        <f t="shared" si="92"/>
        <v/>
      </c>
      <c r="AZ70" s="11" t="str">
        <f t="shared" si="93"/>
        <v/>
      </c>
      <c r="BA70" s="11" t="str">
        <f t="shared" si="94"/>
        <v/>
      </c>
      <c r="BB70" s="11" t="str">
        <f t="shared" si="95"/>
        <v/>
      </c>
      <c r="BC70" s="11" t="str">
        <f t="shared" si="96"/>
        <v/>
      </c>
      <c r="BD70" s="11" t="str">
        <f t="shared" si="97"/>
        <v/>
      </c>
      <c r="BE70" s="39" t="str">
        <f t="shared" si="98"/>
        <v/>
      </c>
      <c r="BF70" s="11" t="str">
        <f t="shared" si="99"/>
        <v/>
      </c>
      <c r="BG70" s="11" t="str">
        <f t="shared" si="100"/>
        <v/>
      </c>
      <c r="BH70" s="39" t="str">
        <f t="shared" si="101"/>
        <v/>
      </c>
      <c r="BI70" s="11" t="str">
        <f t="shared" si="102"/>
        <v/>
      </c>
      <c r="BJ70" s="11" t="str">
        <f>IF($X70=0,"",IF($Q70&lt;&gt;"",$Q70,NEC_UNIDAD($W70,$E70,$Y70,$Z70,N($AT70),$C$7,OCUPACION)))</f>
        <v/>
      </c>
      <c r="BK70" s="11" t="str">
        <f>IF($X70=0,"",IF(N($R70)&gt;0,$R70,BREAKER_SEL($BX$60,$BI70,$AT70,$C$7,$BX$58,$BX$69,$BJ70)))</f>
        <v/>
      </c>
      <c r="BL70" s="11" t="str">
        <f>IF($BK70="","",BREAKER_REF($BX$60,$BK70,$BI70,$AT70,FALSE))</f>
        <v/>
      </c>
      <c r="BM70" s="11" t="str">
        <f>IF($BK70="","",BREAKER_DATO($BX$60,$BK70,"sccr"))</f>
        <v/>
      </c>
      <c r="BN70" s="11" t="str">
        <f>IF(OR($BK70="",N($BM70)&gt;=$BX$58,$BX$71="",N($BX$74)&lt;$BX$58),"",SERIE_KA($BX$60,BREAKER_DATO($BX$60,$BK70,"modelo"),$BX$72,N($BX$24),$C$7,$BX$58))</f>
        <v/>
      </c>
      <c r="BO70" s="11" t="str">
        <f>IF($BK70="","",BREAKER_DATO($BX$60,$BK70,"unidad"))</f>
        <v/>
      </c>
      <c r="BP70" s="11" t="str">
        <f>IF($BK70="","",BREAKER_DATO($BX$60,$BK70,"marco"))</f>
        <v/>
      </c>
      <c r="BQ70" s="11" t="str">
        <f t="shared" si="103"/>
        <v/>
      </c>
      <c r="BR70" s="11" t="str">
        <f t="shared" si="104"/>
        <v/>
      </c>
      <c r="BS70" s="11" t="str">
        <f t="shared" si="105"/>
        <v/>
      </c>
      <c r="BT70" s="11" t="str">
        <f t="shared" si="106"/>
        <v/>
      </c>
      <c r="BU70" s="11" t="str">
        <f t="shared" si="107"/>
        <v/>
      </c>
      <c r="BW70" t="s">
        <v>787</v>
      </c>
      <c r="BX70" t="str">
        <f>CAT_DATO(BX62,"principales")</f>
        <v>PDG2</v>
      </c>
      <c r="CA70" s="11" t="str">
        <f t="shared" si="108"/>
        <v/>
      </c>
      <c r="CB70" s="11" t="str">
        <f t="shared" si="109"/>
        <v/>
      </c>
    </row>
    <row r="71" spans="1:80" ht="14.65" x14ac:dyDescent="0.45">
      <c r="A71" s="37"/>
      <c r="B71" s="14">
        <v>93</v>
      </c>
      <c r="C71" s="37"/>
      <c r="D71" s="37"/>
      <c r="E71" s="37"/>
      <c r="F71" s="37" t="str">
        <f t="shared" si="55"/>
        <v/>
      </c>
      <c r="G71" s="38"/>
      <c r="H71" s="37"/>
      <c r="I71" s="37" t="str">
        <f t="shared" si="56"/>
        <v/>
      </c>
      <c r="J71" s="37" t="str">
        <f t="shared" si="57"/>
        <v/>
      </c>
      <c r="K71" s="37" t="str">
        <f t="shared" si="58"/>
        <v/>
      </c>
      <c r="L71" s="37" t="str">
        <f t="shared" si="59"/>
        <v/>
      </c>
      <c r="M71" s="37" t="str">
        <f t="shared" si="60"/>
        <v/>
      </c>
      <c r="N71" s="37" t="str">
        <f t="shared" si="61"/>
        <v/>
      </c>
      <c r="O71" s="37" t="str">
        <f t="shared" si="62"/>
        <v/>
      </c>
      <c r="P71" s="37" t="str">
        <f t="shared" si="63"/>
        <v/>
      </c>
      <c r="Q71" s="37" t="str">
        <f>IF($X71=0,"",NEC_UNIDAD($W71,$E71,$Y71,$Z71,N($AT71),$C$7,OCUPACION))</f>
        <v/>
      </c>
      <c r="R71" s="37" t="str">
        <f>IF($X71=0,"",BREAKER_SEL($BX$60,$BI71,$AT71,$C$7,$BX$58,$BX$69,$BJ71))</f>
        <v/>
      </c>
      <c r="S71" s="37"/>
      <c r="T71" s="37"/>
      <c r="U71" s="37"/>
      <c r="V71" s="37"/>
      <c r="W71" s="11" t="str">
        <f t="shared" si="64"/>
        <v/>
      </c>
      <c r="X71" s="39">
        <f t="shared" si="65"/>
        <v>0</v>
      </c>
      <c r="Y71" s="11">
        <f t="shared" si="66"/>
        <v>0</v>
      </c>
      <c r="Z71" s="11">
        <f t="shared" si="67"/>
        <v>0</v>
      </c>
      <c r="AA71" s="11">
        <f t="shared" si="68"/>
        <v>0</v>
      </c>
      <c r="AB71" s="11">
        <f t="shared" si="69"/>
        <v>1</v>
      </c>
      <c r="AC71" s="11">
        <f t="shared" si="70"/>
        <v>1</v>
      </c>
      <c r="AD71" s="11">
        <f t="shared" si="71"/>
        <v>1</v>
      </c>
      <c r="AE71" s="11" t="str">
        <f t="shared" si="72"/>
        <v/>
      </c>
      <c r="AF71" s="11">
        <f t="shared" si="73"/>
        <v>1.25</v>
      </c>
      <c r="AG71" s="11">
        <f t="shared" si="74"/>
        <v>1</v>
      </c>
      <c r="AH71" s="11">
        <f t="shared" si="75"/>
        <v>-1</v>
      </c>
      <c r="AI71" s="11">
        <f t="shared" si="76"/>
        <v>-1</v>
      </c>
      <c r="AJ71" s="39">
        <f t="shared" si="77"/>
        <v>0</v>
      </c>
      <c r="AK71" s="39">
        <f t="shared" si="78"/>
        <v>0</v>
      </c>
      <c r="AL71" s="39">
        <f t="shared" si="79"/>
        <v>0</v>
      </c>
      <c r="AM71" s="11">
        <f t="shared" si="80"/>
        <v>0</v>
      </c>
      <c r="AN71" s="11">
        <f t="shared" si="81"/>
        <v>0</v>
      </c>
      <c r="AO71" s="11">
        <f t="shared" si="82"/>
        <v>0</v>
      </c>
      <c r="AP71" s="40">
        <f t="shared" si="83"/>
        <v>0</v>
      </c>
      <c r="AQ71" s="40">
        <f t="shared" si="84"/>
        <v>0</v>
      </c>
      <c r="AR71" s="40">
        <f t="shared" si="85"/>
        <v>0</v>
      </c>
      <c r="AS71" s="40" t="str">
        <f t="shared" si="86"/>
        <v/>
      </c>
      <c r="AT71" s="11" t="str">
        <f t="shared" si="87"/>
        <v/>
      </c>
      <c r="AU71" s="11">
        <f t="shared" si="88"/>
        <v>1</v>
      </c>
      <c r="AV71" s="11">
        <f t="shared" si="89"/>
        <v>1</v>
      </c>
      <c r="AW71" s="11" t="str">
        <f t="shared" si="90"/>
        <v/>
      </c>
      <c r="AX71" s="11" t="str">
        <f t="shared" si="91"/>
        <v/>
      </c>
      <c r="AY71" s="11" t="str">
        <f t="shared" si="92"/>
        <v/>
      </c>
      <c r="AZ71" s="11" t="str">
        <f t="shared" si="93"/>
        <v/>
      </c>
      <c r="BA71" s="11" t="str">
        <f t="shared" si="94"/>
        <v/>
      </c>
      <c r="BB71" s="11" t="str">
        <f t="shared" si="95"/>
        <v/>
      </c>
      <c r="BC71" s="11" t="str">
        <f t="shared" si="96"/>
        <v/>
      </c>
      <c r="BD71" s="11" t="str">
        <f t="shared" si="97"/>
        <v/>
      </c>
      <c r="BE71" s="39" t="str">
        <f t="shared" si="98"/>
        <v/>
      </c>
      <c r="BF71" s="11" t="str">
        <f t="shared" si="99"/>
        <v/>
      </c>
      <c r="BG71" s="11" t="str">
        <f t="shared" si="100"/>
        <v/>
      </c>
      <c r="BH71" s="39" t="str">
        <f t="shared" si="101"/>
        <v/>
      </c>
      <c r="BI71" s="11" t="str">
        <f t="shared" si="102"/>
        <v/>
      </c>
      <c r="BJ71" s="11" t="str">
        <f>IF($X71=0,"",IF($Q71&lt;&gt;"",$Q71,NEC_UNIDAD($W71,$E71,$Y71,$Z71,N($AT71),$C$7,OCUPACION)))</f>
        <v/>
      </c>
      <c r="BK71" s="11" t="str">
        <f>IF($X71=0,"",IF(N($R71)&gt;0,$R71,BREAKER_SEL($BX$60,$BI71,$AT71,$C$7,$BX$58,$BX$69,$BJ71)))</f>
        <v/>
      </c>
      <c r="BL71" s="11" t="str">
        <f>IF($BK71="","",BREAKER_REF($BX$60,$BK71,$BI71,$AT71,FALSE))</f>
        <v/>
      </c>
      <c r="BM71" s="11" t="str">
        <f>IF($BK71="","",BREAKER_DATO($BX$60,$BK71,"sccr"))</f>
        <v/>
      </c>
      <c r="BN71" s="11" t="str">
        <f>IF(OR($BK71="",N($BM71)&gt;=$BX$58,$BX$71="",N($BX$74)&lt;$BX$58),"",SERIE_KA($BX$60,BREAKER_DATO($BX$60,$BK71,"modelo"),$BX$72,N($BX$24),$C$7,$BX$58))</f>
        <v/>
      </c>
      <c r="BO71" s="11" t="str">
        <f>IF($BK71="","",BREAKER_DATO($BX$60,$BK71,"unidad"))</f>
        <v/>
      </c>
      <c r="BP71" s="11" t="str">
        <f>IF($BK71="","",BREAKER_DATO($BX$60,$BK71,"marco"))</f>
        <v/>
      </c>
      <c r="BQ71" s="11" t="str">
        <f t="shared" si="103"/>
        <v/>
      </c>
      <c r="BR71" s="11" t="str">
        <f t="shared" si="104"/>
        <v/>
      </c>
      <c r="BS71" s="11" t="str">
        <f t="shared" si="105"/>
        <v/>
      </c>
      <c r="BT71" s="11" t="str">
        <f t="shared" si="106"/>
        <v/>
      </c>
      <c r="BU71" s="11" t="str">
        <f t="shared" si="107"/>
        <v/>
      </c>
      <c r="BW71" t="s">
        <v>788</v>
      </c>
      <c r="BX71" t="str">
        <f>IF(OR($C$16="Zapatas",BX24=""),"",IF(N($F$16)&gt;0,$F$16,BREAKER_SEL(BX60,IF($C$8=3,3,IF(AND($C$7&gt;=208,$C$7&lt;=240),2,$C$8)),BX24,$C$7,BX58,BX70,IF(OR($F$14="",$F$14="TM"),"STD",$F$14))))</f>
        <v/>
      </c>
      <c r="CA71" s="11" t="str">
        <f t="shared" si="108"/>
        <v/>
      </c>
      <c r="CB71" s="11" t="str">
        <f t="shared" si="109"/>
        <v/>
      </c>
    </row>
    <row r="72" spans="1:80" ht="14.65" x14ac:dyDescent="0.45">
      <c r="A72" s="37"/>
      <c r="B72" s="14">
        <v>95</v>
      </c>
      <c r="C72" s="37"/>
      <c r="D72" s="37"/>
      <c r="E72" s="37"/>
      <c r="F72" s="37" t="str">
        <f t="shared" si="55"/>
        <v/>
      </c>
      <c r="G72" s="38"/>
      <c r="H72" s="37"/>
      <c r="I72" s="37" t="str">
        <f t="shared" si="56"/>
        <v/>
      </c>
      <c r="J72" s="37" t="str">
        <f t="shared" si="57"/>
        <v/>
      </c>
      <c r="K72" s="37" t="str">
        <f t="shared" si="58"/>
        <v/>
      </c>
      <c r="L72" s="37" t="str">
        <f t="shared" si="59"/>
        <v/>
      </c>
      <c r="M72" s="37" t="str">
        <f t="shared" si="60"/>
        <v/>
      </c>
      <c r="N72" s="37" t="str">
        <f t="shared" si="61"/>
        <v/>
      </c>
      <c r="O72" s="37" t="str">
        <f t="shared" si="62"/>
        <v/>
      </c>
      <c r="P72" s="37" t="str">
        <f t="shared" si="63"/>
        <v/>
      </c>
      <c r="Q72" s="37" t="str">
        <f>IF($X72=0,"",NEC_UNIDAD($W72,$E72,$Y72,$Z72,N($AT72),$C$7,OCUPACION))</f>
        <v/>
      </c>
      <c r="R72" s="37" t="str">
        <f>IF($X72=0,"",BREAKER_SEL($BX$60,$BI72,$AT72,$C$7,$BX$58,$BX$69,$BJ72))</f>
        <v/>
      </c>
      <c r="S72" s="37"/>
      <c r="T72" s="37"/>
      <c r="U72" s="37"/>
      <c r="V72" s="37"/>
      <c r="W72" s="11" t="str">
        <f t="shared" si="64"/>
        <v/>
      </c>
      <c r="X72" s="39">
        <f t="shared" si="65"/>
        <v>0</v>
      </c>
      <c r="Y72" s="11">
        <f t="shared" si="66"/>
        <v>0</v>
      </c>
      <c r="Z72" s="11">
        <f t="shared" si="67"/>
        <v>0</v>
      </c>
      <c r="AA72" s="11">
        <f t="shared" si="68"/>
        <v>0</v>
      </c>
      <c r="AB72" s="11">
        <f t="shared" si="69"/>
        <v>1</v>
      </c>
      <c r="AC72" s="11">
        <f t="shared" si="70"/>
        <v>1</v>
      </c>
      <c r="AD72" s="11">
        <f t="shared" si="71"/>
        <v>1</v>
      </c>
      <c r="AE72" s="11" t="str">
        <f t="shared" si="72"/>
        <v/>
      </c>
      <c r="AF72" s="11">
        <f t="shared" si="73"/>
        <v>1.25</v>
      </c>
      <c r="AG72" s="11">
        <f t="shared" si="74"/>
        <v>2</v>
      </c>
      <c r="AH72" s="11">
        <f t="shared" si="75"/>
        <v>-1</v>
      </c>
      <c r="AI72" s="11">
        <f t="shared" si="76"/>
        <v>-1</v>
      </c>
      <c r="AJ72" s="39">
        <f t="shared" si="77"/>
        <v>0</v>
      </c>
      <c r="AK72" s="39">
        <f t="shared" si="78"/>
        <v>0</v>
      </c>
      <c r="AL72" s="39">
        <f t="shared" si="79"/>
        <v>0</v>
      </c>
      <c r="AM72" s="11">
        <f t="shared" si="80"/>
        <v>0</v>
      </c>
      <c r="AN72" s="11">
        <f t="shared" si="81"/>
        <v>0</v>
      </c>
      <c r="AO72" s="11">
        <f t="shared" si="82"/>
        <v>0</v>
      </c>
      <c r="AP72" s="40">
        <f t="shared" si="83"/>
        <v>0</v>
      </c>
      <c r="AQ72" s="40">
        <f t="shared" si="84"/>
        <v>0</v>
      </c>
      <c r="AR72" s="40">
        <f t="shared" si="85"/>
        <v>0</v>
      </c>
      <c r="AS72" s="40" t="str">
        <f t="shared" si="86"/>
        <v/>
      </c>
      <c r="AT72" s="11" t="str">
        <f t="shared" si="87"/>
        <v/>
      </c>
      <c r="AU72" s="11">
        <f t="shared" si="88"/>
        <v>1</v>
      </c>
      <c r="AV72" s="11">
        <f t="shared" si="89"/>
        <v>1</v>
      </c>
      <c r="AW72" s="11" t="str">
        <f t="shared" si="90"/>
        <v/>
      </c>
      <c r="AX72" s="11" t="str">
        <f t="shared" si="91"/>
        <v/>
      </c>
      <c r="AY72" s="11" t="str">
        <f t="shared" si="92"/>
        <v/>
      </c>
      <c r="AZ72" s="11" t="str">
        <f t="shared" si="93"/>
        <v/>
      </c>
      <c r="BA72" s="11" t="str">
        <f t="shared" si="94"/>
        <v/>
      </c>
      <c r="BB72" s="11" t="str">
        <f t="shared" si="95"/>
        <v/>
      </c>
      <c r="BC72" s="11" t="str">
        <f t="shared" si="96"/>
        <v/>
      </c>
      <c r="BD72" s="11" t="str">
        <f t="shared" si="97"/>
        <v/>
      </c>
      <c r="BE72" s="39" t="str">
        <f t="shared" si="98"/>
        <v/>
      </c>
      <c r="BF72" s="11" t="str">
        <f t="shared" si="99"/>
        <v/>
      </c>
      <c r="BG72" s="11" t="str">
        <f t="shared" si="100"/>
        <v/>
      </c>
      <c r="BH72" s="39" t="str">
        <f t="shared" si="101"/>
        <v/>
      </c>
      <c r="BI72" s="11" t="str">
        <f t="shared" si="102"/>
        <v/>
      </c>
      <c r="BJ72" s="11" t="str">
        <f>IF($X72=0,"",IF($Q72&lt;&gt;"",$Q72,NEC_UNIDAD($W72,$E72,$Y72,$Z72,N($AT72),$C$7,OCUPACION)))</f>
        <v/>
      </c>
      <c r="BK72" s="11" t="str">
        <f>IF($X72=0,"",IF(N($R72)&gt;0,$R72,BREAKER_SEL($BX$60,$BI72,$AT72,$C$7,$BX$58,$BX$69,$BJ72)))</f>
        <v/>
      </c>
      <c r="BL72" s="11" t="str">
        <f>IF($BK72="","",BREAKER_REF($BX$60,$BK72,$BI72,$AT72,FALSE))</f>
        <v/>
      </c>
      <c r="BM72" s="11" t="str">
        <f>IF($BK72="","",BREAKER_DATO($BX$60,$BK72,"sccr"))</f>
        <v/>
      </c>
      <c r="BN72" s="11" t="str">
        <f>IF(OR($BK72="",N($BM72)&gt;=$BX$58,$BX$71="",N($BX$74)&lt;$BX$58),"",SERIE_KA($BX$60,BREAKER_DATO($BX$60,$BK72,"modelo"),$BX$72,N($BX$24),$C$7,$BX$58))</f>
        <v/>
      </c>
      <c r="BO72" s="11" t="str">
        <f>IF($BK72="","",BREAKER_DATO($BX$60,$BK72,"unidad"))</f>
        <v/>
      </c>
      <c r="BP72" s="11" t="str">
        <f>IF($BK72="","",BREAKER_DATO($BX$60,$BK72,"marco"))</f>
        <v/>
      </c>
      <c r="BQ72" s="11" t="str">
        <f t="shared" si="103"/>
        <v/>
      </c>
      <c r="BR72" s="11" t="str">
        <f t="shared" si="104"/>
        <v/>
      </c>
      <c r="BS72" s="11" t="str">
        <f t="shared" si="105"/>
        <v/>
      </c>
      <c r="BT72" s="11" t="str">
        <f t="shared" si="106"/>
        <v/>
      </c>
      <c r="BU72" s="11" t="str">
        <f t="shared" si="107"/>
        <v/>
      </c>
      <c r="BW72" t="s">
        <v>789</v>
      </c>
      <c r="BX72" t="str">
        <f>IF(BX71="",IF($C$16="Zapatas","ZAPATAS",""),BREAKER_REF(BX60,BX71,IF($C$8=3,3,IF(AND($C$7&gt;=208,$C$7&lt;=240),2,$C$8)),BX24,$F$15="SI"))</f>
        <v/>
      </c>
      <c r="CA72" s="11" t="str">
        <f t="shared" si="108"/>
        <v/>
      </c>
      <c r="CB72" s="11" t="str">
        <f t="shared" si="109"/>
        <v/>
      </c>
    </row>
    <row r="73" spans="1:80" ht="14.65" x14ac:dyDescent="0.45">
      <c r="A73" s="37"/>
      <c r="B73" s="14">
        <v>97</v>
      </c>
      <c r="C73" s="37"/>
      <c r="D73" s="37"/>
      <c r="E73" s="37"/>
      <c r="F73" s="37" t="str">
        <f t="shared" si="55"/>
        <v/>
      </c>
      <c r="G73" s="38"/>
      <c r="H73" s="37"/>
      <c r="I73" s="37" t="str">
        <f t="shared" si="56"/>
        <v/>
      </c>
      <c r="J73" s="37" t="str">
        <f t="shared" si="57"/>
        <v/>
      </c>
      <c r="K73" s="37" t="str">
        <f t="shared" si="58"/>
        <v/>
      </c>
      <c r="L73" s="37" t="str">
        <f t="shared" si="59"/>
        <v/>
      </c>
      <c r="M73" s="37" t="str">
        <f t="shared" si="60"/>
        <v/>
      </c>
      <c r="N73" s="37" t="str">
        <f t="shared" si="61"/>
        <v/>
      </c>
      <c r="O73" s="37" t="str">
        <f t="shared" si="62"/>
        <v/>
      </c>
      <c r="P73" s="37" t="str">
        <f t="shared" si="63"/>
        <v/>
      </c>
      <c r="Q73" s="37" t="str">
        <f>IF($X73=0,"",NEC_UNIDAD($W73,$E73,$Y73,$Z73,N($AT73),$C$7,OCUPACION))</f>
        <v/>
      </c>
      <c r="R73" s="37" t="str">
        <f>IF($X73=0,"",BREAKER_SEL($BX$60,$BI73,$AT73,$C$7,$BX$58,$BX$69,$BJ73))</f>
        <v/>
      </c>
      <c r="S73" s="37"/>
      <c r="T73" s="37"/>
      <c r="U73" s="37"/>
      <c r="V73" s="37"/>
      <c r="W73" s="11" t="str">
        <f t="shared" si="64"/>
        <v/>
      </c>
      <c r="X73" s="39">
        <f t="shared" si="65"/>
        <v>0</v>
      </c>
      <c r="Y73" s="11">
        <f t="shared" si="66"/>
        <v>0</v>
      </c>
      <c r="Z73" s="11">
        <f t="shared" si="67"/>
        <v>0</v>
      </c>
      <c r="AA73" s="11">
        <f t="shared" si="68"/>
        <v>0</v>
      </c>
      <c r="AB73" s="11">
        <f t="shared" si="69"/>
        <v>1</v>
      </c>
      <c r="AC73" s="11">
        <f t="shared" si="70"/>
        <v>1</v>
      </c>
      <c r="AD73" s="11">
        <f t="shared" si="71"/>
        <v>1</v>
      </c>
      <c r="AE73" s="11" t="str">
        <f t="shared" si="72"/>
        <v/>
      </c>
      <c r="AF73" s="11">
        <f t="shared" si="73"/>
        <v>1.25</v>
      </c>
      <c r="AG73" s="11">
        <f t="shared" si="74"/>
        <v>0</v>
      </c>
      <c r="AH73" s="11">
        <f t="shared" si="75"/>
        <v>-1</v>
      </c>
      <c r="AI73" s="11">
        <f t="shared" si="76"/>
        <v>-1</v>
      </c>
      <c r="AJ73" s="39">
        <f t="shared" si="77"/>
        <v>0</v>
      </c>
      <c r="AK73" s="39">
        <f t="shared" si="78"/>
        <v>0</v>
      </c>
      <c r="AL73" s="39">
        <f t="shared" si="79"/>
        <v>0</v>
      </c>
      <c r="AM73" s="11">
        <f t="shared" si="80"/>
        <v>0</v>
      </c>
      <c r="AN73" s="11">
        <f t="shared" si="81"/>
        <v>0</v>
      </c>
      <c r="AO73" s="11">
        <f t="shared" si="82"/>
        <v>0</v>
      </c>
      <c r="AP73" s="40">
        <f t="shared" si="83"/>
        <v>0</v>
      </c>
      <c r="AQ73" s="40">
        <f t="shared" si="84"/>
        <v>0</v>
      </c>
      <c r="AR73" s="40">
        <f t="shared" si="85"/>
        <v>0</v>
      </c>
      <c r="AS73" s="40" t="str">
        <f t="shared" si="86"/>
        <v/>
      </c>
      <c r="AT73" s="11" t="str">
        <f t="shared" si="87"/>
        <v/>
      </c>
      <c r="AU73" s="11">
        <f t="shared" si="88"/>
        <v>1</v>
      </c>
      <c r="AV73" s="11">
        <f t="shared" si="89"/>
        <v>1</v>
      </c>
      <c r="AW73" s="11" t="str">
        <f t="shared" si="90"/>
        <v/>
      </c>
      <c r="AX73" s="11" t="str">
        <f t="shared" si="91"/>
        <v/>
      </c>
      <c r="AY73" s="11" t="str">
        <f t="shared" si="92"/>
        <v/>
      </c>
      <c r="AZ73" s="11" t="str">
        <f t="shared" si="93"/>
        <v/>
      </c>
      <c r="BA73" s="11" t="str">
        <f t="shared" si="94"/>
        <v/>
      </c>
      <c r="BB73" s="11" t="str">
        <f t="shared" si="95"/>
        <v/>
      </c>
      <c r="BC73" s="11" t="str">
        <f t="shared" si="96"/>
        <v/>
      </c>
      <c r="BD73" s="11" t="str">
        <f t="shared" si="97"/>
        <v/>
      </c>
      <c r="BE73" s="39" t="str">
        <f t="shared" si="98"/>
        <v/>
      </c>
      <c r="BF73" s="11" t="str">
        <f t="shared" si="99"/>
        <v/>
      </c>
      <c r="BG73" s="11" t="str">
        <f t="shared" si="100"/>
        <v/>
      </c>
      <c r="BH73" s="39" t="str">
        <f t="shared" si="101"/>
        <v/>
      </c>
      <c r="BI73" s="11" t="str">
        <f t="shared" si="102"/>
        <v/>
      </c>
      <c r="BJ73" s="11" t="str">
        <f>IF($X73=0,"",IF($Q73&lt;&gt;"",$Q73,NEC_UNIDAD($W73,$E73,$Y73,$Z73,N($AT73),$C$7,OCUPACION)))</f>
        <v/>
      </c>
      <c r="BK73" s="11" t="str">
        <f>IF($X73=0,"",IF(N($R73)&gt;0,$R73,BREAKER_SEL($BX$60,$BI73,$AT73,$C$7,$BX$58,$BX$69,$BJ73)))</f>
        <v/>
      </c>
      <c r="BL73" s="11" t="str">
        <f>IF($BK73="","",BREAKER_REF($BX$60,$BK73,$BI73,$AT73,FALSE))</f>
        <v/>
      </c>
      <c r="BM73" s="11" t="str">
        <f>IF($BK73="","",BREAKER_DATO($BX$60,$BK73,"sccr"))</f>
        <v/>
      </c>
      <c r="BN73" s="11" t="str">
        <f>IF(OR($BK73="",N($BM73)&gt;=$BX$58,$BX$71="",N($BX$74)&lt;$BX$58),"",SERIE_KA($BX$60,BREAKER_DATO($BX$60,$BK73,"modelo"),$BX$72,N($BX$24),$C$7,$BX$58))</f>
        <v/>
      </c>
      <c r="BO73" s="11" t="str">
        <f>IF($BK73="","",BREAKER_DATO($BX$60,$BK73,"unidad"))</f>
        <v/>
      </c>
      <c r="BP73" s="11" t="str">
        <f>IF($BK73="","",BREAKER_DATO($BX$60,$BK73,"marco"))</f>
        <v/>
      </c>
      <c r="BQ73" s="11" t="str">
        <f t="shared" si="103"/>
        <v/>
      </c>
      <c r="BR73" s="11" t="str">
        <f t="shared" si="104"/>
        <v/>
      </c>
      <c r="BS73" s="11" t="str">
        <f t="shared" si="105"/>
        <v/>
      </c>
      <c r="BT73" s="11" t="str">
        <f t="shared" si="106"/>
        <v/>
      </c>
      <c r="BU73" s="11" t="str">
        <f t="shared" si="107"/>
        <v/>
      </c>
      <c r="BW73" t="s">
        <v>790</v>
      </c>
      <c r="BX73" t="str">
        <f>IF(BX71="","",BREAKER_DATO(BX60,BX71,"unidad"))</f>
        <v/>
      </c>
      <c r="CA73" s="11" t="str">
        <f t="shared" si="108"/>
        <v/>
      </c>
      <c r="CB73" s="11" t="str">
        <f t="shared" si="109"/>
        <v/>
      </c>
    </row>
    <row r="74" spans="1:80" ht="14.65" x14ac:dyDescent="0.45">
      <c r="A74" s="37"/>
      <c r="B74" s="14">
        <v>99</v>
      </c>
      <c r="C74" s="37"/>
      <c r="D74" s="37"/>
      <c r="E74" s="37"/>
      <c r="F74" s="37" t="str">
        <f t="shared" si="55"/>
        <v/>
      </c>
      <c r="G74" s="38"/>
      <c r="H74" s="37"/>
      <c r="I74" s="37" t="str">
        <f t="shared" si="56"/>
        <v/>
      </c>
      <c r="J74" s="37" t="str">
        <f t="shared" si="57"/>
        <v/>
      </c>
      <c r="K74" s="37" t="str">
        <f t="shared" si="58"/>
        <v/>
      </c>
      <c r="L74" s="37" t="str">
        <f t="shared" si="59"/>
        <v/>
      </c>
      <c r="M74" s="37" t="str">
        <f t="shared" si="60"/>
        <v/>
      </c>
      <c r="N74" s="37" t="str">
        <f t="shared" si="61"/>
        <v/>
      </c>
      <c r="O74" s="37" t="str">
        <f t="shared" si="62"/>
        <v/>
      </c>
      <c r="P74" s="37" t="str">
        <f t="shared" si="63"/>
        <v/>
      </c>
      <c r="Q74" s="37" t="str">
        <f>IF($X74=0,"",NEC_UNIDAD($W74,$E74,$Y74,$Z74,N($AT74),$C$7,OCUPACION))</f>
        <v/>
      </c>
      <c r="R74" s="37" t="str">
        <f>IF($X74=0,"",BREAKER_SEL($BX$60,$BI74,$AT74,$C$7,$BX$58,$BX$69,$BJ74))</f>
        <v/>
      </c>
      <c r="S74" s="37"/>
      <c r="T74" s="37"/>
      <c r="U74" s="37"/>
      <c r="V74" s="37"/>
      <c r="W74" s="11" t="str">
        <f t="shared" si="64"/>
        <v/>
      </c>
      <c r="X74" s="39">
        <f t="shared" si="65"/>
        <v>0</v>
      </c>
      <c r="Y74" s="11">
        <f t="shared" si="66"/>
        <v>0</v>
      </c>
      <c r="Z74" s="11">
        <f t="shared" si="67"/>
        <v>0</v>
      </c>
      <c r="AA74" s="11">
        <f t="shared" si="68"/>
        <v>0</v>
      </c>
      <c r="AB74" s="11">
        <f t="shared" si="69"/>
        <v>1</v>
      </c>
      <c r="AC74" s="11">
        <f t="shared" si="70"/>
        <v>1</v>
      </c>
      <c r="AD74" s="11">
        <f t="shared" si="71"/>
        <v>1</v>
      </c>
      <c r="AE74" s="11" t="str">
        <f t="shared" si="72"/>
        <v/>
      </c>
      <c r="AF74" s="11">
        <f t="shared" si="73"/>
        <v>1.25</v>
      </c>
      <c r="AG74" s="11">
        <f t="shared" si="74"/>
        <v>1</v>
      </c>
      <c r="AH74" s="11">
        <f t="shared" si="75"/>
        <v>-1</v>
      </c>
      <c r="AI74" s="11">
        <f t="shared" si="76"/>
        <v>-1</v>
      </c>
      <c r="AJ74" s="39">
        <f t="shared" si="77"/>
        <v>0</v>
      </c>
      <c r="AK74" s="39">
        <f t="shared" si="78"/>
        <v>0</v>
      </c>
      <c r="AL74" s="39">
        <f t="shared" si="79"/>
        <v>0</v>
      </c>
      <c r="AM74" s="11">
        <f t="shared" si="80"/>
        <v>0</v>
      </c>
      <c r="AN74" s="11">
        <f t="shared" si="81"/>
        <v>0</v>
      </c>
      <c r="AO74" s="11">
        <f t="shared" si="82"/>
        <v>0</v>
      </c>
      <c r="AP74" s="40">
        <f t="shared" si="83"/>
        <v>0</v>
      </c>
      <c r="AQ74" s="40">
        <f t="shared" si="84"/>
        <v>0</v>
      </c>
      <c r="AR74" s="40">
        <f t="shared" si="85"/>
        <v>0</v>
      </c>
      <c r="AS74" s="40" t="str">
        <f t="shared" si="86"/>
        <v/>
      </c>
      <c r="AT74" s="11" t="str">
        <f t="shared" si="87"/>
        <v/>
      </c>
      <c r="AU74" s="11">
        <f t="shared" si="88"/>
        <v>1</v>
      </c>
      <c r="AV74" s="11">
        <f t="shared" si="89"/>
        <v>1</v>
      </c>
      <c r="AW74" s="11" t="str">
        <f t="shared" si="90"/>
        <v/>
      </c>
      <c r="AX74" s="11" t="str">
        <f t="shared" si="91"/>
        <v/>
      </c>
      <c r="AY74" s="11" t="str">
        <f t="shared" si="92"/>
        <v/>
      </c>
      <c r="AZ74" s="11" t="str">
        <f t="shared" si="93"/>
        <v/>
      </c>
      <c r="BA74" s="11" t="str">
        <f t="shared" si="94"/>
        <v/>
      </c>
      <c r="BB74" s="11" t="str">
        <f t="shared" si="95"/>
        <v/>
      </c>
      <c r="BC74" s="11" t="str">
        <f t="shared" si="96"/>
        <v/>
      </c>
      <c r="BD74" s="11" t="str">
        <f t="shared" si="97"/>
        <v/>
      </c>
      <c r="BE74" s="39" t="str">
        <f t="shared" si="98"/>
        <v/>
      </c>
      <c r="BF74" s="11" t="str">
        <f t="shared" si="99"/>
        <v/>
      </c>
      <c r="BG74" s="11" t="str">
        <f t="shared" si="100"/>
        <v/>
      </c>
      <c r="BH74" s="39" t="str">
        <f t="shared" si="101"/>
        <v/>
      </c>
      <c r="BI74" s="11" t="str">
        <f t="shared" si="102"/>
        <v/>
      </c>
      <c r="BJ74" s="11" t="str">
        <f>IF($X74=0,"",IF($Q74&lt;&gt;"",$Q74,NEC_UNIDAD($W74,$E74,$Y74,$Z74,N($AT74),$C$7,OCUPACION)))</f>
        <v/>
      </c>
      <c r="BK74" s="11" t="str">
        <f>IF($X74=0,"",IF(N($R74)&gt;0,$R74,BREAKER_SEL($BX$60,$BI74,$AT74,$C$7,$BX$58,$BX$69,$BJ74)))</f>
        <v/>
      </c>
      <c r="BL74" s="11" t="str">
        <f>IF($BK74="","",BREAKER_REF($BX$60,$BK74,$BI74,$AT74,FALSE))</f>
        <v/>
      </c>
      <c r="BM74" s="11" t="str">
        <f>IF($BK74="","",BREAKER_DATO($BX$60,$BK74,"sccr"))</f>
        <v/>
      </c>
      <c r="BN74" s="11" t="str">
        <f>IF(OR($BK74="",N($BM74)&gt;=$BX$58,$BX$71="",N($BX$74)&lt;$BX$58),"",SERIE_KA($BX$60,BREAKER_DATO($BX$60,$BK74,"modelo"),$BX$72,N($BX$24),$C$7,$BX$58))</f>
        <v/>
      </c>
      <c r="BO74" s="11" t="str">
        <f>IF($BK74="","",BREAKER_DATO($BX$60,$BK74,"unidad"))</f>
        <v/>
      </c>
      <c r="BP74" s="11" t="str">
        <f>IF($BK74="","",BREAKER_DATO($BX$60,$BK74,"marco"))</f>
        <v/>
      </c>
      <c r="BQ74" s="11" t="str">
        <f t="shared" si="103"/>
        <v/>
      </c>
      <c r="BR74" s="11" t="str">
        <f t="shared" si="104"/>
        <v/>
      </c>
      <c r="BS74" s="11" t="str">
        <f t="shared" si="105"/>
        <v/>
      </c>
      <c r="BT74" s="11" t="str">
        <f t="shared" si="106"/>
        <v/>
      </c>
      <c r="BU74" s="11" t="str">
        <f t="shared" si="107"/>
        <v/>
      </c>
      <c r="BW74" t="s">
        <v>791</v>
      </c>
      <c r="BX74" t="str">
        <f>IF(BX71="","",BREAKER_DATO(BX60,BX71,"sccr"))</f>
        <v/>
      </c>
      <c r="CA74" s="11" t="str">
        <f t="shared" si="108"/>
        <v/>
      </c>
      <c r="CB74" s="11" t="str">
        <f t="shared" si="109"/>
        <v/>
      </c>
    </row>
    <row r="75" spans="1:80" ht="14.65" x14ac:dyDescent="0.45">
      <c r="A75" s="37"/>
      <c r="B75" s="14">
        <v>2</v>
      </c>
      <c r="C75" s="37"/>
      <c r="D75" s="37"/>
      <c r="E75" s="37"/>
      <c r="F75" s="37" t="str">
        <f t="shared" si="55"/>
        <v/>
      </c>
      <c r="G75" s="38"/>
      <c r="H75" s="37"/>
      <c r="I75" s="37" t="str">
        <f t="shared" si="56"/>
        <v/>
      </c>
      <c r="J75" s="37" t="str">
        <f t="shared" si="57"/>
        <v/>
      </c>
      <c r="K75" s="37" t="str">
        <f t="shared" si="58"/>
        <v/>
      </c>
      <c r="L75" s="37" t="str">
        <f t="shared" si="59"/>
        <v/>
      </c>
      <c r="M75" s="37" t="str">
        <f t="shared" si="60"/>
        <v/>
      </c>
      <c r="N75" s="37" t="str">
        <f t="shared" si="61"/>
        <v/>
      </c>
      <c r="O75" s="37" t="str">
        <f t="shared" si="62"/>
        <v/>
      </c>
      <c r="P75" s="37" t="str">
        <f t="shared" si="63"/>
        <v/>
      </c>
      <c r="Q75" s="37" t="str">
        <f>IF($X75=0,"",NEC_UNIDAD($W75,$E75,$Y75,$Z75,N($AT75),$C$7,OCUPACION))</f>
        <v/>
      </c>
      <c r="R75" s="37" t="str">
        <f>IF($X75=0,"",BREAKER_SEL($BX$60,$BI75,$AT75,$C$7,$BX$58,$BX$69,$BJ75))</f>
        <v/>
      </c>
      <c r="S75" s="37"/>
      <c r="T75" s="37"/>
      <c r="U75" s="37"/>
      <c r="V75" s="37"/>
      <c r="W75" s="11" t="str">
        <f t="shared" si="64"/>
        <v/>
      </c>
      <c r="X75" s="39">
        <f t="shared" si="65"/>
        <v>0</v>
      </c>
      <c r="Y75" s="11">
        <f t="shared" si="66"/>
        <v>0</v>
      </c>
      <c r="Z75" s="11">
        <f t="shared" si="67"/>
        <v>0</v>
      </c>
      <c r="AA75" s="11">
        <f t="shared" si="68"/>
        <v>0</v>
      </c>
      <c r="AB75" s="11">
        <f t="shared" si="69"/>
        <v>1</v>
      </c>
      <c r="AC75" s="11">
        <f t="shared" si="70"/>
        <v>1</v>
      </c>
      <c r="AD75" s="11">
        <f t="shared" si="71"/>
        <v>1</v>
      </c>
      <c r="AE75" s="11" t="str">
        <f t="shared" si="72"/>
        <v/>
      </c>
      <c r="AF75" s="11">
        <f t="shared" si="73"/>
        <v>1.25</v>
      </c>
      <c r="AG75" s="11">
        <f t="shared" si="74"/>
        <v>0</v>
      </c>
      <c r="AH75" s="11">
        <f t="shared" si="75"/>
        <v>-1</v>
      </c>
      <c r="AI75" s="11">
        <f t="shared" si="76"/>
        <v>-1</v>
      </c>
      <c r="AJ75" s="39">
        <f t="shared" si="77"/>
        <v>0</v>
      </c>
      <c r="AK75" s="39">
        <f t="shared" si="78"/>
        <v>0</v>
      </c>
      <c r="AL75" s="39">
        <f t="shared" si="79"/>
        <v>0</v>
      </c>
      <c r="AM75" s="11">
        <f t="shared" si="80"/>
        <v>0</v>
      </c>
      <c r="AN75" s="11">
        <f t="shared" si="81"/>
        <v>0</v>
      </c>
      <c r="AO75" s="11">
        <f t="shared" si="82"/>
        <v>0</v>
      </c>
      <c r="AP75" s="40">
        <f t="shared" si="83"/>
        <v>0</v>
      </c>
      <c r="AQ75" s="40">
        <f t="shared" si="84"/>
        <v>0</v>
      </c>
      <c r="AR75" s="40">
        <f t="shared" si="85"/>
        <v>0</v>
      </c>
      <c r="AS75" s="40" t="str">
        <f t="shared" si="86"/>
        <v/>
      </c>
      <c r="AT75" s="11" t="str">
        <f t="shared" si="87"/>
        <v/>
      </c>
      <c r="AU75" s="11">
        <f t="shared" si="88"/>
        <v>1</v>
      </c>
      <c r="AV75" s="11">
        <f t="shared" si="89"/>
        <v>1</v>
      </c>
      <c r="AW75" s="11" t="str">
        <f t="shared" si="90"/>
        <v/>
      </c>
      <c r="AX75" s="11" t="str">
        <f t="shared" si="91"/>
        <v/>
      </c>
      <c r="AY75" s="11" t="str">
        <f t="shared" si="92"/>
        <v/>
      </c>
      <c r="AZ75" s="11" t="str">
        <f t="shared" si="93"/>
        <v/>
      </c>
      <c r="BA75" s="11" t="str">
        <f t="shared" si="94"/>
        <v/>
      </c>
      <c r="BB75" s="11" t="str">
        <f t="shared" si="95"/>
        <v/>
      </c>
      <c r="BC75" s="11" t="str">
        <f t="shared" si="96"/>
        <v/>
      </c>
      <c r="BD75" s="11" t="str">
        <f t="shared" si="97"/>
        <v/>
      </c>
      <c r="BE75" s="39" t="str">
        <f t="shared" si="98"/>
        <v/>
      </c>
      <c r="BF75" s="11" t="str">
        <f t="shared" si="99"/>
        <v/>
      </c>
      <c r="BG75" s="11" t="str">
        <f t="shared" si="100"/>
        <v/>
      </c>
      <c r="BH75" s="39" t="str">
        <f t="shared" si="101"/>
        <v/>
      </c>
      <c r="BI75" s="11" t="str">
        <f t="shared" si="102"/>
        <v/>
      </c>
      <c r="BJ75" s="11" t="str">
        <f>IF($X75=0,"",IF($Q75&lt;&gt;"",$Q75,NEC_UNIDAD($W75,$E75,$Y75,$Z75,N($AT75),$C$7,OCUPACION)))</f>
        <v/>
      </c>
      <c r="BK75" s="11" t="str">
        <f>IF($X75=0,"",IF(N($R75)&gt;0,$R75,BREAKER_SEL($BX$60,$BI75,$AT75,$C$7,$BX$58,$BX$69,$BJ75)))</f>
        <v/>
      </c>
      <c r="BL75" s="11" t="str">
        <f>IF($BK75="","",BREAKER_REF($BX$60,$BK75,$BI75,$AT75,FALSE))</f>
        <v/>
      </c>
      <c r="BM75" s="11" t="str">
        <f>IF($BK75="","",BREAKER_DATO($BX$60,$BK75,"sccr"))</f>
        <v/>
      </c>
      <c r="BN75" s="11" t="str">
        <f>IF(OR($BK75="",N($BM75)&gt;=$BX$58,$BX$71="",N($BX$74)&lt;$BX$58),"",SERIE_KA($BX$60,BREAKER_DATO($BX$60,$BK75,"modelo"),$BX$72,N($BX$24),$C$7,$BX$58))</f>
        <v/>
      </c>
      <c r="BO75" s="11" t="str">
        <f>IF($BK75="","",BREAKER_DATO($BX$60,$BK75,"unidad"))</f>
        <v/>
      </c>
      <c r="BP75" s="11" t="str">
        <f>IF($BK75="","",BREAKER_DATO($BX$60,$BK75,"marco"))</f>
        <v/>
      </c>
      <c r="BQ75" s="11" t="str">
        <f t="shared" si="103"/>
        <v/>
      </c>
      <c r="BR75" s="11" t="str">
        <f t="shared" si="104"/>
        <v/>
      </c>
      <c r="BS75" s="11" t="str">
        <f t="shared" si="105"/>
        <v/>
      </c>
      <c r="BT75" s="11" t="str">
        <f t="shared" si="106"/>
        <v/>
      </c>
      <c r="BU75" s="11" t="str">
        <f t="shared" si="107"/>
        <v/>
      </c>
      <c r="BW75" t="s">
        <v>792</v>
      </c>
      <c r="BX75" t="str">
        <f>IF(BX71="","",BREAKER_DATO(BX60,BX71,"marco"))</f>
        <v/>
      </c>
      <c r="CA75" s="11" t="str">
        <f t="shared" si="108"/>
        <v/>
      </c>
      <c r="CB75" s="11" t="str">
        <f t="shared" si="109"/>
        <v/>
      </c>
    </row>
    <row r="76" spans="1:80" ht="14.65" x14ac:dyDescent="0.45">
      <c r="A76" s="37"/>
      <c r="B76" s="14">
        <v>4</v>
      </c>
      <c r="C76" s="37"/>
      <c r="D76" s="37"/>
      <c r="E76" s="37"/>
      <c r="F76" s="37" t="str">
        <f t="shared" si="55"/>
        <v/>
      </c>
      <c r="G76" s="38"/>
      <c r="H76" s="37"/>
      <c r="I76" s="37" t="str">
        <f t="shared" si="56"/>
        <v/>
      </c>
      <c r="J76" s="37" t="str">
        <f t="shared" si="57"/>
        <v/>
      </c>
      <c r="K76" s="37" t="str">
        <f t="shared" si="58"/>
        <v/>
      </c>
      <c r="L76" s="37" t="str">
        <f t="shared" si="59"/>
        <v/>
      </c>
      <c r="M76" s="37" t="str">
        <f t="shared" si="60"/>
        <v/>
      </c>
      <c r="N76" s="37" t="str">
        <f t="shared" si="61"/>
        <v/>
      </c>
      <c r="O76" s="37" t="str">
        <f t="shared" si="62"/>
        <v/>
      </c>
      <c r="P76" s="37" t="str">
        <f t="shared" si="63"/>
        <v/>
      </c>
      <c r="Q76" s="37" t="str">
        <f>IF($X76=0,"",NEC_UNIDAD($W76,$E76,$Y76,$Z76,N($AT76),$C$7,OCUPACION))</f>
        <v/>
      </c>
      <c r="R76" s="37" t="str">
        <f>IF($X76=0,"",BREAKER_SEL($BX$60,$BI76,$AT76,$C$7,$BX$58,$BX$69,$BJ76))</f>
        <v/>
      </c>
      <c r="S76" s="37"/>
      <c r="T76" s="37"/>
      <c r="U76" s="37"/>
      <c r="V76" s="37"/>
      <c r="W76" s="11" t="str">
        <f t="shared" si="64"/>
        <v/>
      </c>
      <c r="X76" s="39">
        <f t="shared" si="65"/>
        <v>0</v>
      </c>
      <c r="Y76" s="11">
        <f t="shared" si="66"/>
        <v>0</v>
      </c>
      <c r="Z76" s="11">
        <f t="shared" si="67"/>
        <v>0</v>
      </c>
      <c r="AA76" s="11">
        <f t="shared" si="68"/>
        <v>0</v>
      </c>
      <c r="AB76" s="11">
        <f t="shared" si="69"/>
        <v>1</v>
      </c>
      <c r="AC76" s="11">
        <f t="shared" si="70"/>
        <v>1</v>
      </c>
      <c r="AD76" s="11">
        <f t="shared" si="71"/>
        <v>1</v>
      </c>
      <c r="AE76" s="11" t="str">
        <f t="shared" si="72"/>
        <v/>
      </c>
      <c r="AF76" s="11">
        <f t="shared" si="73"/>
        <v>1.25</v>
      </c>
      <c r="AG76" s="11">
        <f t="shared" si="74"/>
        <v>1</v>
      </c>
      <c r="AH76" s="11">
        <f t="shared" si="75"/>
        <v>-1</v>
      </c>
      <c r="AI76" s="11">
        <f t="shared" si="76"/>
        <v>-1</v>
      </c>
      <c r="AJ76" s="39">
        <f t="shared" si="77"/>
        <v>0</v>
      </c>
      <c r="AK76" s="39">
        <f t="shared" si="78"/>
        <v>0</v>
      </c>
      <c r="AL76" s="39">
        <f t="shared" si="79"/>
        <v>0</v>
      </c>
      <c r="AM76" s="11">
        <f t="shared" si="80"/>
        <v>0</v>
      </c>
      <c r="AN76" s="11">
        <f t="shared" si="81"/>
        <v>0</v>
      </c>
      <c r="AO76" s="11">
        <f t="shared" si="82"/>
        <v>0</v>
      </c>
      <c r="AP76" s="40">
        <f t="shared" si="83"/>
        <v>0</v>
      </c>
      <c r="AQ76" s="40">
        <f t="shared" si="84"/>
        <v>0</v>
      </c>
      <c r="AR76" s="40">
        <f t="shared" si="85"/>
        <v>0</v>
      </c>
      <c r="AS76" s="40" t="str">
        <f t="shared" si="86"/>
        <v/>
      </c>
      <c r="AT76" s="11" t="str">
        <f t="shared" si="87"/>
        <v/>
      </c>
      <c r="AU76" s="11">
        <f t="shared" si="88"/>
        <v>1</v>
      </c>
      <c r="AV76" s="11">
        <f t="shared" si="89"/>
        <v>1</v>
      </c>
      <c r="AW76" s="11" t="str">
        <f t="shared" si="90"/>
        <v/>
      </c>
      <c r="AX76" s="11" t="str">
        <f t="shared" si="91"/>
        <v/>
      </c>
      <c r="AY76" s="11" t="str">
        <f t="shared" si="92"/>
        <v/>
      </c>
      <c r="AZ76" s="11" t="str">
        <f t="shared" si="93"/>
        <v/>
      </c>
      <c r="BA76" s="11" t="str">
        <f t="shared" si="94"/>
        <v/>
      </c>
      <c r="BB76" s="11" t="str">
        <f t="shared" si="95"/>
        <v/>
      </c>
      <c r="BC76" s="11" t="str">
        <f t="shared" si="96"/>
        <v/>
      </c>
      <c r="BD76" s="11" t="str">
        <f t="shared" si="97"/>
        <v/>
      </c>
      <c r="BE76" s="39" t="str">
        <f t="shared" si="98"/>
        <v/>
      </c>
      <c r="BF76" s="11" t="str">
        <f t="shared" si="99"/>
        <v/>
      </c>
      <c r="BG76" s="11" t="str">
        <f t="shared" si="100"/>
        <v/>
      </c>
      <c r="BH76" s="39" t="str">
        <f t="shared" si="101"/>
        <v/>
      </c>
      <c r="BI76" s="11" t="str">
        <f t="shared" si="102"/>
        <v/>
      </c>
      <c r="BJ76" s="11" t="str">
        <f>IF($X76=0,"",IF($Q76&lt;&gt;"",$Q76,NEC_UNIDAD($W76,$E76,$Y76,$Z76,N($AT76),$C$7,OCUPACION)))</f>
        <v/>
      </c>
      <c r="BK76" s="11" t="str">
        <f>IF($X76=0,"",IF(N($R76)&gt;0,$R76,BREAKER_SEL($BX$60,$BI76,$AT76,$C$7,$BX$58,$BX$69,$BJ76)))</f>
        <v/>
      </c>
      <c r="BL76" s="11" t="str">
        <f>IF($BK76="","",BREAKER_REF($BX$60,$BK76,$BI76,$AT76,FALSE))</f>
        <v/>
      </c>
      <c r="BM76" s="11" t="str">
        <f>IF($BK76="","",BREAKER_DATO($BX$60,$BK76,"sccr"))</f>
        <v/>
      </c>
      <c r="BN76" s="11" t="str">
        <f>IF(OR($BK76="",N($BM76)&gt;=$BX$58,$BX$71="",N($BX$74)&lt;$BX$58),"",SERIE_KA($BX$60,BREAKER_DATO($BX$60,$BK76,"modelo"),$BX$72,N($BX$24),$C$7,$BX$58))</f>
        <v/>
      </c>
      <c r="BO76" s="11" t="str">
        <f>IF($BK76="","",BREAKER_DATO($BX$60,$BK76,"unidad"))</f>
        <v/>
      </c>
      <c r="BP76" s="11" t="str">
        <f>IF($BK76="","",BREAKER_DATO($BX$60,$BK76,"marco"))</f>
        <v/>
      </c>
      <c r="BQ76" s="11" t="str">
        <f t="shared" si="103"/>
        <v/>
      </c>
      <c r="BR76" s="11" t="str">
        <f t="shared" si="104"/>
        <v/>
      </c>
      <c r="BS76" s="11" t="str">
        <f t="shared" si="105"/>
        <v/>
      </c>
      <c r="BT76" s="11" t="str">
        <f t="shared" si="106"/>
        <v/>
      </c>
      <c r="BU76" s="11" t="str">
        <f t="shared" si="107"/>
        <v/>
      </c>
      <c r="BW76" t="s">
        <v>793</v>
      </c>
      <c r="BX76" t="str">
        <f>IF(BX71="","",BREAKER_DATO(BX60,BX71,"polos"))</f>
        <v/>
      </c>
      <c r="CA76" s="11" t="str">
        <f t="shared" si="108"/>
        <v/>
      </c>
      <c r="CB76" s="11" t="str">
        <f t="shared" si="109"/>
        <v/>
      </c>
    </row>
    <row r="77" spans="1:80" ht="14.65" x14ac:dyDescent="0.45">
      <c r="A77" s="37"/>
      <c r="B77" s="14">
        <v>6</v>
      </c>
      <c r="C77" s="37"/>
      <c r="D77" s="37"/>
      <c r="E77" s="37"/>
      <c r="F77" s="37" t="str">
        <f t="shared" si="55"/>
        <v/>
      </c>
      <c r="G77" s="38"/>
      <c r="H77" s="37"/>
      <c r="I77" s="37" t="str">
        <f t="shared" si="56"/>
        <v/>
      </c>
      <c r="J77" s="37" t="str">
        <f t="shared" si="57"/>
        <v/>
      </c>
      <c r="K77" s="37" t="str">
        <f t="shared" si="58"/>
        <v/>
      </c>
      <c r="L77" s="37" t="str">
        <f t="shared" si="59"/>
        <v/>
      </c>
      <c r="M77" s="37" t="str">
        <f t="shared" si="60"/>
        <v/>
      </c>
      <c r="N77" s="37" t="str">
        <f t="shared" si="61"/>
        <v/>
      </c>
      <c r="O77" s="37" t="str">
        <f t="shared" si="62"/>
        <v/>
      </c>
      <c r="P77" s="37" t="str">
        <f t="shared" si="63"/>
        <v/>
      </c>
      <c r="Q77" s="37" t="str">
        <f>IF($X77=0,"",NEC_UNIDAD($W77,$E77,$Y77,$Z77,N($AT77),$C$7,OCUPACION))</f>
        <v/>
      </c>
      <c r="R77" s="37" t="str">
        <f>IF($X77=0,"",BREAKER_SEL($BX$60,$BI77,$AT77,$C$7,$BX$58,$BX$69,$BJ77))</f>
        <v/>
      </c>
      <c r="S77" s="37"/>
      <c r="T77" s="37"/>
      <c r="U77" s="37"/>
      <c r="V77" s="37"/>
      <c r="W77" s="11" t="str">
        <f t="shared" si="64"/>
        <v/>
      </c>
      <c r="X77" s="39">
        <f t="shared" si="65"/>
        <v>0</v>
      </c>
      <c r="Y77" s="11">
        <f t="shared" si="66"/>
        <v>0</v>
      </c>
      <c r="Z77" s="11">
        <f t="shared" si="67"/>
        <v>0</v>
      </c>
      <c r="AA77" s="11">
        <f t="shared" si="68"/>
        <v>0</v>
      </c>
      <c r="AB77" s="11">
        <f t="shared" si="69"/>
        <v>1</v>
      </c>
      <c r="AC77" s="11">
        <f t="shared" si="70"/>
        <v>1</v>
      </c>
      <c r="AD77" s="11">
        <f t="shared" si="71"/>
        <v>1</v>
      </c>
      <c r="AE77" s="11" t="str">
        <f t="shared" si="72"/>
        <v/>
      </c>
      <c r="AF77" s="11">
        <f t="shared" si="73"/>
        <v>1.25</v>
      </c>
      <c r="AG77" s="11">
        <f t="shared" si="74"/>
        <v>2</v>
      </c>
      <c r="AH77" s="11">
        <f t="shared" si="75"/>
        <v>-1</v>
      </c>
      <c r="AI77" s="11">
        <f t="shared" si="76"/>
        <v>-1</v>
      </c>
      <c r="AJ77" s="39">
        <f t="shared" si="77"/>
        <v>0</v>
      </c>
      <c r="AK77" s="39">
        <f t="shared" si="78"/>
        <v>0</v>
      </c>
      <c r="AL77" s="39">
        <f t="shared" si="79"/>
        <v>0</v>
      </c>
      <c r="AM77" s="11">
        <f t="shared" si="80"/>
        <v>0</v>
      </c>
      <c r="AN77" s="11">
        <f t="shared" si="81"/>
        <v>0</v>
      </c>
      <c r="AO77" s="11">
        <f t="shared" si="82"/>
        <v>0</v>
      </c>
      <c r="AP77" s="40">
        <f t="shared" si="83"/>
        <v>0</v>
      </c>
      <c r="AQ77" s="40">
        <f t="shared" si="84"/>
        <v>0</v>
      </c>
      <c r="AR77" s="40">
        <f t="shared" si="85"/>
        <v>0</v>
      </c>
      <c r="AS77" s="40" t="str">
        <f t="shared" si="86"/>
        <v/>
      </c>
      <c r="AT77" s="11" t="str">
        <f t="shared" si="87"/>
        <v/>
      </c>
      <c r="AU77" s="11">
        <f t="shared" si="88"/>
        <v>1</v>
      </c>
      <c r="AV77" s="11">
        <f t="shared" si="89"/>
        <v>1</v>
      </c>
      <c r="AW77" s="11" t="str">
        <f t="shared" si="90"/>
        <v/>
      </c>
      <c r="AX77" s="11" t="str">
        <f t="shared" si="91"/>
        <v/>
      </c>
      <c r="AY77" s="11" t="str">
        <f t="shared" si="92"/>
        <v/>
      </c>
      <c r="AZ77" s="11" t="str">
        <f t="shared" si="93"/>
        <v/>
      </c>
      <c r="BA77" s="11" t="str">
        <f t="shared" si="94"/>
        <v/>
      </c>
      <c r="BB77" s="11" t="str">
        <f t="shared" si="95"/>
        <v/>
      </c>
      <c r="BC77" s="11" t="str">
        <f t="shared" si="96"/>
        <v/>
      </c>
      <c r="BD77" s="11" t="str">
        <f t="shared" si="97"/>
        <v/>
      </c>
      <c r="BE77" s="39" t="str">
        <f t="shared" si="98"/>
        <v/>
      </c>
      <c r="BF77" s="11" t="str">
        <f t="shared" si="99"/>
        <v/>
      </c>
      <c r="BG77" s="11" t="str">
        <f t="shared" si="100"/>
        <v/>
      </c>
      <c r="BH77" s="39" t="str">
        <f t="shared" si="101"/>
        <v/>
      </c>
      <c r="BI77" s="11" t="str">
        <f t="shared" si="102"/>
        <v/>
      </c>
      <c r="BJ77" s="11" t="str">
        <f>IF($X77=0,"",IF($Q77&lt;&gt;"",$Q77,NEC_UNIDAD($W77,$E77,$Y77,$Z77,N($AT77),$C$7,OCUPACION)))</f>
        <v/>
      </c>
      <c r="BK77" s="11" t="str">
        <f>IF($X77=0,"",IF(N($R77)&gt;0,$R77,BREAKER_SEL($BX$60,$BI77,$AT77,$C$7,$BX$58,$BX$69,$BJ77)))</f>
        <v/>
      </c>
      <c r="BL77" s="11" t="str">
        <f>IF($BK77="","",BREAKER_REF($BX$60,$BK77,$BI77,$AT77,FALSE))</f>
        <v/>
      </c>
      <c r="BM77" s="11" t="str">
        <f>IF($BK77="","",BREAKER_DATO($BX$60,$BK77,"sccr"))</f>
        <v/>
      </c>
      <c r="BN77" s="11" t="str">
        <f>IF(OR($BK77="",N($BM77)&gt;=$BX$58,$BX$71="",N($BX$74)&lt;$BX$58),"",SERIE_KA($BX$60,BREAKER_DATO($BX$60,$BK77,"modelo"),$BX$72,N($BX$24),$C$7,$BX$58))</f>
        <v/>
      </c>
      <c r="BO77" s="11" t="str">
        <f>IF($BK77="","",BREAKER_DATO($BX$60,$BK77,"unidad"))</f>
        <v/>
      </c>
      <c r="BP77" s="11" t="str">
        <f>IF($BK77="","",BREAKER_DATO($BX$60,$BK77,"marco"))</f>
        <v/>
      </c>
      <c r="BQ77" s="11" t="str">
        <f t="shared" si="103"/>
        <v/>
      </c>
      <c r="BR77" s="11" t="str">
        <f t="shared" si="104"/>
        <v/>
      </c>
      <c r="BS77" s="11" t="str">
        <f t="shared" si="105"/>
        <v/>
      </c>
      <c r="BT77" s="11" t="str">
        <f t="shared" si="106"/>
        <v/>
      </c>
      <c r="BU77" s="11" t="str">
        <f t="shared" si="107"/>
        <v/>
      </c>
      <c r="BW77" t="s">
        <v>794</v>
      </c>
      <c r="BX77">
        <f>IF($C$10="",250,IF(N(BX64)&gt;=600,120,50))</f>
        <v>250</v>
      </c>
      <c r="CA77" s="11" t="str">
        <f t="shared" si="108"/>
        <v/>
      </c>
      <c r="CB77" s="11" t="str">
        <f t="shared" si="109"/>
        <v/>
      </c>
    </row>
    <row r="78" spans="1:80" ht="14.65" x14ac:dyDescent="0.45">
      <c r="A78" s="37"/>
      <c r="B78" s="14">
        <v>8</v>
      </c>
      <c r="C78" s="37"/>
      <c r="D78" s="37"/>
      <c r="E78" s="37"/>
      <c r="F78" s="37" t="str">
        <f t="shared" si="55"/>
        <v/>
      </c>
      <c r="G78" s="38"/>
      <c r="H78" s="37"/>
      <c r="I78" s="37" t="str">
        <f t="shared" si="56"/>
        <v/>
      </c>
      <c r="J78" s="37" t="str">
        <f t="shared" si="57"/>
        <v/>
      </c>
      <c r="K78" s="37" t="str">
        <f t="shared" si="58"/>
        <v/>
      </c>
      <c r="L78" s="37" t="str">
        <f t="shared" si="59"/>
        <v/>
      </c>
      <c r="M78" s="37" t="str">
        <f t="shared" si="60"/>
        <v/>
      </c>
      <c r="N78" s="37" t="str">
        <f t="shared" si="61"/>
        <v/>
      </c>
      <c r="O78" s="37" t="str">
        <f t="shared" si="62"/>
        <v/>
      </c>
      <c r="P78" s="37" t="str">
        <f t="shared" si="63"/>
        <v/>
      </c>
      <c r="Q78" s="37" t="str">
        <f>IF($X78=0,"",NEC_UNIDAD($W78,$E78,$Y78,$Z78,N($AT78),$C$7,OCUPACION))</f>
        <v/>
      </c>
      <c r="R78" s="37" t="str">
        <f>IF($X78=0,"",BREAKER_SEL($BX$60,$BI78,$AT78,$C$7,$BX$58,$BX$69,$BJ78))</f>
        <v/>
      </c>
      <c r="S78" s="37"/>
      <c r="T78" s="37"/>
      <c r="U78" s="37"/>
      <c r="V78" s="37"/>
      <c r="W78" s="11" t="str">
        <f t="shared" si="64"/>
        <v/>
      </c>
      <c r="X78" s="39">
        <f t="shared" si="65"/>
        <v>0</v>
      </c>
      <c r="Y78" s="11">
        <f t="shared" si="66"/>
        <v>0</v>
      </c>
      <c r="Z78" s="11">
        <f t="shared" si="67"/>
        <v>0</v>
      </c>
      <c r="AA78" s="11">
        <f t="shared" si="68"/>
        <v>0</v>
      </c>
      <c r="AB78" s="11">
        <f t="shared" si="69"/>
        <v>1</v>
      </c>
      <c r="AC78" s="11">
        <f t="shared" si="70"/>
        <v>1</v>
      </c>
      <c r="AD78" s="11">
        <f t="shared" si="71"/>
        <v>1</v>
      </c>
      <c r="AE78" s="11" t="str">
        <f t="shared" si="72"/>
        <v/>
      </c>
      <c r="AF78" s="11">
        <f t="shared" si="73"/>
        <v>1.25</v>
      </c>
      <c r="AG78" s="11">
        <f t="shared" si="74"/>
        <v>0</v>
      </c>
      <c r="AH78" s="11">
        <f t="shared" si="75"/>
        <v>-1</v>
      </c>
      <c r="AI78" s="11">
        <f t="shared" si="76"/>
        <v>-1</v>
      </c>
      <c r="AJ78" s="39">
        <f t="shared" si="77"/>
        <v>0</v>
      </c>
      <c r="AK78" s="39">
        <f t="shared" si="78"/>
        <v>0</v>
      </c>
      <c r="AL78" s="39">
        <f t="shared" si="79"/>
        <v>0</v>
      </c>
      <c r="AM78" s="11">
        <f t="shared" si="80"/>
        <v>0</v>
      </c>
      <c r="AN78" s="11">
        <f t="shared" si="81"/>
        <v>0</v>
      </c>
      <c r="AO78" s="11">
        <f t="shared" si="82"/>
        <v>0</v>
      </c>
      <c r="AP78" s="40">
        <f t="shared" si="83"/>
        <v>0</v>
      </c>
      <c r="AQ78" s="40">
        <f t="shared" si="84"/>
        <v>0</v>
      </c>
      <c r="AR78" s="40">
        <f t="shared" si="85"/>
        <v>0</v>
      </c>
      <c r="AS78" s="40" t="str">
        <f t="shared" si="86"/>
        <v/>
      </c>
      <c r="AT78" s="11" t="str">
        <f t="shared" si="87"/>
        <v/>
      </c>
      <c r="AU78" s="11">
        <f t="shared" si="88"/>
        <v>1</v>
      </c>
      <c r="AV78" s="11">
        <f t="shared" si="89"/>
        <v>1</v>
      </c>
      <c r="AW78" s="11" t="str">
        <f t="shared" si="90"/>
        <v/>
      </c>
      <c r="AX78" s="11" t="str">
        <f t="shared" si="91"/>
        <v/>
      </c>
      <c r="AY78" s="11" t="str">
        <f t="shared" si="92"/>
        <v/>
      </c>
      <c r="AZ78" s="11" t="str">
        <f t="shared" si="93"/>
        <v/>
      </c>
      <c r="BA78" s="11" t="str">
        <f t="shared" si="94"/>
        <v/>
      </c>
      <c r="BB78" s="11" t="str">
        <f t="shared" si="95"/>
        <v/>
      </c>
      <c r="BC78" s="11" t="str">
        <f t="shared" si="96"/>
        <v/>
      </c>
      <c r="BD78" s="11" t="str">
        <f t="shared" si="97"/>
        <v/>
      </c>
      <c r="BE78" s="39" t="str">
        <f t="shared" si="98"/>
        <v/>
      </c>
      <c r="BF78" s="11" t="str">
        <f t="shared" si="99"/>
        <v/>
      </c>
      <c r="BG78" s="11" t="str">
        <f t="shared" si="100"/>
        <v/>
      </c>
      <c r="BH78" s="39" t="str">
        <f t="shared" si="101"/>
        <v/>
      </c>
      <c r="BI78" s="11" t="str">
        <f t="shared" si="102"/>
        <v/>
      </c>
      <c r="BJ78" s="11" t="str">
        <f>IF($X78=0,"",IF($Q78&lt;&gt;"",$Q78,NEC_UNIDAD($W78,$E78,$Y78,$Z78,N($AT78),$C$7,OCUPACION)))</f>
        <v/>
      </c>
      <c r="BK78" s="11" t="str">
        <f>IF($X78=0,"",IF(N($R78)&gt;0,$R78,BREAKER_SEL($BX$60,$BI78,$AT78,$C$7,$BX$58,$BX$69,$BJ78)))</f>
        <v/>
      </c>
      <c r="BL78" s="11" t="str">
        <f>IF($BK78="","",BREAKER_REF($BX$60,$BK78,$BI78,$AT78,FALSE))</f>
        <v/>
      </c>
      <c r="BM78" s="11" t="str">
        <f>IF($BK78="","",BREAKER_DATO($BX$60,$BK78,"sccr"))</f>
        <v/>
      </c>
      <c r="BN78" s="11" t="str">
        <f>IF(OR($BK78="",N($BM78)&gt;=$BX$58,$BX$71="",N($BX$74)&lt;$BX$58),"",SERIE_KA($BX$60,BREAKER_DATO($BX$60,$BK78,"modelo"),$BX$72,N($BX$24),$C$7,$BX$58))</f>
        <v/>
      </c>
      <c r="BO78" s="11" t="str">
        <f>IF($BK78="","",BREAKER_DATO($BX$60,$BK78,"unidad"))</f>
        <v/>
      </c>
      <c r="BP78" s="11" t="str">
        <f>IF($BK78="","",BREAKER_DATO($BX$60,$BK78,"marco"))</f>
        <v/>
      </c>
      <c r="BQ78" s="11" t="str">
        <f t="shared" si="103"/>
        <v/>
      </c>
      <c r="BR78" s="11" t="str">
        <f t="shared" si="104"/>
        <v/>
      </c>
      <c r="BS78" s="11" t="str">
        <f t="shared" si="105"/>
        <v/>
      </c>
      <c r="BT78" s="11" t="str">
        <f t="shared" si="106"/>
        <v/>
      </c>
      <c r="BU78" s="11" t="str">
        <f t="shared" si="107"/>
        <v/>
      </c>
      <c r="BW78" t="s">
        <v>795</v>
      </c>
      <c r="BX78">
        <f>IF(N($F$18)&gt;0,$F$18,SPD_SEL(BX60,$C$6,$C$8,BX77))</f>
        <v>16</v>
      </c>
      <c r="CA78" s="11" t="str">
        <f t="shared" si="108"/>
        <v/>
      </c>
      <c r="CB78" s="11" t="str">
        <f t="shared" si="109"/>
        <v/>
      </c>
    </row>
    <row r="79" spans="1:80" ht="14.65" x14ac:dyDescent="0.45">
      <c r="A79" s="37"/>
      <c r="B79" s="14">
        <v>10</v>
      </c>
      <c r="C79" s="37"/>
      <c r="D79" s="37"/>
      <c r="E79" s="37"/>
      <c r="F79" s="37" t="str">
        <f t="shared" si="55"/>
        <v/>
      </c>
      <c r="G79" s="38"/>
      <c r="H79" s="37"/>
      <c r="I79" s="37" t="str">
        <f t="shared" si="56"/>
        <v/>
      </c>
      <c r="J79" s="37" t="str">
        <f t="shared" si="57"/>
        <v/>
      </c>
      <c r="K79" s="37" t="str">
        <f t="shared" si="58"/>
        <v/>
      </c>
      <c r="L79" s="37" t="str">
        <f t="shared" si="59"/>
        <v/>
      </c>
      <c r="M79" s="37" t="str">
        <f t="shared" si="60"/>
        <v/>
      </c>
      <c r="N79" s="37" t="str">
        <f t="shared" si="61"/>
        <v/>
      </c>
      <c r="O79" s="37" t="str">
        <f t="shared" si="62"/>
        <v/>
      </c>
      <c r="P79" s="37" t="str">
        <f t="shared" si="63"/>
        <v/>
      </c>
      <c r="Q79" s="37" t="str">
        <f>IF($X79=0,"",NEC_UNIDAD($W79,$E79,$Y79,$Z79,N($AT79),$C$7,OCUPACION))</f>
        <v/>
      </c>
      <c r="R79" s="37" t="str">
        <f>IF($X79=0,"",BREAKER_SEL($BX$60,$BI79,$AT79,$C$7,$BX$58,$BX$69,$BJ79))</f>
        <v/>
      </c>
      <c r="S79" s="37"/>
      <c r="T79" s="37"/>
      <c r="U79" s="37"/>
      <c r="V79" s="37"/>
      <c r="W79" s="11" t="str">
        <f t="shared" si="64"/>
        <v/>
      </c>
      <c r="X79" s="39">
        <f t="shared" si="65"/>
        <v>0</v>
      </c>
      <c r="Y79" s="11">
        <f t="shared" si="66"/>
        <v>0</v>
      </c>
      <c r="Z79" s="11">
        <f t="shared" si="67"/>
        <v>0</v>
      </c>
      <c r="AA79" s="11">
        <f t="shared" si="68"/>
        <v>0</v>
      </c>
      <c r="AB79" s="11">
        <f t="shared" si="69"/>
        <v>1</v>
      </c>
      <c r="AC79" s="11">
        <f t="shared" si="70"/>
        <v>1</v>
      </c>
      <c r="AD79" s="11">
        <f t="shared" si="71"/>
        <v>1</v>
      </c>
      <c r="AE79" s="11" t="str">
        <f t="shared" si="72"/>
        <v/>
      </c>
      <c r="AF79" s="11">
        <f t="shared" si="73"/>
        <v>1.25</v>
      </c>
      <c r="AG79" s="11">
        <f t="shared" si="74"/>
        <v>1</v>
      </c>
      <c r="AH79" s="11">
        <f t="shared" si="75"/>
        <v>-1</v>
      </c>
      <c r="AI79" s="11">
        <f t="shared" si="76"/>
        <v>-1</v>
      </c>
      <c r="AJ79" s="39">
        <f t="shared" si="77"/>
        <v>0</v>
      </c>
      <c r="AK79" s="39">
        <f t="shared" si="78"/>
        <v>0</v>
      </c>
      <c r="AL79" s="39">
        <f t="shared" si="79"/>
        <v>0</v>
      </c>
      <c r="AM79" s="11">
        <f t="shared" si="80"/>
        <v>0</v>
      </c>
      <c r="AN79" s="11">
        <f t="shared" si="81"/>
        <v>0</v>
      </c>
      <c r="AO79" s="11">
        <f t="shared" si="82"/>
        <v>0</v>
      </c>
      <c r="AP79" s="40">
        <f t="shared" si="83"/>
        <v>0</v>
      </c>
      <c r="AQ79" s="40">
        <f t="shared" si="84"/>
        <v>0</v>
      </c>
      <c r="AR79" s="40">
        <f t="shared" si="85"/>
        <v>0</v>
      </c>
      <c r="AS79" s="40" t="str">
        <f t="shared" si="86"/>
        <v/>
      </c>
      <c r="AT79" s="11" t="str">
        <f t="shared" si="87"/>
        <v/>
      </c>
      <c r="AU79" s="11">
        <f t="shared" si="88"/>
        <v>1</v>
      </c>
      <c r="AV79" s="11">
        <f t="shared" si="89"/>
        <v>1</v>
      </c>
      <c r="AW79" s="11" t="str">
        <f t="shared" si="90"/>
        <v/>
      </c>
      <c r="AX79" s="11" t="str">
        <f t="shared" si="91"/>
        <v/>
      </c>
      <c r="AY79" s="11" t="str">
        <f t="shared" si="92"/>
        <v/>
      </c>
      <c r="AZ79" s="11" t="str">
        <f t="shared" si="93"/>
        <v/>
      </c>
      <c r="BA79" s="11" t="str">
        <f t="shared" si="94"/>
        <v/>
      </c>
      <c r="BB79" s="11" t="str">
        <f t="shared" si="95"/>
        <v/>
      </c>
      <c r="BC79" s="11" t="str">
        <f t="shared" si="96"/>
        <v/>
      </c>
      <c r="BD79" s="11" t="str">
        <f t="shared" si="97"/>
        <v/>
      </c>
      <c r="BE79" s="39" t="str">
        <f t="shared" si="98"/>
        <v/>
      </c>
      <c r="BF79" s="11" t="str">
        <f t="shared" si="99"/>
        <v/>
      </c>
      <c r="BG79" s="11" t="str">
        <f t="shared" si="100"/>
        <v/>
      </c>
      <c r="BH79" s="39" t="str">
        <f t="shared" si="101"/>
        <v/>
      </c>
      <c r="BI79" s="11" t="str">
        <f t="shared" si="102"/>
        <v/>
      </c>
      <c r="BJ79" s="11" t="str">
        <f>IF($X79=0,"",IF($Q79&lt;&gt;"",$Q79,NEC_UNIDAD($W79,$E79,$Y79,$Z79,N($AT79),$C$7,OCUPACION)))</f>
        <v/>
      </c>
      <c r="BK79" s="11" t="str">
        <f>IF($X79=0,"",IF(N($R79)&gt;0,$R79,BREAKER_SEL($BX$60,$BI79,$AT79,$C$7,$BX$58,$BX$69,$BJ79)))</f>
        <v/>
      </c>
      <c r="BL79" s="11" t="str">
        <f>IF($BK79="","",BREAKER_REF($BX$60,$BK79,$BI79,$AT79,FALSE))</f>
        <v/>
      </c>
      <c r="BM79" s="11" t="str">
        <f>IF($BK79="","",BREAKER_DATO($BX$60,$BK79,"sccr"))</f>
        <v/>
      </c>
      <c r="BN79" s="11" t="str">
        <f>IF(OR($BK79="",N($BM79)&gt;=$BX$58,$BX$71="",N($BX$74)&lt;$BX$58),"",SERIE_KA($BX$60,BREAKER_DATO($BX$60,$BK79,"modelo"),$BX$72,N($BX$24),$C$7,$BX$58))</f>
        <v/>
      </c>
      <c r="BO79" s="11" t="str">
        <f>IF($BK79="","",BREAKER_DATO($BX$60,$BK79,"unidad"))</f>
        <v/>
      </c>
      <c r="BP79" s="11" t="str">
        <f>IF($BK79="","",BREAKER_DATO($BX$60,$BK79,"marco"))</f>
        <v/>
      </c>
      <c r="BQ79" s="11" t="str">
        <f t="shared" si="103"/>
        <v/>
      </c>
      <c r="BR79" s="11" t="str">
        <f t="shared" si="104"/>
        <v/>
      </c>
      <c r="BS79" s="11" t="str">
        <f t="shared" si="105"/>
        <v/>
      </c>
      <c r="BT79" s="11" t="str">
        <f t="shared" si="106"/>
        <v/>
      </c>
      <c r="BU79" s="11" t="str">
        <f t="shared" si="107"/>
        <v/>
      </c>
      <c r="BW79" t="s">
        <v>796</v>
      </c>
      <c r="BX79" t="str">
        <f>IF(BX78="","",SPD_DATO(BX60,BX78,"modelo",$C$6))</f>
        <v>SPD 250 208Y 3 C</v>
      </c>
      <c r="CA79" s="11" t="str">
        <f t="shared" si="108"/>
        <v/>
      </c>
      <c r="CB79" s="11" t="str">
        <f t="shared" si="109"/>
        <v/>
      </c>
    </row>
    <row r="80" spans="1:80" ht="14.65" x14ac:dyDescent="0.45">
      <c r="A80" s="37"/>
      <c r="B80" s="14">
        <v>12</v>
      </c>
      <c r="C80" s="37"/>
      <c r="D80" s="37"/>
      <c r="E80" s="37"/>
      <c r="F80" s="37" t="str">
        <f t="shared" si="55"/>
        <v/>
      </c>
      <c r="G80" s="38"/>
      <c r="H80" s="37"/>
      <c r="I80" s="37" t="str">
        <f t="shared" si="56"/>
        <v/>
      </c>
      <c r="J80" s="37" t="str">
        <f t="shared" si="57"/>
        <v/>
      </c>
      <c r="K80" s="37" t="str">
        <f t="shared" si="58"/>
        <v/>
      </c>
      <c r="L80" s="37" t="str">
        <f t="shared" si="59"/>
        <v/>
      </c>
      <c r="M80" s="37" t="str">
        <f t="shared" si="60"/>
        <v/>
      </c>
      <c r="N80" s="37" t="str">
        <f t="shared" si="61"/>
        <v/>
      </c>
      <c r="O80" s="37" t="str">
        <f t="shared" si="62"/>
        <v/>
      </c>
      <c r="P80" s="37" t="str">
        <f t="shared" si="63"/>
        <v/>
      </c>
      <c r="Q80" s="37" t="str">
        <f>IF($X80=0,"",NEC_UNIDAD($W80,$E80,$Y80,$Z80,N($AT80),$C$7,OCUPACION))</f>
        <v/>
      </c>
      <c r="R80" s="37" t="str">
        <f>IF($X80=0,"",BREAKER_SEL($BX$60,$BI80,$AT80,$C$7,$BX$58,$BX$69,$BJ80))</f>
        <v/>
      </c>
      <c r="S80" s="37"/>
      <c r="T80" s="37"/>
      <c r="U80" s="37"/>
      <c r="V80" s="37"/>
      <c r="W80" s="11" t="str">
        <f t="shared" si="64"/>
        <v/>
      </c>
      <c r="X80" s="39">
        <f t="shared" si="65"/>
        <v>0</v>
      </c>
      <c r="Y80" s="11">
        <f t="shared" si="66"/>
        <v>0</v>
      </c>
      <c r="Z80" s="11">
        <f t="shared" si="67"/>
        <v>0</v>
      </c>
      <c r="AA80" s="11">
        <f t="shared" si="68"/>
        <v>0</v>
      </c>
      <c r="AB80" s="11">
        <f t="shared" si="69"/>
        <v>1</v>
      </c>
      <c r="AC80" s="11">
        <f t="shared" si="70"/>
        <v>1</v>
      </c>
      <c r="AD80" s="11">
        <f t="shared" si="71"/>
        <v>1</v>
      </c>
      <c r="AE80" s="11" t="str">
        <f t="shared" si="72"/>
        <v/>
      </c>
      <c r="AF80" s="11">
        <f t="shared" si="73"/>
        <v>1.25</v>
      </c>
      <c r="AG80" s="11">
        <f t="shared" si="74"/>
        <v>2</v>
      </c>
      <c r="AH80" s="11">
        <f t="shared" si="75"/>
        <v>-1</v>
      </c>
      <c r="AI80" s="11">
        <f t="shared" si="76"/>
        <v>-1</v>
      </c>
      <c r="AJ80" s="39">
        <f t="shared" si="77"/>
        <v>0</v>
      </c>
      <c r="AK80" s="39">
        <f t="shared" si="78"/>
        <v>0</v>
      </c>
      <c r="AL80" s="39">
        <f t="shared" si="79"/>
        <v>0</v>
      </c>
      <c r="AM80" s="11">
        <f t="shared" si="80"/>
        <v>0</v>
      </c>
      <c r="AN80" s="11">
        <f t="shared" si="81"/>
        <v>0</v>
      </c>
      <c r="AO80" s="11">
        <f t="shared" si="82"/>
        <v>0</v>
      </c>
      <c r="AP80" s="40">
        <f t="shared" si="83"/>
        <v>0</v>
      </c>
      <c r="AQ80" s="40">
        <f t="shared" si="84"/>
        <v>0</v>
      </c>
      <c r="AR80" s="40">
        <f t="shared" si="85"/>
        <v>0</v>
      </c>
      <c r="AS80" s="40" t="str">
        <f t="shared" si="86"/>
        <v/>
      </c>
      <c r="AT80" s="11" t="str">
        <f t="shared" si="87"/>
        <v/>
      </c>
      <c r="AU80" s="11">
        <f t="shared" si="88"/>
        <v>1</v>
      </c>
      <c r="AV80" s="11">
        <f t="shared" si="89"/>
        <v>1</v>
      </c>
      <c r="AW80" s="11" t="str">
        <f t="shared" si="90"/>
        <v/>
      </c>
      <c r="AX80" s="11" t="str">
        <f t="shared" si="91"/>
        <v/>
      </c>
      <c r="AY80" s="11" t="str">
        <f t="shared" si="92"/>
        <v/>
      </c>
      <c r="AZ80" s="11" t="str">
        <f t="shared" si="93"/>
        <v/>
      </c>
      <c r="BA80" s="11" t="str">
        <f t="shared" si="94"/>
        <v/>
      </c>
      <c r="BB80" s="11" t="str">
        <f t="shared" si="95"/>
        <v/>
      </c>
      <c r="BC80" s="11" t="str">
        <f t="shared" si="96"/>
        <v/>
      </c>
      <c r="BD80" s="11" t="str">
        <f t="shared" si="97"/>
        <v/>
      </c>
      <c r="BE80" s="39" t="str">
        <f t="shared" si="98"/>
        <v/>
      </c>
      <c r="BF80" s="11" t="str">
        <f t="shared" si="99"/>
        <v/>
      </c>
      <c r="BG80" s="11" t="str">
        <f t="shared" si="100"/>
        <v/>
      </c>
      <c r="BH80" s="39" t="str">
        <f t="shared" si="101"/>
        <v/>
      </c>
      <c r="BI80" s="11" t="str">
        <f t="shared" si="102"/>
        <v/>
      </c>
      <c r="BJ80" s="11" t="str">
        <f>IF($X80=0,"",IF($Q80&lt;&gt;"",$Q80,NEC_UNIDAD($W80,$E80,$Y80,$Z80,N($AT80),$C$7,OCUPACION)))</f>
        <v/>
      </c>
      <c r="BK80" s="11" t="str">
        <f>IF($X80=0,"",IF(N($R80)&gt;0,$R80,BREAKER_SEL($BX$60,$BI80,$AT80,$C$7,$BX$58,$BX$69,$BJ80)))</f>
        <v/>
      </c>
      <c r="BL80" s="11" t="str">
        <f>IF($BK80="","",BREAKER_REF($BX$60,$BK80,$BI80,$AT80,FALSE))</f>
        <v/>
      </c>
      <c r="BM80" s="11" t="str">
        <f>IF($BK80="","",BREAKER_DATO($BX$60,$BK80,"sccr"))</f>
        <v/>
      </c>
      <c r="BN80" s="11" t="str">
        <f>IF(OR($BK80="",N($BM80)&gt;=$BX$58,$BX$71="",N($BX$74)&lt;$BX$58),"",SERIE_KA($BX$60,BREAKER_DATO($BX$60,$BK80,"modelo"),$BX$72,N($BX$24),$C$7,$BX$58))</f>
        <v/>
      </c>
      <c r="BO80" s="11" t="str">
        <f>IF($BK80="","",BREAKER_DATO($BX$60,$BK80,"unidad"))</f>
        <v/>
      </c>
      <c r="BP80" s="11" t="str">
        <f>IF($BK80="","",BREAKER_DATO($BX$60,$BK80,"marco"))</f>
        <v/>
      </c>
      <c r="BQ80" s="11" t="str">
        <f t="shared" si="103"/>
        <v/>
      </c>
      <c r="BR80" s="11" t="str">
        <f t="shared" si="104"/>
        <v/>
      </c>
      <c r="BS80" s="11" t="str">
        <f t="shared" si="105"/>
        <v/>
      </c>
      <c r="BT80" s="11" t="str">
        <f t="shared" si="106"/>
        <v/>
      </c>
      <c r="BU80" s="11" t="str">
        <f t="shared" si="107"/>
        <v/>
      </c>
      <c r="BW80" t="s">
        <v>797</v>
      </c>
      <c r="BX80">
        <f>IF(BX78="","",SPD_DATO(BX60,BX78,"kaLL",$C$6))</f>
        <v>250</v>
      </c>
      <c r="CA80" s="11" t="str">
        <f t="shared" si="108"/>
        <v/>
      </c>
      <c r="CB80" s="11" t="str">
        <f t="shared" si="109"/>
        <v/>
      </c>
    </row>
    <row r="81" spans="1:80" ht="14.65" x14ac:dyDescent="0.45">
      <c r="A81" s="37"/>
      <c r="B81" s="14">
        <v>14</v>
      </c>
      <c r="C81" s="37"/>
      <c r="D81" s="37"/>
      <c r="E81" s="37"/>
      <c r="F81" s="37" t="str">
        <f t="shared" si="55"/>
        <v/>
      </c>
      <c r="G81" s="38"/>
      <c r="H81" s="37"/>
      <c r="I81" s="37" t="str">
        <f t="shared" si="56"/>
        <v/>
      </c>
      <c r="J81" s="37" t="str">
        <f t="shared" si="57"/>
        <v/>
      </c>
      <c r="K81" s="37" t="str">
        <f t="shared" si="58"/>
        <v/>
      </c>
      <c r="L81" s="37" t="str">
        <f t="shared" si="59"/>
        <v/>
      </c>
      <c r="M81" s="37" t="str">
        <f t="shared" si="60"/>
        <v/>
      </c>
      <c r="N81" s="37" t="str">
        <f t="shared" si="61"/>
        <v/>
      </c>
      <c r="O81" s="37" t="str">
        <f t="shared" si="62"/>
        <v/>
      </c>
      <c r="P81" s="37" t="str">
        <f t="shared" si="63"/>
        <v/>
      </c>
      <c r="Q81" s="37" t="str">
        <f>IF($X81=0,"",NEC_UNIDAD($W81,$E81,$Y81,$Z81,N($AT81),$C$7,OCUPACION))</f>
        <v/>
      </c>
      <c r="R81" s="37" t="str">
        <f>IF($X81=0,"",BREAKER_SEL($BX$60,$BI81,$AT81,$C$7,$BX$58,$BX$69,$BJ81))</f>
        <v/>
      </c>
      <c r="S81" s="37"/>
      <c r="T81" s="37"/>
      <c r="U81" s="37"/>
      <c r="V81" s="37"/>
      <c r="W81" s="11" t="str">
        <f t="shared" si="64"/>
        <v/>
      </c>
      <c r="X81" s="39">
        <f t="shared" si="65"/>
        <v>0</v>
      </c>
      <c r="Y81" s="11">
        <f t="shared" si="66"/>
        <v>0</v>
      </c>
      <c r="Z81" s="11">
        <f t="shared" si="67"/>
        <v>0</v>
      </c>
      <c r="AA81" s="11">
        <f t="shared" si="68"/>
        <v>0</v>
      </c>
      <c r="AB81" s="11">
        <f t="shared" si="69"/>
        <v>1</v>
      </c>
      <c r="AC81" s="11">
        <f t="shared" si="70"/>
        <v>1</v>
      </c>
      <c r="AD81" s="11">
        <f t="shared" si="71"/>
        <v>1</v>
      </c>
      <c r="AE81" s="11" t="str">
        <f t="shared" si="72"/>
        <v/>
      </c>
      <c r="AF81" s="11">
        <f t="shared" si="73"/>
        <v>1.25</v>
      </c>
      <c r="AG81" s="11">
        <f t="shared" si="74"/>
        <v>0</v>
      </c>
      <c r="AH81" s="11">
        <f t="shared" si="75"/>
        <v>-1</v>
      </c>
      <c r="AI81" s="11">
        <f t="shared" si="76"/>
        <v>-1</v>
      </c>
      <c r="AJ81" s="39">
        <f t="shared" si="77"/>
        <v>0</v>
      </c>
      <c r="AK81" s="39">
        <f t="shared" si="78"/>
        <v>0</v>
      </c>
      <c r="AL81" s="39">
        <f t="shared" si="79"/>
        <v>0</v>
      </c>
      <c r="AM81" s="11">
        <f t="shared" si="80"/>
        <v>0</v>
      </c>
      <c r="AN81" s="11">
        <f t="shared" si="81"/>
        <v>0</v>
      </c>
      <c r="AO81" s="11">
        <f t="shared" si="82"/>
        <v>0</v>
      </c>
      <c r="AP81" s="40">
        <f t="shared" si="83"/>
        <v>0</v>
      </c>
      <c r="AQ81" s="40">
        <f t="shared" si="84"/>
        <v>0</v>
      </c>
      <c r="AR81" s="40">
        <f t="shared" si="85"/>
        <v>0</v>
      </c>
      <c r="AS81" s="40" t="str">
        <f t="shared" si="86"/>
        <v/>
      </c>
      <c r="AT81" s="11" t="str">
        <f t="shared" si="87"/>
        <v/>
      </c>
      <c r="AU81" s="11">
        <f t="shared" si="88"/>
        <v>1</v>
      </c>
      <c r="AV81" s="11">
        <f t="shared" si="89"/>
        <v>1</v>
      </c>
      <c r="AW81" s="11" t="str">
        <f t="shared" si="90"/>
        <v/>
      </c>
      <c r="AX81" s="11" t="str">
        <f t="shared" si="91"/>
        <v/>
      </c>
      <c r="AY81" s="11" t="str">
        <f t="shared" si="92"/>
        <v/>
      </c>
      <c r="AZ81" s="11" t="str">
        <f t="shared" si="93"/>
        <v/>
      </c>
      <c r="BA81" s="11" t="str">
        <f t="shared" si="94"/>
        <v/>
      </c>
      <c r="BB81" s="11" t="str">
        <f t="shared" si="95"/>
        <v/>
      </c>
      <c r="BC81" s="11" t="str">
        <f t="shared" si="96"/>
        <v/>
      </c>
      <c r="BD81" s="11" t="str">
        <f t="shared" si="97"/>
        <v/>
      </c>
      <c r="BE81" s="39" t="str">
        <f t="shared" si="98"/>
        <v/>
      </c>
      <c r="BF81" s="11" t="str">
        <f t="shared" si="99"/>
        <v/>
      </c>
      <c r="BG81" s="11" t="str">
        <f t="shared" si="100"/>
        <v/>
      </c>
      <c r="BH81" s="39" t="str">
        <f t="shared" si="101"/>
        <v/>
      </c>
      <c r="BI81" s="11" t="str">
        <f t="shared" si="102"/>
        <v/>
      </c>
      <c r="BJ81" s="11" t="str">
        <f>IF($X81=0,"",IF($Q81&lt;&gt;"",$Q81,NEC_UNIDAD($W81,$E81,$Y81,$Z81,N($AT81),$C$7,OCUPACION)))</f>
        <v/>
      </c>
      <c r="BK81" s="11" t="str">
        <f>IF($X81=0,"",IF(N($R81)&gt;0,$R81,BREAKER_SEL($BX$60,$BI81,$AT81,$C$7,$BX$58,$BX$69,$BJ81)))</f>
        <v/>
      </c>
      <c r="BL81" s="11" t="str">
        <f>IF($BK81="","",BREAKER_REF($BX$60,$BK81,$BI81,$AT81,FALSE))</f>
        <v/>
      </c>
      <c r="BM81" s="11" t="str">
        <f>IF($BK81="","",BREAKER_DATO($BX$60,$BK81,"sccr"))</f>
        <v/>
      </c>
      <c r="BN81" s="11" t="str">
        <f>IF(OR($BK81="",N($BM81)&gt;=$BX$58,$BX$71="",N($BX$74)&lt;$BX$58),"",SERIE_KA($BX$60,BREAKER_DATO($BX$60,$BK81,"modelo"),$BX$72,N($BX$24),$C$7,$BX$58))</f>
        <v/>
      </c>
      <c r="BO81" s="11" t="str">
        <f>IF($BK81="","",BREAKER_DATO($BX$60,$BK81,"unidad"))</f>
        <v/>
      </c>
      <c r="BP81" s="11" t="str">
        <f>IF($BK81="","",BREAKER_DATO($BX$60,$BK81,"marco"))</f>
        <v/>
      </c>
      <c r="BQ81" s="11" t="str">
        <f t="shared" si="103"/>
        <v/>
      </c>
      <c r="BR81" s="11" t="str">
        <f t="shared" si="104"/>
        <v/>
      </c>
      <c r="BS81" s="11" t="str">
        <f t="shared" si="105"/>
        <v/>
      </c>
      <c r="BT81" s="11" t="str">
        <f t="shared" si="106"/>
        <v/>
      </c>
      <c r="BU81" s="11" t="str">
        <f t="shared" si="107"/>
        <v/>
      </c>
      <c r="BW81" t="s">
        <v>798</v>
      </c>
      <c r="BX81">
        <f>IF(BX78="","",SPD_DATO(BX60,BX78,"kaLN",$C$6))</f>
        <v>150</v>
      </c>
      <c r="CA81" s="11" t="str">
        <f t="shared" si="108"/>
        <v/>
      </c>
      <c r="CB81" s="11" t="str">
        <f t="shared" si="109"/>
        <v/>
      </c>
    </row>
    <row r="82" spans="1:80" ht="14.65" x14ac:dyDescent="0.45">
      <c r="A82" s="37"/>
      <c r="B82" s="14">
        <v>16</v>
      </c>
      <c r="C82" s="37"/>
      <c r="D82" s="37"/>
      <c r="E82" s="37"/>
      <c r="F82" s="37" t="str">
        <f t="shared" si="55"/>
        <v/>
      </c>
      <c r="G82" s="38"/>
      <c r="H82" s="37"/>
      <c r="I82" s="37" t="str">
        <f t="shared" si="56"/>
        <v/>
      </c>
      <c r="J82" s="37" t="str">
        <f t="shared" si="57"/>
        <v/>
      </c>
      <c r="K82" s="37" t="str">
        <f t="shared" si="58"/>
        <v/>
      </c>
      <c r="L82" s="37" t="str">
        <f t="shared" si="59"/>
        <v/>
      </c>
      <c r="M82" s="37" t="str">
        <f t="shared" si="60"/>
        <v/>
      </c>
      <c r="N82" s="37" t="str">
        <f t="shared" si="61"/>
        <v/>
      </c>
      <c r="O82" s="37" t="str">
        <f t="shared" si="62"/>
        <v/>
      </c>
      <c r="P82" s="37" t="str">
        <f t="shared" si="63"/>
        <v/>
      </c>
      <c r="Q82" s="37" t="str">
        <f>IF($X82=0,"",NEC_UNIDAD($W82,$E82,$Y82,$Z82,N($AT82),$C$7,OCUPACION))</f>
        <v/>
      </c>
      <c r="R82" s="37" t="str">
        <f>IF($X82=0,"",BREAKER_SEL($BX$60,$BI82,$AT82,$C$7,$BX$58,$BX$69,$BJ82))</f>
        <v/>
      </c>
      <c r="S82" s="37"/>
      <c r="T82" s="37"/>
      <c r="U82" s="37"/>
      <c r="V82" s="37"/>
      <c r="W82" s="11" t="str">
        <f t="shared" si="64"/>
        <v/>
      </c>
      <c r="X82" s="39">
        <f t="shared" si="65"/>
        <v>0</v>
      </c>
      <c r="Y82" s="11">
        <f t="shared" si="66"/>
        <v>0</v>
      </c>
      <c r="Z82" s="11">
        <f t="shared" si="67"/>
        <v>0</v>
      </c>
      <c r="AA82" s="11">
        <f t="shared" si="68"/>
        <v>0</v>
      </c>
      <c r="AB82" s="11">
        <f t="shared" si="69"/>
        <v>1</v>
      </c>
      <c r="AC82" s="11">
        <f t="shared" si="70"/>
        <v>1</v>
      </c>
      <c r="AD82" s="11">
        <f t="shared" si="71"/>
        <v>1</v>
      </c>
      <c r="AE82" s="11" t="str">
        <f t="shared" si="72"/>
        <v/>
      </c>
      <c r="AF82" s="11">
        <f t="shared" si="73"/>
        <v>1.25</v>
      </c>
      <c r="AG82" s="11">
        <f t="shared" si="74"/>
        <v>1</v>
      </c>
      <c r="AH82" s="11">
        <f t="shared" si="75"/>
        <v>-1</v>
      </c>
      <c r="AI82" s="11">
        <f t="shared" si="76"/>
        <v>-1</v>
      </c>
      <c r="AJ82" s="39">
        <f t="shared" si="77"/>
        <v>0</v>
      </c>
      <c r="AK82" s="39">
        <f t="shared" si="78"/>
        <v>0</v>
      </c>
      <c r="AL82" s="39">
        <f t="shared" si="79"/>
        <v>0</v>
      </c>
      <c r="AM82" s="11">
        <f t="shared" si="80"/>
        <v>0</v>
      </c>
      <c r="AN82" s="11">
        <f t="shared" si="81"/>
        <v>0</v>
      </c>
      <c r="AO82" s="11">
        <f t="shared" si="82"/>
        <v>0</v>
      </c>
      <c r="AP82" s="40">
        <f t="shared" si="83"/>
        <v>0</v>
      </c>
      <c r="AQ82" s="40">
        <f t="shared" si="84"/>
        <v>0</v>
      </c>
      <c r="AR82" s="40">
        <f t="shared" si="85"/>
        <v>0</v>
      </c>
      <c r="AS82" s="40" t="str">
        <f t="shared" si="86"/>
        <v/>
      </c>
      <c r="AT82" s="11" t="str">
        <f t="shared" si="87"/>
        <v/>
      </c>
      <c r="AU82" s="11">
        <f t="shared" si="88"/>
        <v>1</v>
      </c>
      <c r="AV82" s="11">
        <f t="shared" si="89"/>
        <v>1</v>
      </c>
      <c r="AW82" s="11" t="str">
        <f t="shared" si="90"/>
        <v/>
      </c>
      <c r="AX82" s="11" t="str">
        <f t="shared" si="91"/>
        <v/>
      </c>
      <c r="AY82" s="11" t="str">
        <f t="shared" si="92"/>
        <v/>
      </c>
      <c r="AZ82" s="11" t="str">
        <f t="shared" si="93"/>
        <v/>
      </c>
      <c r="BA82" s="11" t="str">
        <f t="shared" si="94"/>
        <v/>
      </c>
      <c r="BB82" s="11" t="str">
        <f t="shared" si="95"/>
        <v/>
      </c>
      <c r="BC82" s="11" t="str">
        <f t="shared" si="96"/>
        <v/>
      </c>
      <c r="BD82" s="11" t="str">
        <f t="shared" si="97"/>
        <v/>
      </c>
      <c r="BE82" s="39" t="str">
        <f t="shared" si="98"/>
        <v/>
      </c>
      <c r="BF82" s="11" t="str">
        <f t="shared" si="99"/>
        <v/>
      </c>
      <c r="BG82" s="11" t="str">
        <f t="shared" si="100"/>
        <v/>
      </c>
      <c r="BH82" s="39" t="str">
        <f t="shared" si="101"/>
        <v/>
      </c>
      <c r="BI82" s="11" t="str">
        <f t="shared" si="102"/>
        <v/>
      </c>
      <c r="BJ82" s="11" t="str">
        <f>IF($X82=0,"",IF($Q82&lt;&gt;"",$Q82,NEC_UNIDAD($W82,$E82,$Y82,$Z82,N($AT82),$C$7,OCUPACION)))</f>
        <v/>
      </c>
      <c r="BK82" s="11" t="str">
        <f>IF($X82=0,"",IF(N($R82)&gt;0,$R82,BREAKER_SEL($BX$60,$BI82,$AT82,$C$7,$BX$58,$BX$69,$BJ82)))</f>
        <v/>
      </c>
      <c r="BL82" s="11" t="str">
        <f>IF($BK82="","",BREAKER_REF($BX$60,$BK82,$BI82,$AT82,FALSE))</f>
        <v/>
      </c>
      <c r="BM82" s="11" t="str">
        <f>IF($BK82="","",BREAKER_DATO($BX$60,$BK82,"sccr"))</f>
        <v/>
      </c>
      <c r="BN82" s="11" t="str">
        <f>IF(OR($BK82="",N($BM82)&gt;=$BX$58,$BX$71="",N($BX$74)&lt;$BX$58),"",SERIE_KA($BX$60,BREAKER_DATO($BX$60,$BK82,"modelo"),$BX$72,N($BX$24),$C$7,$BX$58))</f>
        <v/>
      </c>
      <c r="BO82" s="11" t="str">
        <f>IF($BK82="","",BREAKER_DATO($BX$60,$BK82,"unidad"))</f>
        <v/>
      </c>
      <c r="BP82" s="11" t="str">
        <f>IF($BK82="","",BREAKER_DATO($BX$60,$BK82,"marco"))</f>
        <v/>
      </c>
      <c r="BQ82" s="11" t="str">
        <f t="shared" si="103"/>
        <v/>
      </c>
      <c r="BR82" s="11" t="str">
        <f t="shared" si="104"/>
        <v/>
      </c>
      <c r="BS82" s="11" t="str">
        <f t="shared" si="105"/>
        <v/>
      </c>
      <c r="BT82" s="11" t="str">
        <f t="shared" si="106"/>
        <v/>
      </c>
      <c r="BU82" s="11" t="str">
        <f t="shared" si="107"/>
        <v/>
      </c>
      <c r="BW82" t="s">
        <v>799</v>
      </c>
      <c r="BX82" t="str">
        <f>IF(BX78="","",SPD_DATO(BX60,BX78,"montaje",$C$6))</f>
        <v>Interno</v>
      </c>
      <c r="CA82" s="11" t="str">
        <f t="shared" si="108"/>
        <v/>
      </c>
      <c r="CB82" s="11" t="str">
        <f t="shared" si="109"/>
        <v/>
      </c>
    </row>
    <row r="83" spans="1:80" ht="14.65" x14ac:dyDescent="0.45">
      <c r="A83" s="37"/>
      <c r="B83" s="14">
        <v>18</v>
      </c>
      <c r="C83" s="37"/>
      <c r="D83" s="37"/>
      <c r="E83" s="37"/>
      <c r="F83" s="37" t="str">
        <f t="shared" si="55"/>
        <v/>
      </c>
      <c r="G83" s="38"/>
      <c r="H83" s="37"/>
      <c r="I83" s="37" t="str">
        <f t="shared" si="56"/>
        <v/>
      </c>
      <c r="J83" s="37" t="str">
        <f t="shared" si="57"/>
        <v/>
      </c>
      <c r="K83" s="37" t="str">
        <f t="shared" si="58"/>
        <v/>
      </c>
      <c r="L83" s="37" t="str">
        <f t="shared" si="59"/>
        <v/>
      </c>
      <c r="M83" s="37" t="str">
        <f t="shared" si="60"/>
        <v/>
      </c>
      <c r="N83" s="37" t="str">
        <f t="shared" si="61"/>
        <v/>
      </c>
      <c r="O83" s="37" t="str">
        <f t="shared" si="62"/>
        <v/>
      </c>
      <c r="P83" s="37" t="str">
        <f t="shared" si="63"/>
        <v/>
      </c>
      <c r="Q83" s="37" t="str">
        <f>IF($X83=0,"",NEC_UNIDAD($W83,$E83,$Y83,$Z83,N($AT83),$C$7,OCUPACION))</f>
        <v/>
      </c>
      <c r="R83" s="37" t="str">
        <f>IF($X83=0,"",BREAKER_SEL($BX$60,$BI83,$AT83,$C$7,$BX$58,$BX$69,$BJ83))</f>
        <v/>
      </c>
      <c r="S83" s="37"/>
      <c r="T83" s="37"/>
      <c r="U83" s="37"/>
      <c r="V83" s="37"/>
      <c r="W83" s="11" t="str">
        <f t="shared" si="64"/>
        <v/>
      </c>
      <c r="X83" s="39">
        <f t="shared" si="65"/>
        <v>0</v>
      </c>
      <c r="Y83" s="11">
        <f t="shared" si="66"/>
        <v>0</v>
      </c>
      <c r="Z83" s="11">
        <f t="shared" si="67"/>
        <v>0</v>
      </c>
      <c r="AA83" s="11">
        <f t="shared" si="68"/>
        <v>0</v>
      </c>
      <c r="AB83" s="11">
        <f t="shared" si="69"/>
        <v>1</v>
      </c>
      <c r="AC83" s="11">
        <f t="shared" si="70"/>
        <v>1</v>
      </c>
      <c r="AD83" s="11">
        <f t="shared" si="71"/>
        <v>1</v>
      </c>
      <c r="AE83" s="11" t="str">
        <f t="shared" si="72"/>
        <v/>
      </c>
      <c r="AF83" s="11">
        <f t="shared" si="73"/>
        <v>1.25</v>
      </c>
      <c r="AG83" s="11">
        <f t="shared" si="74"/>
        <v>2</v>
      </c>
      <c r="AH83" s="11">
        <f t="shared" si="75"/>
        <v>-1</v>
      </c>
      <c r="AI83" s="11">
        <f t="shared" si="76"/>
        <v>-1</v>
      </c>
      <c r="AJ83" s="39">
        <f t="shared" si="77"/>
        <v>0</v>
      </c>
      <c r="AK83" s="39">
        <f t="shared" si="78"/>
        <v>0</v>
      </c>
      <c r="AL83" s="39">
        <f t="shared" si="79"/>
        <v>0</v>
      </c>
      <c r="AM83" s="11">
        <f t="shared" si="80"/>
        <v>0</v>
      </c>
      <c r="AN83" s="11">
        <f t="shared" si="81"/>
        <v>0</v>
      </c>
      <c r="AO83" s="11">
        <f t="shared" si="82"/>
        <v>0</v>
      </c>
      <c r="AP83" s="40">
        <f t="shared" si="83"/>
        <v>0</v>
      </c>
      <c r="AQ83" s="40">
        <f t="shared" si="84"/>
        <v>0</v>
      </c>
      <c r="AR83" s="40">
        <f t="shared" si="85"/>
        <v>0</v>
      </c>
      <c r="AS83" s="40" t="str">
        <f t="shared" si="86"/>
        <v/>
      </c>
      <c r="AT83" s="11" t="str">
        <f t="shared" si="87"/>
        <v/>
      </c>
      <c r="AU83" s="11">
        <f t="shared" si="88"/>
        <v>1</v>
      </c>
      <c r="AV83" s="11">
        <f t="shared" si="89"/>
        <v>1</v>
      </c>
      <c r="AW83" s="11" t="str">
        <f t="shared" si="90"/>
        <v/>
      </c>
      <c r="AX83" s="11" t="str">
        <f t="shared" si="91"/>
        <v/>
      </c>
      <c r="AY83" s="11" t="str">
        <f t="shared" si="92"/>
        <v/>
      </c>
      <c r="AZ83" s="11" t="str">
        <f t="shared" si="93"/>
        <v/>
      </c>
      <c r="BA83" s="11" t="str">
        <f t="shared" si="94"/>
        <v/>
      </c>
      <c r="BB83" s="11" t="str">
        <f t="shared" si="95"/>
        <v/>
      </c>
      <c r="BC83" s="11" t="str">
        <f t="shared" si="96"/>
        <v/>
      </c>
      <c r="BD83" s="11" t="str">
        <f t="shared" si="97"/>
        <v/>
      </c>
      <c r="BE83" s="39" t="str">
        <f t="shared" si="98"/>
        <v/>
      </c>
      <c r="BF83" s="11" t="str">
        <f t="shared" si="99"/>
        <v/>
      </c>
      <c r="BG83" s="11" t="str">
        <f t="shared" si="100"/>
        <v/>
      </c>
      <c r="BH83" s="39" t="str">
        <f t="shared" si="101"/>
        <v/>
      </c>
      <c r="BI83" s="11" t="str">
        <f t="shared" si="102"/>
        <v/>
      </c>
      <c r="BJ83" s="11" t="str">
        <f>IF($X83=0,"",IF($Q83&lt;&gt;"",$Q83,NEC_UNIDAD($W83,$E83,$Y83,$Z83,N($AT83),$C$7,OCUPACION)))</f>
        <v/>
      </c>
      <c r="BK83" s="11" t="str">
        <f>IF($X83=0,"",IF(N($R83)&gt;0,$R83,BREAKER_SEL($BX$60,$BI83,$AT83,$C$7,$BX$58,$BX$69,$BJ83)))</f>
        <v/>
      </c>
      <c r="BL83" s="11" t="str">
        <f>IF($BK83="","",BREAKER_REF($BX$60,$BK83,$BI83,$AT83,FALSE))</f>
        <v/>
      </c>
      <c r="BM83" s="11" t="str">
        <f>IF($BK83="","",BREAKER_DATO($BX$60,$BK83,"sccr"))</f>
        <v/>
      </c>
      <c r="BN83" s="11" t="str">
        <f>IF(OR($BK83="",N($BM83)&gt;=$BX$58,$BX$71="",N($BX$74)&lt;$BX$58),"",SERIE_KA($BX$60,BREAKER_DATO($BX$60,$BK83,"modelo"),$BX$72,N($BX$24),$C$7,$BX$58))</f>
        <v/>
      </c>
      <c r="BO83" s="11" t="str">
        <f>IF($BK83="","",BREAKER_DATO($BX$60,$BK83,"unidad"))</f>
        <v/>
      </c>
      <c r="BP83" s="11" t="str">
        <f>IF($BK83="","",BREAKER_DATO($BX$60,$BK83,"marco"))</f>
        <v/>
      </c>
      <c r="BQ83" s="11" t="str">
        <f t="shared" si="103"/>
        <v/>
      </c>
      <c r="BR83" s="11" t="str">
        <f t="shared" si="104"/>
        <v/>
      </c>
      <c r="BS83" s="11" t="str">
        <f t="shared" si="105"/>
        <v/>
      </c>
      <c r="BT83" s="11" t="str">
        <f t="shared" si="106"/>
        <v/>
      </c>
      <c r="BU83" s="11" t="str">
        <f t="shared" si="107"/>
        <v/>
      </c>
      <c r="CA83" s="11" t="str">
        <f t="shared" si="108"/>
        <v/>
      </c>
      <c r="CB83" s="11" t="str">
        <f t="shared" si="109"/>
        <v/>
      </c>
    </row>
    <row r="84" spans="1:80" ht="14.65" x14ac:dyDescent="0.45">
      <c r="A84" s="37"/>
      <c r="B84" s="14">
        <v>20</v>
      </c>
      <c r="C84" s="37"/>
      <c r="D84" s="37"/>
      <c r="E84" s="37"/>
      <c r="F84" s="37" t="str">
        <f t="shared" si="55"/>
        <v/>
      </c>
      <c r="G84" s="38"/>
      <c r="H84" s="37"/>
      <c r="I84" s="37" t="str">
        <f t="shared" si="56"/>
        <v/>
      </c>
      <c r="J84" s="37" t="str">
        <f t="shared" si="57"/>
        <v/>
      </c>
      <c r="K84" s="37" t="str">
        <f t="shared" si="58"/>
        <v/>
      </c>
      <c r="L84" s="37" t="str">
        <f t="shared" si="59"/>
        <v/>
      </c>
      <c r="M84" s="37" t="str">
        <f t="shared" si="60"/>
        <v/>
      </c>
      <c r="N84" s="37" t="str">
        <f t="shared" si="61"/>
        <v/>
      </c>
      <c r="O84" s="37" t="str">
        <f t="shared" si="62"/>
        <v/>
      </c>
      <c r="P84" s="37" t="str">
        <f t="shared" si="63"/>
        <v/>
      </c>
      <c r="Q84" s="37" t="str">
        <f>IF($X84=0,"",NEC_UNIDAD($W84,$E84,$Y84,$Z84,N($AT84),$C$7,OCUPACION))</f>
        <v/>
      </c>
      <c r="R84" s="37" t="str">
        <f>IF($X84=0,"",BREAKER_SEL($BX$60,$BI84,$AT84,$C$7,$BX$58,$BX$69,$BJ84))</f>
        <v/>
      </c>
      <c r="S84" s="37"/>
      <c r="T84" s="37"/>
      <c r="U84" s="37"/>
      <c r="V84" s="37"/>
      <c r="W84" s="11" t="str">
        <f t="shared" si="64"/>
        <v/>
      </c>
      <c r="X84" s="39">
        <f t="shared" si="65"/>
        <v>0</v>
      </c>
      <c r="Y84" s="11">
        <f t="shared" si="66"/>
        <v>0</v>
      </c>
      <c r="Z84" s="11">
        <f t="shared" si="67"/>
        <v>0</v>
      </c>
      <c r="AA84" s="11">
        <f t="shared" si="68"/>
        <v>0</v>
      </c>
      <c r="AB84" s="11">
        <f t="shared" si="69"/>
        <v>1</v>
      </c>
      <c r="AC84" s="11">
        <f t="shared" si="70"/>
        <v>1</v>
      </c>
      <c r="AD84" s="11">
        <f t="shared" si="71"/>
        <v>1</v>
      </c>
      <c r="AE84" s="11" t="str">
        <f t="shared" si="72"/>
        <v/>
      </c>
      <c r="AF84" s="11">
        <f t="shared" si="73"/>
        <v>1.25</v>
      </c>
      <c r="AG84" s="11">
        <f t="shared" si="74"/>
        <v>0</v>
      </c>
      <c r="AH84" s="11">
        <f t="shared" si="75"/>
        <v>-1</v>
      </c>
      <c r="AI84" s="11">
        <f t="shared" si="76"/>
        <v>-1</v>
      </c>
      <c r="AJ84" s="39">
        <f t="shared" si="77"/>
        <v>0</v>
      </c>
      <c r="AK84" s="39">
        <f t="shared" si="78"/>
        <v>0</v>
      </c>
      <c r="AL84" s="39">
        <f t="shared" si="79"/>
        <v>0</v>
      </c>
      <c r="AM84" s="11">
        <f t="shared" si="80"/>
        <v>0</v>
      </c>
      <c r="AN84" s="11">
        <f t="shared" si="81"/>
        <v>0</v>
      </c>
      <c r="AO84" s="11">
        <f t="shared" si="82"/>
        <v>0</v>
      </c>
      <c r="AP84" s="40">
        <f t="shared" si="83"/>
        <v>0</v>
      </c>
      <c r="AQ84" s="40">
        <f t="shared" si="84"/>
        <v>0</v>
      </c>
      <c r="AR84" s="40">
        <f t="shared" si="85"/>
        <v>0</v>
      </c>
      <c r="AS84" s="40" t="str">
        <f t="shared" si="86"/>
        <v/>
      </c>
      <c r="AT84" s="11" t="str">
        <f t="shared" si="87"/>
        <v/>
      </c>
      <c r="AU84" s="11">
        <f t="shared" si="88"/>
        <v>1</v>
      </c>
      <c r="AV84" s="11">
        <f t="shared" si="89"/>
        <v>1</v>
      </c>
      <c r="AW84" s="11" t="str">
        <f t="shared" si="90"/>
        <v/>
      </c>
      <c r="AX84" s="11" t="str">
        <f t="shared" si="91"/>
        <v/>
      </c>
      <c r="AY84" s="11" t="str">
        <f t="shared" si="92"/>
        <v/>
      </c>
      <c r="AZ84" s="11" t="str">
        <f t="shared" si="93"/>
        <v/>
      </c>
      <c r="BA84" s="11" t="str">
        <f t="shared" si="94"/>
        <v/>
      </c>
      <c r="BB84" s="11" t="str">
        <f t="shared" si="95"/>
        <v/>
      </c>
      <c r="BC84" s="11" t="str">
        <f t="shared" si="96"/>
        <v/>
      </c>
      <c r="BD84" s="11" t="str">
        <f t="shared" si="97"/>
        <v/>
      </c>
      <c r="BE84" s="39" t="str">
        <f t="shared" si="98"/>
        <v/>
      </c>
      <c r="BF84" s="11" t="str">
        <f t="shared" si="99"/>
        <v/>
      </c>
      <c r="BG84" s="11" t="str">
        <f t="shared" si="100"/>
        <v/>
      </c>
      <c r="BH84" s="39" t="str">
        <f t="shared" si="101"/>
        <v/>
      </c>
      <c r="BI84" s="11" t="str">
        <f t="shared" si="102"/>
        <v/>
      </c>
      <c r="BJ84" s="11" t="str">
        <f>IF($X84=0,"",IF($Q84&lt;&gt;"",$Q84,NEC_UNIDAD($W84,$E84,$Y84,$Z84,N($AT84),$C$7,OCUPACION)))</f>
        <v/>
      </c>
      <c r="BK84" s="11" t="str">
        <f>IF($X84=0,"",IF(N($R84)&gt;0,$R84,BREAKER_SEL($BX$60,$BI84,$AT84,$C$7,$BX$58,$BX$69,$BJ84)))</f>
        <v/>
      </c>
      <c r="BL84" s="11" t="str">
        <f>IF($BK84="","",BREAKER_REF($BX$60,$BK84,$BI84,$AT84,FALSE))</f>
        <v/>
      </c>
      <c r="BM84" s="11" t="str">
        <f>IF($BK84="","",BREAKER_DATO($BX$60,$BK84,"sccr"))</f>
        <v/>
      </c>
      <c r="BN84" s="11" t="str">
        <f>IF(OR($BK84="",N($BM84)&gt;=$BX$58,$BX$71="",N($BX$74)&lt;$BX$58),"",SERIE_KA($BX$60,BREAKER_DATO($BX$60,$BK84,"modelo"),$BX$72,N($BX$24),$C$7,$BX$58))</f>
        <v/>
      </c>
      <c r="BO84" s="11" t="str">
        <f>IF($BK84="","",BREAKER_DATO($BX$60,$BK84,"unidad"))</f>
        <v/>
      </c>
      <c r="BP84" s="11" t="str">
        <f>IF($BK84="","",BREAKER_DATO($BX$60,$BK84,"marco"))</f>
        <v/>
      </c>
      <c r="BQ84" s="11" t="str">
        <f t="shared" si="103"/>
        <v/>
      </c>
      <c r="BR84" s="11" t="str">
        <f t="shared" si="104"/>
        <v/>
      </c>
      <c r="BS84" s="11" t="str">
        <f t="shared" si="105"/>
        <v/>
      </c>
      <c r="BT84" s="11" t="str">
        <f t="shared" si="106"/>
        <v/>
      </c>
      <c r="BU84" s="11" t="str">
        <f t="shared" si="107"/>
        <v/>
      </c>
      <c r="BW84" t="s">
        <v>660</v>
      </c>
      <c r="BX84" t="b">
        <f>$I$14="SI"</f>
        <v>0</v>
      </c>
      <c r="CA84" s="11" t="str">
        <f t="shared" si="108"/>
        <v/>
      </c>
      <c r="CB84" s="11" t="str">
        <f t="shared" si="109"/>
        <v/>
      </c>
    </row>
    <row r="85" spans="1:80" ht="14.65" x14ac:dyDescent="0.45">
      <c r="A85" s="37"/>
      <c r="B85" s="14">
        <v>22</v>
      </c>
      <c r="C85" s="37"/>
      <c r="D85" s="37"/>
      <c r="E85" s="37"/>
      <c r="F85" s="37" t="str">
        <f t="shared" si="55"/>
        <v/>
      </c>
      <c r="G85" s="38"/>
      <c r="H85" s="37"/>
      <c r="I85" s="37" t="str">
        <f t="shared" si="56"/>
        <v/>
      </c>
      <c r="J85" s="37" t="str">
        <f t="shared" si="57"/>
        <v/>
      </c>
      <c r="K85" s="37" t="str">
        <f t="shared" si="58"/>
        <v/>
      </c>
      <c r="L85" s="37" t="str">
        <f t="shared" si="59"/>
        <v/>
      </c>
      <c r="M85" s="37" t="str">
        <f t="shared" si="60"/>
        <v/>
      </c>
      <c r="N85" s="37" t="str">
        <f t="shared" si="61"/>
        <v/>
      </c>
      <c r="O85" s="37" t="str">
        <f t="shared" si="62"/>
        <v/>
      </c>
      <c r="P85" s="37" t="str">
        <f t="shared" si="63"/>
        <v/>
      </c>
      <c r="Q85" s="37" t="str">
        <f>IF($X85=0,"",NEC_UNIDAD($W85,$E85,$Y85,$Z85,N($AT85),$C$7,OCUPACION))</f>
        <v/>
      </c>
      <c r="R85" s="37" t="str">
        <f>IF($X85=0,"",BREAKER_SEL($BX$60,$BI85,$AT85,$C$7,$BX$58,$BX$69,$BJ85))</f>
        <v/>
      </c>
      <c r="S85" s="37"/>
      <c r="T85" s="37"/>
      <c r="U85" s="37"/>
      <c r="V85" s="37"/>
      <c r="W85" s="11" t="str">
        <f t="shared" si="64"/>
        <v/>
      </c>
      <c r="X85" s="39">
        <f t="shared" si="65"/>
        <v>0</v>
      </c>
      <c r="Y85" s="11">
        <f t="shared" si="66"/>
        <v>0</v>
      </c>
      <c r="Z85" s="11">
        <f t="shared" si="67"/>
        <v>0</v>
      </c>
      <c r="AA85" s="11">
        <f t="shared" si="68"/>
        <v>0</v>
      </c>
      <c r="AB85" s="11">
        <f t="shared" si="69"/>
        <v>1</v>
      </c>
      <c r="AC85" s="11">
        <f t="shared" si="70"/>
        <v>1</v>
      </c>
      <c r="AD85" s="11">
        <f t="shared" si="71"/>
        <v>1</v>
      </c>
      <c r="AE85" s="11" t="str">
        <f t="shared" si="72"/>
        <v/>
      </c>
      <c r="AF85" s="11">
        <f t="shared" si="73"/>
        <v>1.25</v>
      </c>
      <c r="AG85" s="11">
        <f t="shared" si="74"/>
        <v>1</v>
      </c>
      <c r="AH85" s="11">
        <f t="shared" si="75"/>
        <v>-1</v>
      </c>
      <c r="AI85" s="11">
        <f t="shared" si="76"/>
        <v>-1</v>
      </c>
      <c r="AJ85" s="39">
        <f t="shared" si="77"/>
        <v>0</v>
      </c>
      <c r="AK85" s="39">
        <f t="shared" si="78"/>
        <v>0</v>
      </c>
      <c r="AL85" s="39">
        <f t="shared" si="79"/>
        <v>0</v>
      </c>
      <c r="AM85" s="11">
        <f t="shared" si="80"/>
        <v>0</v>
      </c>
      <c r="AN85" s="11">
        <f t="shared" si="81"/>
        <v>0</v>
      </c>
      <c r="AO85" s="11">
        <f t="shared" si="82"/>
        <v>0</v>
      </c>
      <c r="AP85" s="40">
        <f t="shared" si="83"/>
        <v>0</v>
      </c>
      <c r="AQ85" s="40">
        <f t="shared" si="84"/>
        <v>0</v>
      </c>
      <c r="AR85" s="40">
        <f t="shared" si="85"/>
        <v>0</v>
      </c>
      <c r="AS85" s="40" t="str">
        <f t="shared" si="86"/>
        <v/>
      </c>
      <c r="AT85" s="11" t="str">
        <f t="shared" si="87"/>
        <v/>
      </c>
      <c r="AU85" s="11">
        <f t="shared" si="88"/>
        <v>1</v>
      </c>
      <c r="AV85" s="11">
        <f t="shared" si="89"/>
        <v>1</v>
      </c>
      <c r="AW85" s="11" t="str">
        <f t="shared" si="90"/>
        <v/>
      </c>
      <c r="AX85" s="11" t="str">
        <f t="shared" si="91"/>
        <v/>
      </c>
      <c r="AY85" s="11" t="str">
        <f t="shared" si="92"/>
        <v/>
      </c>
      <c r="AZ85" s="11" t="str">
        <f t="shared" si="93"/>
        <v/>
      </c>
      <c r="BA85" s="11" t="str">
        <f t="shared" si="94"/>
        <v/>
      </c>
      <c r="BB85" s="11" t="str">
        <f t="shared" si="95"/>
        <v/>
      </c>
      <c r="BC85" s="11" t="str">
        <f t="shared" si="96"/>
        <v/>
      </c>
      <c r="BD85" s="11" t="str">
        <f t="shared" si="97"/>
        <v/>
      </c>
      <c r="BE85" s="39" t="str">
        <f t="shared" si="98"/>
        <v/>
      </c>
      <c r="BF85" s="11" t="str">
        <f t="shared" si="99"/>
        <v/>
      </c>
      <c r="BG85" s="11" t="str">
        <f t="shared" si="100"/>
        <v/>
      </c>
      <c r="BH85" s="39" t="str">
        <f t="shared" si="101"/>
        <v/>
      </c>
      <c r="BI85" s="11" t="str">
        <f t="shared" si="102"/>
        <v/>
      </c>
      <c r="BJ85" s="11" t="str">
        <f>IF($X85=0,"",IF($Q85&lt;&gt;"",$Q85,NEC_UNIDAD($W85,$E85,$Y85,$Z85,N($AT85),$C$7,OCUPACION)))</f>
        <v/>
      </c>
      <c r="BK85" s="11" t="str">
        <f>IF($X85=0,"",IF(N($R85)&gt;0,$R85,BREAKER_SEL($BX$60,$BI85,$AT85,$C$7,$BX$58,$BX$69,$BJ85)))</f>
        <v/>
      </c>
      <c r="BL85" s="11" t="str">
        <f>IF($BK85="","",BREAKER_REF($BX$60,$BK85,$BI85,$AT85,FALSE))</f>
        <v/>
      </c>
      <c r="BM85" s="11" t="str">
        <f>IF($BK85="","",BREAKER_DATO($BX$60,$BK85,"sccr"))</f>
        <v/>
      </c>
      <c r="BN85" s="11" t="str">
        <f>IF(OR($BK85="",N($BM85)&gt;=$BX$58,$BX$71="",N($BX$74)&lt;$BX$58),"",SERIE_KA($BX$60,BREAKER_DATO($BX$60,$BK85,"modelo"),$BX$72,N($BX$24),$C$7,$BX$58))</f>
        <v/>
      </c>
      <c r="BO85" s="11" t="str">
        <f>IF($BK85="","",BREAKER_DATO($BX$60,$BK85,"unidad"))</f>
        <v/>
      </c>
      <c r="BP85" s="11" t="str">
        <f>IF($BK85="","",BREAKER_DATO($BX$60,$BK85,"marco"))</f>
        <v/>
      </c>
      <c r="BQ85" s="11" t="str">
        <f t="shared" si="103"/>
        <v/>
      </c>
      <c r="BR85" s="11" t="str">
        <f t="shared" si="104"/>
        <v/>
      </c>
      <c r="BS85" s="11" t="str">
        <f t="shared" si="105"/>
        <v/>
      </c>
      <c r="BT85" s="11" t="str">
        <f t="shared" si="106"/>
        <v/>
      </c>
      <c r="BU85" s="11" t="str">
        <f t="shared" si="107"/>
        <v/>
      </c>
      <c r="BW85" t="s">
        <v>800</v>
      </c>
      <c r="BX85" t="str">
        <f>IF(OR(NOT(BX84),BX24=""),"",CAL_AJUSTE(VLOOKUP(BX24*BX26/BX25,CHOOSE(IF(OR($F$3="AL",$F$3="AL-MC"),2,1),T_AMPCU,T_AMPAL),2,TRUE),IF($F$3="","CU",$F$3),BX25,IF($F$4="","XHHW-2",$F$4),IF($F$11="","26-30",$F$11),IF(N($F$12)&gt;0,$F$12,75),BX28,BX23,BX24,AUTO_AMP="SI",BX26))</f>
        <v/>
      </c>
      <c r="CA85" s="11" t="str">
        <f t="shared" si="108"/>
        <v/>
      </c>
      <c r="CB85" s="11" t="str">
        <f t="shared" si="109"/>
        <v/>
      </c>
    </row>
    <row r="86" spans="1:80" ht="14.65" x14ac:dyDescent="0.45">
      <c r="A86" s="37"/>
      <c r="B86" s="14">
        <v>24</v>
      </c>
      <c r="C86" s="37"/>
      <c r="D86" s="37"/>
      <c r="E86" s="37"/>
      <c r="F86" s="37" t="str">
        <f t="shared" si="55"/>
        <v/>
      </c>
      <c r="G86" s="38"/>
      <c r="H86" s="37"/>
      <c r="I86" s="37" t="str">
        <f t="shared" si="56"/>
        <v/>
      </c>
      <c r="J86" s="37" t="str">
        <f t="shared" si="57"/>
        <v/>
      </c>
      <c r="K86" s="37" t="str">
        <f t="shared" si="58"/>
        <v/>
      </c>
      <c r="L86" s="37" t="str">
        <f t="shared" si="59"/>
        <v/>
      </c>
      <c r="M86" s="37" t="str">
        <f t="shared" si="60"/>
        <v/>
      </c>
      <c r="N86" s="37" t="str">
        <f t="shared" si="61"/>
        <v/>
      </c>
      <c r="O86" s="37" t="str">
        <f t="shared" si="62"/>
        <v/>
      </c>
      <c r="P86" s="37" t="str">
        <f t="shared" si="63"/>
        <v/>
      </c>
      <c r="Q86" s="37" t="str">
        <f>IF($X86=0,"",NEC_UNIDAD($W86,$E86,$Y86,$Z86,N($AT86),$C$7,OCUPACION))</f>
        <v/>
      </c>
      <c r="R86" s="37" t="str">
        <f>IF($X86=0,"",BREAKER_SEL($BX$60,$BI86,$AT86,$C$7,$BX$58,$BX$69,$BJ86))</f>
        <v/>
      </c>
      <c r="S86" s="37"/>
      <c r="T86" s="37"/>
      <c r="U86" s="37"/>
      <c r="V86" s="37"/>
      <c r="W86" s="11" t="str">
        <f t="shared" si="64"/>
        <v/>
      </c>
      <c r="X86" s="39">
        <f t="shared" si="65"/>
        <v>0</v>
      </c>
      <c r="Y86" s="11">
        <f t="shared" si="66"/>
        <v>0</v>
      </c>
      <c r="Z86" s="11">
        <f t="shared" si="67"/>
        <v>0</v>
      </c>
      <c r="AA86" s="11">
        <f t="shared" si="68"/>
        <v>0</v>
      </c>
      <c r="AB86" s="11">
        <f t="shared" si="69"/>
        <v>1</v>
      </c>
      <c r="AC86" s="11">
        <f t="shared" si="70"/>
        <v>1</v>
      </c>
      <c r="AD86" s="11">
        <f t="shared" si="71"/>
        <v>1</v>
      </c>
      <c r="AE86" s="11" t="str">
        <f t="shared" si="72"/>
        <v/>
      </c>
      <c r="AF86" s="11">
        <f t="shared" si="73"/>
        <v>1.25</v>
      </c>
      <c r="AG86" s="11">
        <f t="shared" si="74"/>
        <v>2</v>
      </c>
      <c r="AH86" s="11">
        <f t="shared" si="75"/>
        <v>-1</v>
      </c>
      <c r="AI86" s="11">
        <f t="shared" si="76"/>
        <v>-1</v>
      </c>
      <c r="AJ86" s="39">
        <f t="shared" si="77"/>
        <v>0</v>
      </c>
      <c r="AK86" s="39">
        <f t="shared" si="78"/>
        <v>0</v>
      </c>
      <c r="AL86" s="39">
        <f t="shared" si="79"/>
        <v>0</v>
      </c>
      <c r="AM86" s="11">
        <f t="shared" si="80"/>
        <v>0</v>
      </c>
      <c r="AN86" s="11">
        <f t="shared" si="81"/>
        <v>0</v>
      </c>
      <c r="AO86" s="11">
        <f t="shared" si="82"/>
        <v>0</v>
      </c>
      <c r="AP86" s="40">
        <f t="shared" si="83"/>
        <v>0</v>
      </c>
      <c r="AQ86" s="40">
        <f t="shared" si="84"/>
        <v>0</v>
      </c>
      <c r="AR86" s="40">
        <f t="shared" si="85"/>
        <v>0</v>
      </c>
      <c r="AS86" s="40" t="str">
        <f t="shared" si="86"/>
        <v/>
      </c>
      <c r="AT86" s="11" t="str">
        <f t="shared" si="87"/>
        <v/>
      </c>
      <c r="AU86" s="11">
        <f t="shared" si="88"/>
        <v>1</v>
      </c>
      <c r="AV86" s="11">
        <f t="shared" si="89"/>
        <v>1</v>
      </c>
      <c r="AW86" s="11" t="str">
        <f t="shared" si="90"/>
        <v/>
      </c>
      <c r="AX86" s="11" t="str">
        <f t="shared" si="91"/>
        <v/>
      </c>
      <c r="AY86" s="11" t="str">
        <f t="shared" si="92"/>
        <v/>
      </c>
      <c r="AZ86" s="11" t="str">
        <f t="shared" si="93"/>
        <v/>
      </c>
      <c r="BA86" s="11" t="str">
        <f t="shared" si="94"/>
        <v/>
      </c>
      <c r="BB86" s="11" t="str">
        <f t="shared" si="95"/>
        <v/>
      </c>
      <c r="BC86" s="11" t="str">
        <f t="shared" si="96"/>
        <v/>
      </c>
      <c r="BD86" s="11" t="str">
        <f t="shared" si="97"/>
        <v/>
      </c>
      <c r="BE86" s="39" t="str">
        <f t="shared" si="98"/>
        <v/>
      </c>
      <c r="BF86" s="11" t="str">
        <f t="shared" si="99"/>
        <v/>
      </c>
      <c r="BG86" s="11" t="str">
        <f t="shared" si="100"/>
        <v/>
      </c>
      <c r="BH86" s="39" t="str">
        <f t="shared" si="101"/>
        <v/>
      </c>
      <c r="BI86" s="11" t="str">
        <f t="shared" si="102"/>
        <v/>
      </c>
      <c r="BJ86" s="11" t="str">
        <f>IF($X86=0,"",IF($Q86&lt;&gt;"",$Q86,NEC_UNIDAD($W86,$E86,$Y86,$Z86,N($AT86),$C$7,OCUPACION)))</f>
        <v/>
      </c>
      <c r="BK86" s="11" t="str">
        <f>IF($X86=0,"",IF(N($R86)&gt;0,$R86,BREAKER_SEL($BX$60,$BI86,$AT86,$C$7,$BX$58,$BX$69,$BJ86)))</f>
        <v/>
      </c>
      <c r="BL86" s="11" t="str">
        <f>IF($BK86="","",BREAKER_REF($BX$60,$BK86,$BI86,$AT86,FALSE))</f>
        <v/>
      </c>
      <c r="BM86" s="11" t="str">
        <f>IF($BK86="","",BREAKER_DATO($BX$60,$BK86,"sccr"))</f>
        <v/>
      </c>
      <c r="BN86" s="11" t="str">
        <f>IF(OR($BK86="",N($BM86)&gt;=$BX$58,$BX$71="",N($BX$74)&lt;$BX$58),"",SERIE_KA($BX$60,BREAKER_DATO($BX$60,$BK86,"modelo"),$BX$72,N($BX$24),$C$7,$BX$58))</f>
        <v/>
      </c>
      <c r="BO86" s="11" t="str">
        <f>IF($BK86="","",BREAKER_DATO($BX$60,$BK86,"unidad"))</f>
        <v/>
      </c>
      <c r="BP86" s="11" t="str">
        <f>IF($BK86="","",BREAKER_DATO($BX$60,$BK86,"marco"))</f>
        <v/>
      </c>
      <c r="BQ86" s="11" t="str">
        <f t="shared" si="103"/>
        <v/>
      </c>
      <c r="BR86" s="11" t="str">
        <f t="shared" si="104"/>
        <v/>
      </c>
      <c r="BS86" s="11" t="str">
        <f t="shared" si="105"/>
        <v/>
      </c>
      <c r="BT86" s="11" t="str">
        <f t="shared" si="106"/>
        <v/>
      </c>
      <c r="BU86" s="11" t="str">
        <f t="shared" si="107"/>
        <v/>
      </c>
      <c r="BW86" t="s">
        <v>801</v>
      </c>
      <c r="BX86" t="str">
        <f>IF(BX85="","",PARTEN(BX85,1))</f>
        <v/>
      </c>
      <c r="CA86" s="11" t="str">
        <f t="shared" si="108"/>
        <v/>
      </c>
      <c r="CB86" s="11" t="str">
        <f t="shared" si="109"/>
        <v/>
      </c>
    </row>
    <row r="87" spans="1:80" ht="14.65" x14ac:dyDescent="0.45">
      <c r="A87" s="37"/>
      <c r="B87" s="14">
        <v>26</v>
      </c>
      <c r="C87" s="37"/>
      <c r="D87" s="37"/>
      <c r="E87" s="37"/>
      <c r="F87" s="37" t="str">
        <f t="shared" si="55"/>
        <v/>
      </c>
      <c r="G87" s="38"/>
      <c r="H87" s="37"/>
      <c r="I87" s="37" t="str">
        <f t="shared" si="56"/>
        <v/>
      </c>
      <c r="J87" s="37" t="str">
        <f t="shared" si="57"/>
        <v/>
      </c>
      <c r="K87" s="37" t="str">
        <f t="shared" si="58"/>
        <v/>
      </c>
      <c r="L87" s="37" t="str">
        <f t="shared" si="59"/>
        <v/>
      </c>
      <c r="M87" s="37" t="str">
        <f t="shared" si="60"/>
        <v/>
      </c>
      <c r="N87" s="37" t="str">
        <f t="shared" si="61"/>
        <v/>
      </c>
      <c r="O87" s="37" t="str">
        <f t="shared" si="62"/>
        <v/>
      </c>
      <c r="P87" s="37" t="str">
        <f t="shared" si="63"/>
        <v/>
      </c>
      <c r="Q87" s="37" t="str">
        <f>IF($X87=0,"",NEC_UNIDAD($W87,$E87,$Y87,$Z87,N($AT87),$C$7,OCUPACION))</f>
        <v/>
      </c>
      <c r="R87" s="37" t="str">
        <f>IF($X87=0,"",BREAKER_SEL($BX$60,$BI87,$AT87,$C$7,$BX$58,$BX$69,$BJ87))</f>
        <v/>
      </c>
      <c r="S87" s="37"/>
      <c r="T87" s="37"/>
      <c r="U87" s="37"/>
      <c r="V87" s="37"/>
      <c r="W87" s="11" t="str">
        <f t="shared" si="64"/>
        <v/>
      </c>
      <c r="X87" s="39">
        <f t="shared" si="65"/>
        <v>0</v>
      </c>
      <c r="Y87" s="11">
        <f t="shared" si="66"/>
        <v>0</v>
      </c>
      <c r="Z87" s="11">
        <f t="shared" si="67"/>
        <v>0</v>
      </c>
      <c r="AA87" s="11">
        <f t="shared" si="68"/>
        <v>0</v>
      </c>
      <c r="AB87" s="11">
        <f t="shared" si="69"/>
        <v>1</v>
      </c>
      <c r="AC87" s="11">
        <f t="shared" si="70"/>
        <v>1</v>
      </c>
      <c r="AD87" s="11">
        <f t="shared" si="71"/>
        <v>1</v>
      </c>
      <c r="AE87" s="11" t="str">
        <f t="shared" si="72"/>
        <v/>
      </c>
      <c r="AF87" s="11">
        <f t="shared" si="73"/>
        <v>1.25</v>
      </c>
      <c r="AG87" s="11">
        <f t="shared" si="74"/>
        <v>0</v>
      </c>
      <c r="AH87" s="11">
        <f t="shared" si="75"/>
        <v>-1</v>
      </c>
      <c r="AI87" s="11">
        <f t="shared" si="76"/>
        <v>-1</v>
      </c>
      <c r="AJ87" s="39">
        <f t="shared" si="77"/>
        <v>0</v>
      </c>
      <c r="AK87" s="39">
        <f t="shared" si="78"/>
        <v>0</v>
      </c>
      <c r="AL87" s="39">
        <f t="shared" si="79"/>
        <v>0</v>
      </c>
      <c r="AM87" s="11">
        <f t="shared" si="80"/>
        <v>0</v>
      </c>
      <c r="AN87" s="11">
        <f t="shared" si="81"/>
        <v>0</v>
      </c>
      <c r="AO87" s="11">
        <f t="shared" si="82"/>
        <v>0</v>
      </c>
      <c r="AP87" s="40">
        <f t="shared" si="83"/>
        <v>0</v>
      </c>
      <c r="AQ87" s="40">
        <f t="shared" si="84"/>
        <v>0</v>
      </c>
      <c r="AR87" s="40">
        <f t="shared" si="85"/>
        <v>0</v>
      </c>
      <c r="AS87" s="40" t="str">
        <f t="shared" si="86"/>
        <v/>
      </c>
      <c r="AT87" s="11" t="str">
        <f t="shared" si="87"/>
        <v/>
      </c>
      <c r="AU87" s="11">
        <f t="shared" si="88"/>
        <v>1</v>
      </c>
      <c r="AV87" s="11">
        <f t="shared" si="89"/>
        <v>1</v>
      </c>
      <c r="AW87" s="11" t="str">
        <f t="shared" si="90"/>
        <v/>
      </c>
      <c r="AX87" s="11" t="str">
        <f t="shared" si="91"/>
        <v/>
      </c>
      <c r="AY87" s="11" t="str">
        <f t="shared" si="92"/>
        <v/>
      </c>
      <c r="AZ87" s="11" t="str">
        <f t="shared" si="93"/>
        <v/>
      </c>
      <c r="BA87" s="11" t="str">
        <f t="shared" si="94"/>
        <v/>
      </c>
      <c r="BB87" s="11" t="str">
        <f t="shared" si="95"/>
        <v/>
      </c>
      <c r="BC87" s="11" t="str">
        <f t="shared" si="96"/>
        <v/>
      </c>
      <c r="BD87" s="11" t="str">
        <f t="shared" si="97"/>
        <v/>
      </c>
      <c r="BE87" s="39" t="str">
        <f t="shared" si="98"/>
        <v/>
      </c>
      <c r="BF87" s="11" t="str">
        <f t="shared" si="99"/>
        <v/>
      </c>
      <c r="BG87" s="11" t="str">
        <f t="shared" si="100"/>
        <v/>
      </c>
      <c r="BH87" s="39" t="str">
        <f t="shared" si="101"/>
        <v/>
      </c>
      <c r="BI87" s="11" t="str">
        <f t="shared" si="102"/>
        <v/>
      </c>
      <c r="BJ87" s="11" t="str">
        <f>IF($X87=0,"",IF($Q87&lt;&gt;"",$Q87,NEC_UNIDAD($W87,$E87,$Y87,$Z87,N($AT87),$C$7,OCUPACION)))</f>
        <v/>
      </c>
      <c r="BK87" s="11" t="str">
        <f>IF($X87=0,"",IF(N($R87)&gt;0,$R87,BREAKER_SEL($BX$60,$BI87,$AT87,$C$7,$BX$58,$BX$69,$BJ87)))</f>
        <v/>
      </c>
      <c r="BL87" s="11" t="str">
        <f>IF($BK87="","",BREAKER_REF($BX$60,$BK87,$BI87,$AT87,FALSE))</f>
        <v/>
      </c>
      <c r="BM87" s="11" t="str">
        <f>IF($BK87="","",BREAKER_DATO($BX$60,$BK87,"sccr"))</f>
        <v/>
      </c>
      <c r="BN87" s="11" t="str">
        <f>IF(OR($BK87="",N($BM87)&gt;=$BX$58,$BX$71="",N($BX$74)&lt;$BX$58),"",SERIE_KA($BX$60,BREAKER_DATO($BX$60,$BK87,"modelo"),$BX$72,N($BX$24),$C$7,$BX$58))</f>
        <v/>
      </c>
      <c r="BO87" s="11" t="str">
        <f>IF($BK87="","",BREAKER_DATO($BX$60,$BK87,"unidad"))</f>
        <v/>
      </c>
      <c r="BP87" s="11" t="str">
        <f>IF($BK87="","",BREAKER_DATO($BX$60,$BK87,"marco"))</f>
        <v/>
      </c>
      <c r="BQ87" s="11" t="str">
        <f t="shared" si="103"/>
        <v/>
      </c>
      <c r="BR87" s="11" t="str">
        <f t="shared" si="104"/>
        <v/>
      </c>
      <c r="BS87" s="11" t="str">
        <f t="shared" si="105"/>
        <v/>
      </c>
      <c r="BT87" s="11" t="str">
        <f t="shared" si="106"/>
        <v/>
      </c>
      <c r="BU87" s="11" t="str">
        <f t="shared" si="107"/>
        <v/>
      </c>
      <c r="BW87" t="s">
        <v>802</v>
      </c>
      <c r="BX87" t="str">
        <f>IF(BX85="","",PARTE(BX85,2))</f>
        <v/>
      </c>
      <c r="CA87" s="11" t="str">
        <f t="shared" si="108"/>
        <v/>
      </c>
      <c r="CB87" s="11" t="str">
        <f t="shared" si="109"/>
        <v/>
      </c>
    </row>
    <row r="88" spans="1:80" ht="14.65" x14ac:dyDescent="0.45">
      <c r="A88" s="37"/>
      <c r="B88" s="14">
        <v>28</v>
      </c>
      <c r="C88" s="37"/>
      <c r="D88" s="37"/>
      <c r="E88" s="37"/>
      <c r="F88" s="37" t="str">
        <f t="shared" si="55"/>
        <v/>
      </c>
      <c r="G88" s="38"/>
      <c r="H88" s="37"/>
      <c r="I88" s="37" t="str">
        <f t="shared" si="56"/>
        <v/>
      </c>
      <c r="J88" s="37" t="str">
        <f t="shared" si="57"/>
        <v/>
      </c>
      <c r="K88" s="37" t="str">
        <f t="shared" si="58"/>
        <v/>
      </c>
      <c r="L88" s="37" t="str">
        <f t="shared" si="59"/>
        <v/>
      </c>
      <c r="M88" s="37" t="str">
        <f t="shared" si="60"/>
        <v/>
      </c>
      <c r="N88" s="37" t="str">
        <f t="shared" si="61"/>
        <v/>
      </c>
      <c r="O88" s="37" t="str">
        <f t="shared" si="62"/>
        <v/>
      </c>
      <c r="P88" s="37" t="str">
        <f t="shared" si="63"/>
        <v/>
      </c>
      <c r="Q88" s="37" t="str">
        <f>IF($X88=0,"",NEC_UNIDAD($W88,$E88,$Y88,$Z88,N($AT88),$C$7,OCUPACION))</f>
        <v/>
      </c>
      <c r="R88" s="37" t="str">
        <f>IF($X88=0,"",BREAKER_SEL($BX$60,$BI88,$AT88,$C$7,$BX$58,$BX$69,$BJ88))</f>
        <v/>
      </c>
      <c r="S88" s="37"/>
      <c r="T88" s="37"/>
      <c r="U88" s="37"/>
      <c r="V88" s="37"/>
      <c r="W88" s="11" t="str">
        <f t="shared" si="64"/>
        <v/>
      </c>
      <c r="X88" s="39">
        <f t="shared" si="65"/>
        <v>0</v>
      </c>
      <c r="Y88" s="11">
        <f t="shared" si="66"/>
        <v>0</v>
      </c>
      <c r="Z88" s="11">
        <f t="shared" si="67"/>
        <v>0</v>
      </c>
      <c r="AA88" s="11">
        <f t="shared" si="68"/>
        <v>0</v>
      </c>
      <c r="AB88" s="11">
        <f t="shared" si="69"/>
        <v>1</v>
      </c>
      <c r="AC88" s="11">
        <f t="shared" si="70"/>
        <v>1</v>
      </c>
      <c r="AD88" s="11">
        <f t="shared" si="71"/>
        <v>1</v>
      </c>
      <c r="AE88" s="11" t="str">
        <f t="shared" si="72"/>
        <v/>
      </c>
      <c r="AF88" s="11">
        <f t="shared" si="73"/>
        <v>1.25</v>
      </c>
      <c r="AG88" s="11">
        <f t="shared" si="74"/>
        <v>1</v>
      </c>
      <c r="AH88" s="11">
        <f t="shared" si="75"/>
        <v>-1</v>
      </c>
      <c r="AI88" s="11">
        <f t="shared" si="76"/>
        <v>-1</v>
      </c>
      <c r="AJ88" s="39">
        <f t="shared" si="77"/>
        <v>0</v>
      </c>
      <c r="AK88" s="39">
        <f t="shared" si="78"/>
        <v>0</v>
      </c>
      <c r="AL88" s="39">
        <f t="shared" si="79"/>
        <v>0</v>
      </c>
      <c r="AM88" s="11">
        <f t="shared" si="80"/>
        <v>0</v>
      </c>
      <c r="AN88" s="11">
        <f t="shared" si="81"/>
        <v>0</v>
      </c>
      <c r="AO88" s="11">
        <f t="shared" si="82"/>
        <v>0</v>
      </c>
      <c r="AP88" s="40">
        <f t="shared" si="83"/>
        <v>0</v>
      </c>
      <c r="AQ88" s="40">
        <f t="shared" si="84"/>
        <v>0</v>
      </c>
      <c r="AR88" s="40">
        <f t="shared" si="85"/>
        <v>0</v>
      </c>
      <c r="AS88" s="40" t="str">
        <f t="shared" si="86"/>
        <v/>
      </c>
      <c r="AT88" s="11" t="str">
        <f t="shared" si="87"/>
        <v/>
      </c>
      <c r="AU88" s="11">
        <f t="shared" si="88"/>
        <v>1</v>
      </c>
      <c r="AV88" s="11">
        <f t="shared" si="89"/>
        <v>1</v>
      </c>
      <c r="AW88" s="11" t="str">
        <f t="shared" si="90"/>
        <v/>
      </c>
      <c r="AX88" s="11" t="str">
        <f t="shared" si="91"/>
        <v/>
      </c>
      <c r="AY88" s="11" t="str">
        <f t="shared" si="92"/>
        <v/>
      </c>
      <c r="AZ88" s="11" t="str">
        <f t="shared" si="93"/>
        <v/>
      </c>
      <c r="BA88" s="11" t="str">
        <f t="shared" si="94"/>
        <v/>
      </c>
      <c r="BB88" s="11" t="str">
        <f t="shared" si="95"/>
        <v/>
      </c>
      <c r="BC88" s="11" t="str">
        <f t="shared" si="96"/>
        <v/>
      </c>
      <c r="BD88" s="11" t="str">
        <f t="shared" si="97"/>
        <v/>
      </c>
      <c r="BE88" s="39" t="str">
        <f t="shared" si="98"/>
        <v/>
      </c>
      <c r="BF88" s="11" t="str">
        <f t="shared" si="99"/>
        <v/>
      </c>
      <c r="BG88" s="11" t="str">
        <f t="shared" si="100"/>
        <v/>
      </c>
      <c r="BH88" s="39" t="str">
        <f t="shared" si="101"/>
        <v/>
      </c>
      <c r="BI88" s="11" t="str">
        <f t="shared" si="102"/>
        <v/>
      </c>
      <c r="BJ88" s="11" t="str">
        <f>IF($X88=0,"",IF($Q88&lt;&gt;"",$Q88,NEC_UNIDAD($W88,$E88,$Y88,$Z88,N($AT88),$C$7,OCUPACION)))</f>
        <v/>
      </c>
      <c r="BK88" s="11" t="str">
        <f>IF($X88=0,"",IF(N($R88)&gt;0,$R88,BREAKER_SEL($BX$60,$BI88,$AT88,$C$7,$BX$58,$BX$69,$BJ88)))</f>
        <v/>
      </c>
      <c r="BL88" s="11" t="str">
        <f>IF($BK88="","",BREAKER_REF($BX$60,$BK88,$BI88,$AT88,FALSE))</f>
        <v/>
      </c>
      <c r="BM88" s="11" t="str">
        <f>IF($BK88="","",BREAKER_DATO($BX$60,$BK88,"sccr"))</f>
        <v/>
      </c>
      <c r="BN88" s="11" t="str">
        <f>IF(OR($BK88="",N($BM88)&gt;=$BX$58,$BX$71="",N($BX$74)&lt;$BX$58),"",SERIE_KA($BX$60,BREAKER_DATO($BX$60,$BK88,"modelo"),$BX$72,N($BX$24),$C$7,$BX$58))</f>
        <v/>
      </c>
      <c r="BO88" s="11" t="str">
        <f>IF($BK88="","",BREAKER_DATO($BX$60,$BK88,"unidad"))</f>
        <v/>
      </c>
      <c r="BP88" s="11" t="str">
        <f>IF($BK88="","",BREAKER_DATO($BX$60,$BK88,"marco"))</f>
        <v/>
      </c>
      <c r="BQ88" s="11" t="str">
        <f t="shared" si="103"/>
        <v/>
      </c>
      <c r="BR88" s="11" t="str">
        <f t="shared" si="104"/>
        <v/>
      </c>
      <c r="BS88" s="11" t="str">
        <f t="shared" si="105"/>
        <v/>
      </c>
      <c r="BT88" s="11" t="str">
        <f t="shared" si="106"/>
        <v/>
      </c>
      <c r="BU88" s="11" t="str">
        <f t="shared" si="107"/>
        <v/>
      </c>
      <c r="BW88" t="s">
        <v>803</v>
      </c>
      <c r="BX88" t="str">
        <f>IF(N(BX111)=0,"",IF(N($I$23)&gt;0,P2P(BX111,BX31,IF($F$4="","XHHW-2",$F$4),IF($F$5="","EMT",$F$5),BX30,N($I$23),$C$7,$C$8,ICC_LMAX),BX111))</f>
        <v/>
      </c>
      <c r="CA88" s="11" t="str">
        <f t="shared" si="108"/>
        <v/>
      </c>
      <c r="CB88" s="11" t="str">
        <f t="shared" si="109"/>
        <v/>
      </c>
    </row>
    <row r="89" spans="1:80" ht="14.65" x14ac:dyDescent="0.45">
      <c r="A89" s="37"/>
      <c r="B89" s="14">
        <v>30</v>
      </c>
      <c r="C89" s="37"/>
      <c r="D89" s="37"/>
      <c r="E89" s="37"/>
      <c r="F89" s="37" t="str">
        <f t="shared" ref="F89:F124" si="110">IF($E89="","",IFERROR(VLOOKUP($E89,T_DET,3,FALSE),""))</f>
        <v/>
      </c>
      <c r="G89" s="38"/>
      <c r="H89" s="37"/>
      <c r="I89" s="37" t="str">
        <f t="shared" ref="I89:I124" si="111">IF($E89="","",IFERROR(VLOOKUP($E89,T_DET,11,FALSE)*100,125))</f>
        <v/>
      </c>
      <c r="J89" s="37" t="str">
        <f t="shared" ref="J89:J124" si="112">IF($E89="","",IFERROR(VLOOKUP($E89,T_DET,7,FALSE),1))</f>
        <v/>
      </c>
      <c r="K89" s="37" t="str">
        <f t="shared" ref="K89:K124" si="113">IF($E89="","",IFERROR(VLOOKUP($E89,T_DET,8,FALSE),1))</f>
        <v/>
      </c>
      <c r="L89" s="37" t="str">
        <f t="shared" ref="L89:L124" si="114">IF(AND($E89="",$G89=""),"","CU")</f>
        <v/>
      </c>
      <c r="M89" s="37" t="str">
        <f t="shared" ref="M89:M124" si="115">IF(AND($E89="",$G89=""),"","THHN")</f>
        <v/>
      </c>
      <c r="N89" s="37" t="str">
        <f t="shared" ref="N89:N124" si="116">IF($AS89="","",IF($AS89&gt;1600,5,IF($AS89&gt;1000,4,IF($AS89&gt;600,3,IF($AS89&gt;300,2,1)))))</f>
        <v/>
      </c>
      <c r="O89" s="37" t="str">
        <f t="shared" ref="O89:O124" si="117">IF(AND($E89="",$G89=""),"",0)</f>
        <v/>
      </c>
      <c r="P89" s="37" t="str">
        <f t="shared" ref="P89:P124" si="118">IF($AS89="","",VLOOKUP($AS89,T_PROT,2,TRUE))</f>
        <v/>
      </c>
      <c r="Q89" s="37" t="str">
        <f>IF($X89=0,"",NEC_UNIDAD($W89,$E89,$Y89,$Z89,N($AT89),$C$7,OCUPACION))</f>
        <v/>
      </c>
      <c r="R89" s="37" t="str">
        <f>IF($X89=0,"",BREAKER_SEL($BX$60,$BI89,$AT89,$C$7,$BX$58,$BX$69,$BJ89))</f>
        <v/>
      </c>
      <c r="S89" s="37"/>
      <c r="T89" s="37"/>
      <c r="U89" s="37"/>
      <c r="V89" s="37"/>
      <c r="W89" s="11" t="str">
        <f t="shared" ref="W89:W124" si="119">IF($F89&lt;&gt;"",$F89,IFERROR(VLOOKUP($E89,T_DET,3,FALSE),""))</f>
        <v/>
      </c>
      <c r="X89" s="39">
        <f t="shared" ref="X89:X124" si="120">IF(ISNUMBER($G89),$G89,0)</f>
        <v>0</v>
      </c>
      <c r="Y89" s="11">
        <f t="shared" ref="Y89:Y124" si="121">IFERROR(VLOOKUP($E89,T_DET,4,FALSE),0)</f>
        <v>0</v>
      </c>
      <c r="Z89" s="11">
        <f t="shared" ref="Z89:Z124" si="122">IFERROR(IF(AND(VLOOKUP($E89,T_DET,5,FALSE)=1,VLOOKUP($E89,T_DET,4,FALSE)&gt;=208,VLOOKUP($E89,T_DET,4,FALSE)&lt;=240,COUNT($B89:$D89)=2),2,VLOOKUP($E89,T_DET,5,FALSE)),0)</f>
        <v>0</v>
      </c>
      <c r="AA89" s="11">
        <f t="shared" ref="AA89:AA124" si="123">IFERROR(VLOOKUP($E89,T_DET,6,FALSE),0)</f>
        <v>0</v>
      </c>
      <c r="AB89" s="11">
        <f t="shared" ref="AB89:AB124" si="124">IF(ISNUMBER($J89),$J89,IFERROR(VLOOKUP($E89,T_DET,7,FALSE),1))</f>
        <v>1</v>
      </c>
      <c r="AC89" s="11">
        <f t="shared" ref="AC89:AC124" si="125">IF(AND(N($K89)&gt;0,N($K89)&lt;=1),$K89,IFERROR(VLOOKUP($E89,T_DET,8,FALSE),1))</f>
        <v>1</v>
      </c>
      <c r="AD89" s="11">
        <f t="shared" ref="AD89:AD124" si="126">IFERROR(VLOOKUP($E89,T_DET,9,FALSE),1)</f>
        <v>1</v>
      </c>
      <c r="AE89" s="11" t="str">
        <f t="shared" ref="AE89:AE124" si="127">IFERROR(VLOOKUP($E89,T_DET,2,FALSE),"")</f>
        <v/>
      </c>
      <c r="AF89" s="11">
        <f t="shared" ref="AF89:AF124" si="128">IF(ISNUMBER($I89),$I89/100,IFERROR(VLOOKUP($E89,T_DET,11,FALSE),1.25))</f>
        <v>1.25</v>
      </c>
      <c r="AG89" s="11">
        <f t="shared" ref="AG89:AG124" si="129">IF(N($B89)&gt;0,MOD(INT(($B89-1)/2),IF($C$8=3,3,2)),-1)</f>
        <v>2</v>
      </c>
      <c r="AH89" s="11">
        <f t="shared" ref="AH89:AH124" si="130">IF(N($CA89)&gt;0,MOD(INT(($CA89-1)/2),IF($C$8=3,3,2)),-1)</f>
        <v>-1</v>
      </c>
      <c r="AI89" s="11">
        <f t="shared" ref="AI89:AI124" si="131">IF(N($CB89)&gt;0,MOD(INT(($CB89-1)/2),IF($C$8=3,3,2)),-1)</f>
        <v>-1</v>
      </c>
      <c r="AJ89" s="39">
        <f t="shared" ref="AJ89:AJ124" si="132">IF(OR($X89=0,$Z89=0),0,IF($C$8=1,$X89,IF(OR($AG89=0,$AH89=0,$AI89=0),$X89/$Z89,0)))</f>
        <v>0</v>
      </c>
      <c r="AK89" s="39">
        <f t="shared" ref="AK89:AK124" si="133">IF(OR($X89=0,$Z89=0,$C$8=1),0,IF(OR($AG89=1,$AH89=1,$AI89=1),$X89/$Z89,0))</f>
        <v>0</v>
      </c>
      <c r="AL89" s="39">
        <f t="shared" ref="AL89:AL124" si="134">IF(OR($X89=0,$Z89=0,$C$8&lt;3),0,IF(OR($AG89=2,$AH89=2,$AI89=2),$X89/$Z89,0))</f>
        <v>0</v>
      </c>
      <c r="AM89" s="11">
        <f t="shared" ref="AM89:AM124" si="135">$AJ89*$AB89*$AC89</f>
        <v>0</v>
      </c>
      <c r="AN89" s="11">
        <f t="shared" ref="AN89:AN124" si="136">$AK89*$AB89*$AC89</f>
        <v>0</v>
      </c>
      <c r="AO89" s="11">
        <f t="shared" ref="AO89:AO124" si="137">$AL89*$AB89*$AC89</f>
        <v>0</v>
      </c>
      <c r="AP89" s="40">
        <f t="shared" ref="AP89:AP124" si="138">IF($AJ89=0,0,IF(AND($Y89=120,$Z89=1),$AM89*1000/$Y89,IF(AND($Y89=208,$Z89=1),$AM89*1000/$Y89,IF(AND($Y89=208,$Z89=2),$AJ89*2*1000/$Y89,IF(AND($Y89=230,$Z89=1),$AM89*1000/$Y89,IF(AND($Y89=240,$Z89=1),$AM89*1000/($Y89/2),IF(AND($Y89=277,$Z89=1),$AM89*1000/$Y89,$AM89*1000/($Y89/1.732))))))))</f>
        <v>0</v>
      </c>
      <c r="AQ89" s="40">
        <f t="shared" ref="AQ89:AQ124" si="139">IF($AK89=0,0,IF(AND($Y89=120,$Z89=1),$AN89*1000/$Y89,IF(AND($Y89=208,$Z89=1),$AN89*1000/$Y89,IF(AND($Y89=208,$Z89=2),$AK89*2*1000/$Y89,IF(AND($Y89=230,$Z89=1),$AN89*1000/$Y89,IF(AND($Y89=240,$Z89=1),$AN89*1000/($Y89/2),IF(AND($Y89=277,$Z89=1),$AN89*1000/$Y89,$AN89*1000/($Y89/1.732))))))))</f>
        <v>0</v>
      </c>
      <c r="AR89" s="40">
        <f t="shared" ref="AR89:AR124" si="140">IF($AL89=0,0,IF(AND($Y89=120,$Z89=1),$AO89*1000/$Y89,IF(AND($Y89=208,$Z89=1),$AO89*1000/$Y89,IF(AND($Y89=208,$Z89=2),$AL89*2*1000/$Y89,IF(AND($Y89=230,$Z89=1),$AO89*1000/$Y89,IF(AND($Y89=240,$Z89=1),$AO89*1000/($Y89/2),IF(AND($Y89=277,$Z89=1),$AO89*1000/$Y89,$AO89*1000/($Y89/1.732))))))))</f>
        <v>0</v>
      </c>
      <c r="AS89" s="40" t="str">
        <f t="shared" ref="AS89:AS124" si="141">IF($X89=0,"",IF($C$8=3,MAX($AP89:$AR89),IF($AJ89&gt;0,$AP89,IF($AK89&gt;0,$AQ89,$AR89)))*$AF89)</f>
        <v/>
      </c>
      <c r="AT89" s="11" t="str">
        <f t="shared" ref="AT89:AT124" si="142">IF($AS89="","",IF(N($P89)&gt;0,$P89,VLOOKUP($AS89,T_PROT,2,TRUE)))</f>
        <v/>
      </c>
      <c r="AU89" s="11">
        <f t="shared" ref="AU89:AU124" si="143">IF($AS89="",1,IF(N($N89)&gt;0,$N89,IF($AS89&gt;1600,5,IF($AS89&gt;1000,4,IF($AS89&gt;600,3,IF($AS89&gt;300,2,1))))))</f>
        <v>1</v>
      </c>
      <c r="AV89" s="11">
        <f t="shared" ref="AV89:AV124" si="144">1+N($O89)/100</f>
        <v>1</v>
      </c>
      <c r="AW89" s="11" t="str">
        <f t="shared" ref="AW89:AW124" si="145">IF($AT89="","",VLOOKUP($AT89*$AV89/$AU89,CHOOSE(IF(OR($L89="AL",$L89="AL-MC"),2,1),T_AMPCU,T_AMPAL),2,TRUE))</f>
        <v/>
      </c>
      <c r="AX89" s="11" t="str">
        <f t="shared" ref="AX89:AX124" si="146">IF($AW89="","",IF($AU89=1,"",$AU89&amp;"x")&amp;IF($Z89=3,"3#",IF(AND($Y89&gt;=208,$Y89&lt;=240),"2#","")))</f>
        <v/>
      </c>
      <c r="AY89" s="11" t="str">
        <f t="shared" ref="AY89:AY124" si="147">IF($AW89="","",IF($AA89=0,"",IF(AND($Y89&gt;=208,$Z89=3,$AA89=4),$AW89,IF(AND($Z89=3,$AA89=3),"",IF(AND($Y89&gt;=208,$Z89=1,$AA89=3),"",$AW89)))))</f>
        <v/>
      </c>
      <c r="AZ89" s="11" t="str">
        <f t="shared" ref="AZ89:AZ124" si="148">IF($AT89="","",INDEX(T_TIERRA,MATCH(TRUE,INDEX(T_TIERRA_A&gt;=$AT89,0),0),IFERROR(MATCH(IF($L89="","CU",$L89),T_TIERRA_H,0),1)))</f>
        <v/>
      </c>
      <c r="BA89" s="11" t="str">
        <f t="shared" ref="BA89:BA124" si="149">IF($AW89="","",IF(OR($L89="CU-MC",$L89="AL-MC"),"MC",IFERROR(VLOOKUP($AW89,T_CONDUIT,IF($M89="RHW",3,IF($M89="XHHW",4,2)),FALSE),"")))</f>
        <v/>
      </c>
      <c r="BB89" s="11" t="str">
        <f t="shared" ref="BB89:BB124" si="150">IF($AW89="","",IFERROR(INDEX(CHOOSE(IF(OR($L89="AL",$L89="AL-MC"),2,1),T_FAC_CU,T_FAC_AL),IF($AD89=1,1,IF($AD89&gt;0.949,2,IF($AD89&gt;0.899,3,IF($AD89&gt;0.799,4,99)))),MATCH($AW89,T_FAC_H,0)),""))</f>
        <v/>
      </c>
      <c r="BC89" s="11" t="str">
        <f t="shared" ref="BC89:BC124" si="151">IF($BB89="","",$BB89*IF(AND($Z89=1,OR($Y89=120,$Y89=230,$Y89=277)),1.1547,IF(AND($Z89=1,OR($Y89=208,$Y89=240)),1.15,1)))</f>
        <v/>
      </c>
      <c r="BD89" s="11" t="str">
        <f t="shared" ref="BD89:BD124" si="152">IF($X89=0,"",IF($Y89=$C$7,$BX$49,$BX$54))</f>
        <v/>
      </c>
      <c r="BE89" s="39" t="str">
        <f t="shared" ref="BE89:BE124" si="153">IF(OR($X89=0,$BC89=""),"",N($H89)*3.28*IF($AJ89&gt;0,$AP89,IF($AK89&gt;0,$AQ89,$AR89))*$BC89/(10000*$AU89))</f>
        <v/>
      </c>
      <c r="BF89" s="11" t="str">
        <f t="shared" ref="BF89:BF124" si="154">IF($BE89="","",$BD89-$BE89)</f>
        <v/>
      </c>
      <c r="BG89" s="11" t="str">
        <f t="shared" ref="BG89:BG124" si="155">IF($BF89="","",$Y89-$BF89)</f>
        <v/>
      </c>
      <c r="BH89" s="39" t="str">
        <f t="shared" ref="BH89:BH124" si="156">IF($BG89="","",$BG89*100/$Y89)</f>
        <v/>
      </c>
      <c r="BI89" s="11" t="str">
        <f t="shared" ref="BI89:BI124" si="157">IF($X89=0,"",IF($Z89=3,3,IF(AND($Y89&gt;=208,$Y89&lt;=240),2,MAX($Z89,1))))</f>
        <v/>
      </c>
      <c r="BJ89" s="11" t="str">
        <f>IF($X89=0,"",IF($Q89&lt;&gt;"",$Q89,NEC_UNIDAD($W89,$E89,$Y89,$Z89,N($AT89),$C$7,OCUPACION)))</f>
        <v/>
      </c>
      <c r="BK89" s="11" t="str">
        <f>IF($X89=0,"",IF(N($R89)&gt;0,$R89,BREAKER_SEL($BX$60,$BI89,$AT89,$C$7,$BX$58,$BX$69,$BJ89)))</f>
        <v/>
      </c>
      <c r="BL89" s="11" t="str">
        <f>IF($BK89="","",BREAKER_REF($BX$60,$BK89,$BI89,$AT89,FALSE))</f>
        <v/>
      </c>
      <c r="BM89" s="11" t="str">
        <f>IF($BK89="","",BREAKER_DATO($BX$60,$BK89,"sccr"))</f>
        <v/>
      </c>
      <c r="BN89" s="11" t="str">
        <f>IF(OR($BK89="",N($BM89)&gt;=$BX$58,$BX$71="",N($BX$74)&lt;$BX$58),"",SERIE_KA($BX$60,BREAKER_DATO($BX$60,$BK89,"modelo"),$BX$72,N($BX$24),$C$7,$BX$58))</f>
        <v/>
      </c>
      <c r="BO89" s="11" t="str">
        <f>IF($BK89="","",BREAKER_DATO($BX$60,$BK89,"unidad"))</f>
        <v/>
      </c>
      <c r="BP89" s="11" t="str">
        <f>IF($BK89="","",BREAKER_DATO($BX$60,$BK89,"marco"))</f>
        <v/>
      </c>
      <c r="BQ89" s="11" t="str">
        <f t="shared" ref="BQ89:BQ124" si="158">IF($AW89="","",$AX89&amp;$AW89)</f>
        <v/>
      </c>
      <c r="BR89" s="11" t="str">
        <f t="shared" ref="BR89:BR124" si="159">IF(OR($AY89="",$AW89=""),"",IF($AU89=1,"",$AU89&amp;"x")&amp;$AY89)</f>
        <v/>
      </c>
      <c r="BS89" s="11" t="str">
        <f t="shared" ref="BS89:BS124" si="160">IF($AZ89="","",IF($AU89=1,"",$AU89&amp;"x")&amp;$AZ89)</f>
        <v/>
      </c>
      <c r="BT89" s="11" t="str">
        <f t="shared" ref="BT89:BT124" si="161">IF($BA89="","",IF($AU89=1,"",$AU89&amp;"x")&amp;$BA89)</f>
        <v/>
      </c>
      <c r="BU89" s="11" t="str">
        <f t="shared" ref="BU89:BU124" si="162">IF($X89=0,"",TRIM(IF($E89="","Sin detalle de carga. ","")&amp;IF(N($BH89)&gt;CVMAX_TOT,"Caída "&amp;FIXED($BH89,2)&amp;" %. ","")&amp;IF(AND($BM89&lt;&gt;"",N($BM89)&lt;$BX$58,$BN89=""),"SCCR "&amp;$BM89&amp;" kA &lt; Icc. ","")&amp;IF(AND($Z89&gt;0,COUNT($B89:$D89)&gt;$Z89),"Más polos que fases del detalle. ","")&amp;IF(AND(COUNT($B89:$D89)&lt;$Z89,$Z89&gt;1),"Faltan polos: el detalle es de "&amp;$Z89&amp;" fases. ","")&amp;IF(COUNTIF($CA$25:$CB$124,$B89)&gt;0,"Posición ocupada por otro circuito. ","")&amp;IF($BN89&lt;&gt;"","Serie "&amp;$BN89&amp;" kA (110.22(C)). ","")))</f>
        <v/>
      </c>
      <c r="BW89" t="s">
        <v>804</v>
      </c>
      <c r="BX89" t="str">
        <f>IF(OR(BX87="",BX90=""),"",N($I$20)*3.28*BX39*BX90/(10000*BX86)+IF(OR(N($I$23)=0,BX38=""),0,N($I$23)*3.28*BX39*BX38/(10000*BX30)))</f>
        <v/>
      </c>
      <c r="CA89" s="11" t="str">
        <f t="shared" ref="CA89:CA124" si="163">IF(N($C89)&gt;0,$C89,"")</f>
        <v/>
      </c>
      <c r="CB89" s="11" t="str">
        <f t="shared" ref="CB89:CB124" si="164">IF(N($D89)&gt;0,$D89,"")</f>
        <v/>
      </c>
    </row>
    <row r="90" spans="1:80" ht="14.65" x14ac:dyDescent="0.45">
      <c r="A90" s="37"/>
      <c r="B90" s="14">
        <v>32</v>
      </c>
      <c r="C90" s="37"/>
      <c r="D90" s="37"/>
      <c r="E90" s="37"/>
      <c r="F90" s="37" t="str">
        <f t="shared" si="110"/>
        <v/>
      </c>
      <c r="G90" s="38"/>
      <c r="H90" s="37"/>
      <c r="I90" s="37" t="str">
        <f t="shared" si="111"/>
        <v/>
      </c>
      <c r="J90" s="37" t="str">
        <f t="shared" si="112"/>
        <v/>
      </c>
      <c r="K90" s="37" t="str">
        <f t="shared" si="113"/>
        <v/>
      </c>
      <c r="L90" s="37" t="str">
        <f t="shared" si="114"/>
        <v/>
      </c>
      <c r="M90" s="37" t="str">
        <f t="shared" si="115"/>
        <v/>
      </c>
      <c r="N90" s="37" t="str">
        <f t="shared" si="116"/>
        <v/>
      </c>
      <c r="O90" s="37" t="str">
        <f t="shared" si="117"/>
        <v/>
      </c>
      <c r="P90" s="37" t="str">
        <f t="shared" si="118"/>
        <v/>
      </c>
      <c r="Q90" s="37" t="str">
        <f>IF($X90=0,"",NEC_UNIDAD($W90,$E90,$Y90,$Z90,N($AT90),$C$7,OCUPACION))</f>
        <v/>
      </c>
      <c r="R90" s="37" t="str">
        <f>IF($X90=0,"",BREAKER_SEL($BX$60,$BI90,$AT90,$C$7,$BX$58,$BX$69,$BJ90))</f>
        <v/>
      </c>
      <c r="S90" s="37"/>
      <c r="T90" s="37"/>
      <c r="U90" s="37"/>
      <c r="V90" s="37"/>
      <c r="W90" s="11" t="str">
        <f t="shared" si="119"/>
        <v/>
      </c>
      <c r="X90" s="39">
        <f t="shared" si="120"/>
        <v>0</v>
      </c>
      <c r="Y90" s="11">
        <f t="shared" si="121"/>
        <v>0</v>
      </c>
      <c r="Z90" s="11">
        <f t="shared" si="122"/>
        <v>0</v>
      </c>
      <c r="AA90" s="11">
        <f t="shared" si="123"/>
        <v>0</v>
      </c>
      <c r="AB90" s="11">
        <f t="shared" si="124"/>
        <v>1</v>
      </c>
      <c r="AC90" s="11">
        <f t="shared" si="125"/>
        <v>1</v>
      </c>
      <c r="AD90" s="11">
        <f t="shared" si="126"/>
        <v>1</v>
      </c>
      <c r="AE90" s="11" t="str">
        <f t="shared" si="127"/>
        <v/>
      </c>
      <c r="AF90" s="11">
        <f t="shared" si="128"/>
        <v>1.25</v>
      </c>
      <c r="AG90" s="11">
        <f t="shared" si="129"/>
        <v>0</v>
      </c>
      <c r="AH90" s="11">
        <f t="shared" si="130"/>
        <v>-1</v>
      </c>
      <c r="AI90" s="11">
        <f t="shared" si="131"/>
        <v>-1</v>
      </c>
      <c r="AJ90" s="39">
        <f t="shared" si="132"/>
        <v>0</v>
      </c>
      <c r="AK90" s="39">
        <f t="shared" si="133"/>
        <v>0</v>
      </c>
      <c r="AL90" s="39">
        <f t="shared" si="134"/>
        <v>0</v>
      </c>
      <c r="AM90" s="11">
        <f t="shared" si="135"/>
        <v>0</v>
      </c>
      <c r="AN90" s="11">
        <f t="shared" si="136"/>
        <v>0</v>
      </c>
      <c r="AO90" s="11">
        <f t="shared" si="137"/>
        <v>0</v>
      </c>
      <c r="AP90" s="40">
        <f t="shared" si="138"/>
        <v>0</v>
      </c>
      <c r="AQ90" s="40">
        <f t="shared" si="139"/>
        <v>0</v>
      </c>
      <c r="AR90" s="40">
        <f t="shared" si="140"/>
        <v>0</v>
      </c>
      <c r="AS90" s="40" t="str">
        <f t="shared" si="141"/>
        <v/>
      </c>
      <c r="AT90" s="11" t="str">
        <f t="shared" si="142"/>
        <v/>
      </c>
      <c r="AU90" s="11">
        <f t="shared" si="143"/>
        <v>1</v>
      </c>
      <c r="AV90" s="11">
        <f t="shared" si="144"/>
        <v>1</v>
      </c>
      <c r="AW90" s="11" t="str">
        <f t="shared" si="145"/>
        <v/>
      </c>
      <c r="AX90" s="11" t="str">
        <f t="shared" si="146"/>
        <v/>
      </c>
      <c r="AY90" s="11" t="str">
        <f t="shared" si="147"/>
        <v/>
      </c>
      <c r="AZ90" s="11" t="str">
        <f t="shared" si="148"/>
        <v/>
      </c>
      <c r="BA90" s="11" t="str">
        <f t="shared" si="149"/>
        <v/>
      </c>
      <c r="BB90" s="11" t="str">
        <f t="shared" si="150"/>
        <v/>
      </c>
      <c r="BC90" s="11" t="str">
        <f t="shared" si="151"/>
        <v/>
      </c>
      <c r="BD90" s="11" t="str">
        <f t="shared" si="152"/>
        <v/>
      </c>
      <c r="BE90" s="39" t="str">
        <f t="shared" si="153"/>
        <v/>
      </c>
      <c r="BF90" s="11" t="str">
        <f t="shared" si="154"/>
        <v/>
      </c>
      <c r="BG90" s="11" t="str">
        <f t="shared" si="155"/>
        <v/>
      </c>
      <c r="BH90" s="39" t="str">
        <f t="shared" si="156"/>
        <v/>
      </c>
      <c r="BI90" s="11" t="str">
        <f t="shared" si="157"/>
        <v/>
      </c>
      <c r="BJ90" s="11" t="str">
        <f>IF($X90=0,"",IF($Q90&lt;&gt;"",$Q90,NEC_UNIDAD($W90,$E90,$Y90,$Z90,N($AT90),$C$7,OCUPACION)))</f>
        <v/>
      </c>
      <c r="BK90" s="11" t="str">
        <f>IF($X90=0,"",IF(N($R90)&gt;0,$R90,BREAKER_SEL($BX$60,$BI90,$AT90,$C$7,$BX$58,$BX$69,$BJ90)))</f>
        <v/>
      </c>
      <c r="BL90" s="11" t="str">
        <f>IF($BK90="","",BREAKER_REF($BX$60,$BK90,$BI90,$AT90,FALSE))</f>
        <v/>
      </c>
      <c r="BM90" s="11" t="str">
        <f>IF($BK90="","",BREAKER_DATO($BX$60,$BK90,"sccr"))</f>
        <v/>
      </c>
      <c r="BN90" s="11" t="str">
        <f>IF(OR($BK90="",N($BM90)&gt;=$BX$58,$BX$71="",N($BX$74)&lt;$BX$58),"",SERIE_KA($BX$60,BREAKER_DATO($BX$60,$BK90,"modelo"),$BX$72,N($BX$24),$C$7,$BX$58))</f>
        <v/>
      </c>
      <c r="BO90" s="11" t="str">
        <f>IF($BK90="","",BREAKER_DATO($BX$60,$BK90,"unidad"))</f>
        <v/>
      </c>
      <c r="BP90" s="11" t="str">
        <f>IF($BK90="","",BREAKER_DATO($BX$60,$BK90,"marco"))</f>
        <v/>
      </c>
      <c r="BQ90" s="11" t="str">
        <f t="shared" si="158"/>
        <v/>
      </c>
      <c r="BR90" s="11" t="str">
        <f t="shared" si="159"/>
        <v/>
      </c>
      <c r="BS90" s="11" t="str">
        <f t="shared" si="160"/>
        <v/>
      </c>
      <c r="BT90" s="11" t="str">
        <f t="shared" si="161"/>
        <v/>
      </c>
      <c r="BU90" s="11" t="str">
        <f t="shared" si="162"/>
        <v/>
      </c>
      <c r="BW90" t="s">
        <v>805</v>
      </c>
      <c r="BX90" t="str">
        <f>IF(BX87="","",IFERROR(INDEX(CHOOSE(IF(OR($F$3="AL",$F$3="AL-MC"),2,1),T_FAC_CU,T_FAC_AL),IF(BX15=1,1,IF(BX15&gt;0.949,2,IF(BX15&gt;0.899,3,4))),MATCH(BX87,T_FAC_H,0))*IF(AND($C$8=2,$C$7=240),1.15,1),""))</f>
        <v/>
      </c>
      <c r="CA90" s="11" t="str">
        <f t="shared" si="163"/>
        <v/>
      </c>
      <c r="CB90" s="11" t="str">
        <f t="shared" si="164"/>
        <v/>
      </c>
    </row>
    <row r="91" spans="1:80" ht="14.65" x14ac:dyDescent="0.45">
      <c r="A91" s="37"/>
      <c r="B91" s="14">
        <v>34</v>
      </c>
      <c r="C91" s="37"/>
      <c r="D91" s="37"/>
      <c r="E91" s="37"/>
      <c r="F91" s="37" t="str">
        <f t="shared" si="110"/>
        <v/>
      </c>
      <c r="G91" s="38"/>
      <c r="H91" s="37"/>
      <c r="I91" s="37" t="str">
        <f t="shared" si="111"/>
        <v/>
      </c>
      <c r="J91" s="37" t="str">
        <f t="shared" si="112"/>
        <v/>
      </c>
      <c r="K91" s="37" t="str">
        <f t="shared" si="113"/>
        <v/>
      </c>
      <c r="L91" s="37" t="str">
        <f t="shared" si="114"/>
        <v/>
      </c>
      <c r="M91" s="37" t="str">
        <f t="shared" si="115"/>
        <v/>
      </c>
      <c r="N91" s="37" t="str">
        <f t="shared" si="116"/>
        <v/>
      </c>
      <c r="O91" s="37" t="str">
        <f t="shared" si="117"/>
        <v/>
      </c>
      <c r="P91" s="37" t="str">
        <f t="shared" si="118"/>
        <v/>
      </c>
      <c r="Q91" s="37" t="str">
        <f>IF($X91=0,"",NEC_UNIDAD($W91,$E91,$Y91,$Z91,N($AT91),$C$7,OCUPACION))</f>
        <v/>
      </c>
      <c r="R91" s="37" t="str">
        <f>IF($X91=0,"",BREAKER_SEL($BX$60,$BI91,$AT91,$C$7,$BX$58,$BX$69,$BJ91))</f>
        <v/>
      </c>
      <c r="S91" s="37"/>
      <c r="T91" s="37"/>
      <c r="U91" s="37"/>
      <c r="V91" s="37"/>
      <c r="W91" s="11" t="str">
        <f t="shared" si="119"/>
        <v/>
      </c>
      <c r="X91" s="39">
        <f t="shared" si="120"/>
        <v>0</v>
      </c>
      <c r="Y91" s="11">
        <f t="shared" si="121"/>
        <v>0</v>
      </c>
      <c r="Z91" s="11">
        <f t="shared" si="122"/>
        <v>0</v>
      </c>
      <c r="AA91" s="11">
        <f t="shared" si="123"/>
        <v>0</v>
      </c>
      <c r="AB91" s="11">
        <f t="shared" si="124"/>
        <v>1</v>
      </c>
      <c r="AC91" s="11">
        <f t="shared" si="125"/>
        <v>1</v>
      </c>
      <c r="AD91" s="11">
        <f t="shared" si="126"/>
        <v>1</v>
      </c>
      <c r="AE91" s="11" t="str">
        <f t="shared" si="127"/>
        <v/>
      </c>
      <c r="AF91" s="11">
        <f t="shared" si="128"/>
        <v>1.25</v>
      </c>
      <c r="AG91" s="11">
        <f t="shared" si="129"/>
        <v>1</v>
      </c>
      <c r="AH91" s="11">
        <f t="shared" si="130"/>
        <v>-1</v>
      </c>
      <c r="AI91" s="11">
        <f t="shared" si="131"/>
        <v>-1</v>
      </c>
      <c r="AJ91" s="39">
        <f t="shared" si="132"/>
        <v>0</v>
      </c>
      <c r="AK91" s="39">
        <f t="shared" si="133"/>
        <v>0</v>
      </c>
      <c r="AL91" s="39">
        <f t="shared" si="134"/>
        <v>0</v>
      </c>
      <c r="AM91" s="11">
        <f t="shared" si="135"/>
        <v>0</v>
      </c>
      <c r="AN91" s="11">
        <f t="shared" si="136"/>
        <v>0</v>
      </c>
      <c r="AO91" s="11">
        <f t="shared" si="137"/>
        <v>0</v>
      </c>
      <c r="AP91" s="40">
        <f t="shared" si="138"/>
        <v>0</v>
      </c>
      <c r="AQ91" s="40">
        <f t="shared" si="139"/>
        <v>0</v>
      </c>
      <c r="AR91" s="40">
        <f t="shared" si="140"/>
        <v>0</v>
      </c>
      <c r="AS91" s="40" t="str">
        <f t="shared" si="141"/>
        <v/>
      </c>
      <c r="AT91" s="11" t="str">
        <f t="shared" si="142"/>
        <v/>
      </c>
      <c r="AU91" s="11">
        <f t="shared" si="143"/>
        <v>1</v>
      </c>
      <c r="AV91" s="11">
        <f t="shared" si="144"/>
        <v>1</v>
      </c>
      <c r="AW91" s="11" t="str">
        <f t="shared" si="145"/>
        <v/>
      </c>
      <c r="AX91" s="11" t="str">
        <f t="shared" si="146"/>
        <v/>
      </c>
      <c r="AY91" s="11" t="str">
        <f t="shared" si="147"/>
        <v/>
      </c>
      <c r="AZ91" s="11" t="str">
        <f t="shared" si="148"/>
        <v/>
      </c>
      <c r="BA91" s="11" t="str">
        <f t="shared" si="149"/>
        <v/>
      </c>
      <c r="BB91" s="11" t="str">
        <f t="shared" si="150"/>
        <v/>
      </c>
      <c r="BC91" s="11" t="str">
        <f t="shared" si="151"/>
        <v/>
      </c>
      <c r="BD91" s="11" t="str">
        <f t="shared" si="152"/>
        <v/>
      </c>
      <c r="BE91" s="39" t="str">
        <f t="shared" si="153"/>
        <v/>
      </c>
      <c r="BF91" s="11" t="str">
        <f t="shared" si="154"/>
        <v/>
      </c>
      <c r="BG91" s="11" t="str">
        <f t="shared" si="155"/>
        <v/>
      </c>
      <c r="BH91" s="39" t="str">
        <f t="shared" si="156"/>
        <v/>
      </c>
      <c r="BI91" s="11" t="str">
        <f t="shared" si="157"/>
        <v/>
      </c>
      <c r="BJ91" s="11" t="str">
        <f>IF($X91=0,"",IF($Q91&lt;&gt;"",$Q91,NEC_UNIDAD($W91,$E91,$Y91,$Z91,N($AT91),$C$7,OCUPACION)))</f>
        <v/>
      </c>
      <c r="BK91" s="11" t="str">
        <f>IF($X91=0,"",IF(N($R91)&gt;0,$R91,BREAKER_SEL($BX$60,$BI91,$AT91,$C$7,$BX$58,$BX$69,$BJ91)))</f>
        <v/>
      </c>
      <c r="BL91" s="11" t="str">
        <f>IF($BK91="","",BREAKER_REF($BX$60,$BK91,$BI91,$AT91,FALSE))</f>
        <v/>
      </c>
      <c r="BM91" s="11" t="str">
        <f>IF($BK91="","",BREAKER_DATO($BX$60,$BK91,"sccr"))</f>
        <v/>
      </c>
      <c r="BN91" s="11" t="str">
        <f>IF(OR($BK91="",N($BM91)&gt;=$BX$58,$BX$71="",N($BX$74)&lt;$BX$58),"",SERIE_KA($BX$60,BREAKER_DATO($BX$60,$BK91,"modelo"),$BX$72,N($BX$24),$C$7,$BX$58))</f>
        <v/>
      </c>
      <c r="BO91" s="11" t="str">
        <f>IF($BK91="","",BREAKER_DATO($BX$60,$BK91,"unidad"))</f>
        <v/>
      </c>
      <c r="BP91" s="11" t="str">
        <f>IF($BK91="","",BREAKER_DATO($BX$60,$BK91,"marco"))</f>
        <v/>
      </c>
      <c r="BQ91" s="11" t="str">
        <f t="shared" si="158"/>
        <v/>
      </c>
      <c r="BR91" s="11" t="str">
        <f t="shared" si="159"/>
        <v/>
      </c>
      <c r="BS91" s="11" t="str">
        <f t="shared" si="160"/>
        <v/>
      </c>
      <c r="BT91" s="11" t="str">
        <f t="shared" si="161"/>
        <v/>
      </c>
      <c r="BU91" s="11" t="str">
        <f t="shared" si="162"/>
        <v/>
      </c>
      <c r="BW91" t="s">
        <v>806</v>
      </c>
      <c r="BX91">
        <f>IF($I$16="Generador",$C$7,IF(N(BX110)&gt;0,BX110,$C$7))</f>
        <v>208</v>
      </c>
      <c r="CA91" s="11" t="str">
        <f t="shared" si="163"/>
        <v/>
      </c>
      <c r="CB91" s="11" t="str">
        <f t="shared" si="164"/>
        <v/>
      </c>
    </row>
    <row r="92" spans="1:80" ht="14.65" x14ac:dyDescent="0.45">
      <c r="A92" s="37"/>
      <c r="B92" s="14">
        <v>36</v>
      </c>
      <c r="C92" s="37"/>
      <c r="D92" s="37"/>
      <c r="E92" s="37"/>
      <c r="F92" s="37" t="str">
        <f t="shared" si="110"/>
        <v/>
      </c>
      <c r="G92" s="38"/>
      <c r="H92" s="37"/>
      <c r="I92" s="37" t="str">
        <f t="shared" si="111"/>
        <v/>
      </c>
      <c r="J92" s="37" t="str">
        <f t="shared" si="112"/>
        <v/>
      </c>
      <c r="K92" s="37" t="str">
        <f t="shared" si="113"/>
        <v/>
      </c>
      <c r="L92" s="37" t="str">
        <f t="shared" si="114"/>
        <v/>
      </c>
      <c r="M92" s="37" t="str">
        <f t="shared" si="115"/>
        <v/>
      </c>
      <c r="N92" s="37" t="str">
        <f t="shared" si="116"/>
        <v/>
      </c>
      <c r="O92" s="37" t="str">
        <f t="shared" si="117"/>
        <v/>
      </c>
      <c r="P92" s="37" t="str">
        <f t="shared" si="118"/>
        <v/>
      </c>
      <c r="Q92" s="37" t="str">
        <f>IF($X92=0,"",NEC_UNIDAD($W92,$E92,$Y92,$Z92,N($AT92),$C$7,OCUPACION))</f>
        <v/>
      </c>
      <c r="R92" s="37" t="str">
        <f>IF($X92=0,"",BREAKER_SEL($BX$60,$BI92,$AT92,$C$7,$BX$58,$BX$69,$BJ92))</f>
        <v/>
      </c>
      <c r="S92" s="37"/>
      <c r="T92" s="37"/>
      <c r="U92" s="37"/>
      <c r="V92" s="37"/>
      <c r="W92" s="11" t="str">
        <f t="shared" si="119"/>
        <v/>
      </c>
      <c r="X92" s="39">
        <f t="shared" si="120"/>
        <v>0</v>
      </c>
      <c r="Y92" s="11">
        <f t="shared" si="121"/>
        <v>0</v>
      </c>
      <c r="Z92" s="11">
        <f t="shared" si="122"/>
        <v>0</v>
      </c>
      <c r="AA92" s="11">
        <f t="shared" si="123"/>
        <v>0</v>
      </c>
      <c r="AB92" s="11">
        <f t="shared" si="124"/>
        <v>1</v>
      </c>
      <c r="AC92" s="11">
        <f t="shared" si="125"/>
        <v>1</v>
      </c>
      <c r="AD92" s="11">
        <f t="shared" si="126"/>
        <v>1</v>
      </c>
      <c r="AE92" s="11" t="str">
        <f t="shared" si="127"/>
        <v/>
      </c>
      <c r="AF92" s="11">
        <f t="shared" si="128"/>
        <v>1.25</v>
      </c>
      <c r="AG92" s="11">
        <f t="shared" si="129"/>
        <v>2</v>
      </c>
      <c r="AH92" s="11">
        <f t="shared" si="130"/>
        <v>-1</v>
      </c>
      <c r="AI92" s="11">
        <f t="shared" si="131"/>
        <v>-1</v>
      </c>
      <c r="AJ92" s="39">
        <f t="shared" si="132"/>
        <v>0</v>
      </c>
      <c r="AK92" s="39">
        <f t="shared" si="133"/>
        <v>0</v>
      </c>
      <c r="AL92" s="39">
        <f t="shared" si="134"/>
        <v>0</v>
      </c>
      <c r="AM92" s="11">
        <f t="shared" si="135"/>
        <v>0</v>
      </c>
      <c r="AN92" s="11">
        <f t="shared" si="136"/>
        <v>0</v>
      </c>
      <c r="AO92" s="11">
        <f t="shared" si="137"/>
        <v>0</v>
      </c>
      <c r="AP92" s="40">
        <f t="shared" si="138"/>
        <v>0</v>
      </c>
      <c r="AQ92" s="40">
        <f t="shared" si="139"/>
        <v>0</v>
      </c>
      <c r="AR92" s="40">
        <f t="shared" si="140"/>
        <v>0</v>
      </c>
      <c r="AS92" s="40" t="str">
        <f t="shared" si="141"/>
        <v/>
      </c>
      <c r="AT92" s="11" t="str">
        <f t="shared" si="142"/>
        <v/>
      </c>
      <c r="AU92" s="11">
        <f t="shared" si="143"/>
        <v>1</v>
      </c>
      <c r="AV92" s="11">
        <f t="shared" si="144"/>
        <v>1</v>
      </c>
      <c r="AW92" s="11" t="str">
        <f t="shared" si="145"/>
        <v/>
      </c>
      <c r="AX92" s="11" t="str">
        <f t="shared" si="146"/>
        <v/>
      </c>
      <c r="AY92" s="11" t="str">
        <f t="shared" si="147"/>
        <v/>
      </c>
      <c r="AZ92" s="11" t="str">
        <f t="shared" si="148"/>
        <v/>
      </c>
      <c r="BA92" s="11" t="str">
        <f t="shared" si="149"/>
        <v/>
      </c>
      <c r="BB92" s="11" t="str">
        <f t="shared" si="150"/>
        <v/>
      </c>
      <c r="BC92" s="11" t="str">
        <f t="shared" si="151"/>
        <v/>
      </c>
      <c r="BD92" s="11" t="str">
        <f t="shared" si="152"/>
        <v/>
      </c>
      <c r="BE92" s="39" t="str">
        <f t="shared" si="153"/>
        <v/>
      </c>
      <c r="BF92" s="11" t="str">
        <f t="shared" si="154"/>
        <v/>
      </c>
      <c r="BG92" s="11" t="str">
        <f t="shared" si="155"/>
        <v/>
      </c>
      <c r="BH92" s="39" t="str">
        <f t="shared" si="156"/>
        <v/>
      </c>
      <c r="BI92" s="11" t="str">
        <f t="shared" si="157"/>
        <v/>
      </c>
      <c r="BJ92" s="11" t="str">
        <f>IF($X92=0,"",IF($Q92&lt;&gt;"",$Q92,NEC_UNIDAD($W92,$E92,$Y92,$Z92,N($AT92),$C$7,OCUPACION)))</f>
        <v/>
      </c>
      <c r="BK92" s="11" t="str">
        <f>IF($X92=0,"",IF(N($R92)&gt;0,$R92,BREAKER_SEL($BX$60,$BI92,$AT92,$C$7,$BX$58,$BX$69,$BJ92)))</f>
        <v/>
      </c>
      <c r="BL92" s="11" t="str">
        <f>IF($BK92="","",BREAKER_REF($BX$60,$BK92,$BI92,$AT92,FALSE))</f>
        <v/>
      </c>
      <c r="BM92" s="11" t="str">
        <f>IF($BK92="","",BREAKER_DATO($BX$60,$BK92,"sccr"))</f>
        <v/>
      </c>
      <c r="BN92" s="11" t="str">
        <f>IF(OR($BK92="",N($BM92)&gt;=$BX$58,$BX$71="",N($BX$74)&lt;$BX$58),"",SERIE_KA($BX$60,BREAKER_DATO($BX$60,$BK92,"modelo"),$BX$72,N($BX$24),$C$7,$BX$58))</f>
        <v/>
      </c>
      <c r="BO92" s="11" t="str">
        <f>IF($BK92="","",BREAKER_DATO($BX$60,$BK92,"unidad"))</f>
        <v/>
      </c>
      <c r="BP92" s="11" t="str">
        <f>IF($BK92="","",BREAKER_DATO($BX$60,$BK92,"marco"))</f>
        <v/>
      </c>
      <c r="BQ92" s="11" t="str">
        <f t="shared" si="158"/>
        <v/>
      </c>
      <c r="BR92" s="11" t="str">
        <f t="shared" si="159"/>
        <v/>
      </c>
      <c r="BS92" s="11" t="str">
        <f t="shared" si="160"/>
        <v/>
      </c>
      <c r="BT92" s="11" t="str">
        <f t="shared" si="161"/>
        <v/>
      </c>
      <c r="BU92" s="11" t="str">
        <f t="shared" si="162"/>
        <v/>
      </c>
      <c r="BW92" t="s">
        <v>807</v>
      </c>
      <c r="BX92" t="str">
        <f>IF(BX89="","",BX91-BX89)</f>
        <v/>
      </c>
      <c r="CA92" s="11" t="str">
        <f t="shared" si="163"/>
        <v/>
      </c>
      <c r="CB92" s="11" t="str">
        <f t="shared" si="164"/>
        <v/>
      </c>
    </row>
    <row r="93" spans="1:80" ht="14.65" x14ac:dyDescent="0.45">
      <c r="A93" s="37"/>
      <c r="B93" s="14">
        <v>38</v>
      </c>
      <c r="C93" s="37"/>
      <c r="D93" s="37"/>
      <c r="E93" s="37"/>
      <c r="F93" s="37" t="str">
        <f t="shared" si="110"/>
        <v/>
      </c>
      <c r="G93" s="38"/>
      <c r="H93" s="37"/>
      <c r="I93" s="37" t="str">
        <f t="shared" si="111"/>
        <v/>
      </c>
      <c r="J93" s="37" t="str">
        <f t="shared" si="112"/>
        <v/>
      </c>
      <c r="K93" s="37" t="str">
        <f t="shared" si="113"/>
        <v/>
      </c>
      <c r="L93" s="37" t="str">
        <f t="shared" si="114"/>
        <v/>
      </c>
      <c r="M93" s="37" t="str">
        <f t="shared" si="115"/>
        <v/>
      </c>
      <c r="N93" s="37" t="str">
        <f t="shared" si="116"/>
        <v/>
      </c>
      <c r="O93" s="37" t="str">
        <f t="shared" si="117"/>
        <v/>
      </c>
      <c r="P93" s="37" t="str">
        <f t="shared" si="118"/>
        <v/>
      </c>
      <c r="Q93" s="37" t="str">
        <f>IF($X93=0,"",NEC_UNIDAD($W93,$E93,$Y93,$Z93,N($AT93),$C$7,OCUPACION))</f>
        <v/>
      </c>
      <c r="R93" s="37" t="str">
        <f>IF($X93=0,"",BREAKER_SEL($BX$60,$BI93,$AT93,$C$7,$BX$58,$BX$69,$BJ93))</f>
        <v/>
      </c>
      <c r="S93" s="37"/>
      <c r="T93" s="37"/>
      <c r="U93" s="37"/>
      <c r="V93" s="37"/>
      <c r="W93" s="11" t="str">
        <f t="shared" si="119"/>
        <v/>
      </c>
      <c r="X93" s="39">
        <f t="shared" si="120"/>
        <v>0</v>
      </c>
      <c r="Y93" s="11">
        <f t="shared" si="121"/>
        <v>0</v>
      </c>
      <c r="Z93" s="11">
        <f t="shared" si="122"/>
        <v>0</v>
      </c>
      <c r="AA93" s="11">
        <f t="shared" si="123"/>
        <v>0</v>
      </c>
      <c r="AB93" s="11">
        <f t="shared" si="124"/>
        <v>1</v>
      </c>
      <c r="AC93" s="11">
        <f t="shared" si="125"/>
        <v>1</v>
      </c>
      <c r="AD93" s="11">
        <f t="shared" si="126"/>
        <v>1</v>
      </c>
      <c r="AE93" s="11" t="str">
        <f t="shared" si="127"/>
        <v/>
      </c>
      <c r="AF93" s="11">
        <f t="shared" si="128"/>
        <v>1.25</v>
      </c>
      <c r="AG93" s="11">
        <f t="shared" si="129"/>
        <v>0</v>
      </c>
      <c r="AH93" s="11">
        <f t="shared" si="130"/>
        <v>-1</v>
      </c>
      <c r="AI93" s="11">
        <f t="shared" si="131"/>
        <v>-1</v>
      </c>
      <c r="AJ93" s="39">
        <f t="shared" si="132"/>
        <v>0</v>
      </c>
      <c r="AK93" s="39">
        <f t="shared" si="133"/>
        <v>0</v>
      </c>
      <c r="AL93" s="39">
        <f t="shared" si="134"/>
        <v>0</v>
      </c>
      <c r="AM93" s="11">
        <f t="shared" si="135"/>
        <v>0</v>
      </c>
      <c r="AN93" s="11">
        <f t="shared" si="136"/>
        <v>0</v>
      </c>
      <c r="AO93" s="11">
        <f t="shared" si="137"/>
        <v>0</v>
      </c>
      <c r="AP93" s="40">
        <f t="shared" si="138"/>
        <v>0</v>
      </c>
      <c r="AQ93" s="40">
        <f t="shared" si="139"/>
        <v>0</v>
      </c>
      <c r="AR93" s="40">
        <f t="shared" si="140"/>
        <v>0</v>
      </c>
      <c r="AS93" s="40" t="str">
        <f t="shared" si="141"/>
        <v/>
      </c>
      <c r="AT93" s="11" t="str">
        <f t="shared" si="142"/>
        <v/>
      </c>
      <c r="AU93" s="11">
        <f t="shared" si="143"/>
        <v>1</v>
      </c>
      <c r="AV93" s="11">
        <f t="shared" si="144"/>
        <v>1</v>
      </c>
      <c r="AW93" s="11" t="str">
        <f t="shared" si="145"/>
        <v/>
      </c>
      <c r="AX93" s="11" t="str">
        <f t="shared" si="146"/>
        <v/>
      </c>
      <c r="AY93" s="11" t="str">
        <f t="shared" si="147"/>
        <v/>
      </c>
      <c r="AZ93" s="11" t="str">
        <f t="shared" si="148"/>
        <v/>
      </c>
      <c r="BA93" s="11" t="str">
        <f t="shared" si="149"/>
        <v/>
      </c>
      <c r="BB93" s="11" t="str">
        <f t="shared" si="150"/>
        <v/>
      </c>
      <c r="BC93" s="11" t="str">
        <f t="shared" si="151"/>
        <v/>
      </c>
      <c r="BD93" s="11" t="str">
        <f t="shared" si="152"/>
        <v/>
      </c>
      <c r="BE93" s="39" t="str">
        <f t="shared" si="153"/>
        <v/>
      </c>
      <c r="BF93" s="11" t="str">
        <f t="shared" si="154"/>
        <v/>
      </c>
      <c r="BG93" s="11" t="str">
        <f t="shared" si="155"/>
        <v/>
      </c>
      <c r="BH93" s="39" t="str">
        <f t="shared" si="156"/>
        <v/>
      </c>
      <c r="BI93" s="11" t="str">
        <f t="shared" si="157"/>
        <v/>
      </c>
      <c r="BJ93" s="11" t="str">
        <f>IF($X93=0,"",IF($Q93&lt;&gt;"",$Q93,NEC_UNIDAD($W93,$E93,$Y93,$Z93,N($AT93),$C$7,OCUPACION)))</f>
        <v/>
      </c>
      <c r="BK93" s="11" t="str">
        <f>IF($X93=0,"",IF(N($R93)&gt;0,$R93,BREAKER_SEL($BX$60,$BI93,$AT93,$C$7,$BX$58,$BX$69,$BJ93)))</f>
        <v/>
      </c>
      <c r="BL93" s="11" t="str">
        <f>IF($BK93="","",BREAKER_REF($BX$60,$BK93,$BI93,$AT93,FALSE))</f>
        <v/>
      </c>
      <c r="BM93" s="11" t="str">
        <f>IF($BK93="","",BREAKER_DATO($BX$60,$BK93,"sccr"))</f>
        <v/>
      </c>
      <c r="BN93" s="11" t="str">
        <f>IF(OR($BK93="",N($BM93)&gt;=$BX$58,$BX$71="",N($BX$74)&lt;$BX$58),"",SERIE_KA($BX$60,BREAKER_DATO($BX$60,$BK93,"modelo"),$BX$72,N($BX$24),$C$7,$BX$58))</f>
        <v/>
      </c>
      <c r="BO93" s="11" t="str">
        <f>IF($BK93="","",BREAKER_DATO($BX$60,$BK93,"unidad"))</f>
        <v/>
      </c>
      <c r="BP93" s="11" t="str">
        <f>IF($BK93="","",BREAKER_DATO($BX$60,$BK93,"marco"))</f>
        <v/>
      </c>
      <c r="BQ93" s="11" t="str">
        <f t="shared" si="158"/>
        <v/>
      </c>
      <c r="BR93" s="11" t="str">
        <f t="shared" si="159"/>
        <v/>
      </c>
      <c r="BS93" s="11" t="str">
        <f t="shared" si="160"/>
        <v/>
      </c>
      <c r="BT93" s="11" t="str">
        <f t="shared" si="161"/>
        <v/>
      </c>
      <c r="BU93" s="11" t="str">
        <f t="shared" si="162"/>
        <v/>
      </c>
      <c r="BW93" t="s">
        <v>808</v>
      </c>
      <c r="BX93" t="str">
        <f>IF(BX92="","",($C$7-BX92)*100/$C$7)</f>
        <v/>
      </c>
      <c r="CA93" s="11" t="str">
        <f t="shared" si="163"/>
        <v/>
      </c>
      <c r="CB93" s="11" t="str">
        <f t="shared" si="164"/>
        <v/>
      </c>
    </row>
    <row r="94" spans="1:80" ht="14.65" x14ac:dyDescent="0.45">
      <c r="A94" s="37"/>
      <c r="B94" s="14">
        <v>40</v>
      </c>
      <c r="C94" s="37"/>
      <c r="D94" s="37"/>
      <c r="E94" s="37"/>
      <c r="F94" s="37" t="str">
        <f t="shared" si="110"/>
        <v/>
      </c>
      <c r="G94" s="38"/>
      <c r="H94" s="37"/>
      <c r="I94" s="37" t="str">
        <f t="shared" si="111"/>
        <v/>
      </c>
      <c r="J94" s="37" t="str">
        <f t="shared" si="112"/>
        <v/>
      </c>
      <c r="K94" s="37" t="str">
        <f t="shared" si="113"/>
        <v/>
      </c>
      <c r="L94" s="37" t="str">
        <f t="shared" si="114"/>
        <v/>
      </c>
      <c r="M94" s="37" t="str">
        <f t="shared" si="115"/>
        <v/>
      </c>
      <c r="N94" s="37" t="str">
        <f t="shared" si="116"/>
        <v/>
      </c>
      <c r="O94" s="37" t="str">
        <f t="shared" si="117"/>
        <v/>
      </c>
      <c r="P94" s="37" t="str">
        <f t="shared" si="118"/>
        <v/>
      </c>
      <c r="Q94" s="37" t="str">
        <f>IF($X94=0,"",NEC_UNIDAD($W94,$E94,$Y94,$Z94,N($AT94),$C$7,OCUPACION))</f>
        <v/>
      </c>
      <c r="R94" s="37" t="str">
        <f>IF($X94=0,"",BREAKER_SEL($BX$60,$BI94,$AT94,$C$7,$BX$58,$BX$69,$BJ94))</f>
        <v/>
      </c>
      <c r="S94" s="37"/>
      <c r="T94" s="37"/>
      <c r="U94" s="37"/>
      <c r="V94" s="37"/>
      <c r="W94" s="11" t="str">
        <f t="shared" si="119"/>
        <v/>
      </c>
      <c r="X94" s="39">
        <f t="shared" si="120"/>
        <v>0</v>
      </c>
      <c r="Y94" s="11">
        <f t="shared" si="121"/>
        <v>0</v>
      </c>
      <c r="Z94" s="11">
        <f t="shared" si="122"/>
        <v>0</v>
      </c>
      <c r="AA94" s="11">
        <f t="shared" si="123"/>
        <v>0</v>
      </c>
      <c r="AB94" s="11">
        <f t="shared" si="124"/>
        <v>1</v>
      </c>
      <c r="AC94" s="11">
        <f t="shared" si="125"/>
        <v>1</v>
      </c>
      <c r="AD94" s="11">
        <f t="shared" si="126"/>
        <v>1</v>
      </c>
      <c r="AE94" s="11" t="str">
        <f t="shared" si="127"/>
        <v/>
      </c>
      <c r="AF94" s="11">
        <f t="shared" si="128"/>
        <v>1.25</v>
      </c>
      <c r="AG94" s="11">
        <f t="shared" si="129"/>
        <v>1</v>
      </c>
      <c r="AH94" s="11">
        <f t="shared" si="130"/>
        <v>-1</v>
      </c>
      <c r="AI94" s="11">
        <f t="shared" si="131"/>
        <v>-1</v>
      </c>
      <c r="AJ94" s="39">
        <f t="shared" si="132"/>
        <v>0</v>
      </c>
      <c r="AK94" s="39">
        <f t="shared" si="133"/>
        <v>0</v>
      </c>
      <c r="AL94" s="39">
        <f t="shared" si="134"/>
        <v>0</v>
      </c>
      <c r="AM94" s="11">
        <f t="shared" si="135"/>
        <v>0</v>
      </c>
      <c r="AN94" s="11">
        <f t="shared" si="136"/>
        <v>0</v>
      </c>
      <c r="AO94" s="11">
        <f t="shared" si="137"/>
        <v>0</v>
      </c>
      <c r="AP94" s="40">
        <f t="shared" si="138"/>
        <v>0</v>
      </c>
      <c r="AQ94" s="40">
        <f t="shared" si="139"/>
        <v>0</v>
      </c>
      <c r="AR94" s="40">
        <f t="shared" si="140"/>
        <v>0</v>
      </c>
      <c r="AS94" s="40" t="str">
        <f t="shared" si="141"/>
        <v/>
      </c>
      <c r="AT94" s="11" t="str">
        <f t="shared" si="142"/>
        <v/>
      </c>
      <c r="AU94" s="11">
        <f t="shared" si="143"/>
        <v>1</v>
      </c>
      <c r="AV94" s="11">
        <f t="shared" si="144"/>
        <v>1</v>
      </c>
      <c r="AW94" s="11" t="str">
        <f t="shared" si="145"/>
        <v/>
      </c>
      <c r="AX94" s="11" t="str">
        <f t="shared" si="146"/>
        <v/>
      </c>
      <c r="AY94" s="11" t="str">
        <f t="shared" si="147"/>
        <v/>
      </c>
      <c r="AZ94" s="11" t="str">
        <f t="shared" si="148"/>
        <v/>
      </c>
      <c r="BA94" s="11" t="str">
        <f t="shared" si="149"/>
        <v/>
      </c>
      <c r="BB94" s="11" t="str">
        <f t="shared" si="150"/>
        <v/>
      </c>
      <c r="BC94" s="11" t="str">
        <f t="shared" si="151"/>
        <v/>
      </c>
      <c r="BD94" s="11" t="str">
        <f t="shared" si="152"/>
        <v/>
      </c>
      <c r="BE94" s="39" t="str">
        <f t="shared" si="153"/>
        <v/>
      </c>
      <c r="BF94" s="11" t="str">
        <f t="shared" si="154"/>
        <v/>
      </c>
      <c r="BG94" s="11" t="str">
        <f t="shared" si="155"/>
        <v/>
      </c>
      <c r="BH94" s="39" t="str">
        <f t="shared" si="156"/>
        <v/>
      </c>
      <c r="BI94" s="11" t="str">
        <f t="shared" si="157"/>
        <v/>
      </c>
      <c r="BJ94" s="11" t="str">
        <f>IF($X94=0,"",IF($Q94&lt;&gt;"",$Q94,NEC_UNIDAD($W94,$E94,$Y94,$Z94,N($AT94),$C$7,OCUPACION)))</f>
        <v/>
      </c>
      <c r="BK94" s="11" t="str">
        <f>IF($X94=0,"",IF(N($R94)&gt;0,$R94,BREAKER_SEL($BX$60,$BI94,$AT94,$C$7,$BX$58,$BX$69,$BJ94)))</f>
        <v/>
      </c>
      <c r="BL94" s="11" t="str">
        <f>IF($BK94="","",BREAKER_REF($BX$60,$BK94,$BI94,$AT94,FALSE))</f>
        <v/>
      </c>
      <c r="BM94" s="11" t="str">
        <f>IF($BK94="","",BREAKER_DATO($BX$60,$BK94,"sccr"))</f>
        <v/>
      </c>
      <c r="BN94" s="11" t="str">
        <f>IF(OR($BK94="",N($BM94)&gt;=$BX$58,$BX$71="",N($BX$74)&lt;$BX$58),"",SERIE_KA($BX$60,BREAKER_DATO($BX$60,$BK94,"modelo"),$BX$72,N($BX$24),$C$7,$BX$58))</f>
        <v/>
      </c>
      <c r="BO94" s="11" t="str">
        <f>IF($BK94="","",BREAKER_DATO($BX$60,$BK94,"unidad"))</f>
        <v/>
      </c>
      <c r="BP94" s="11" t="str">
        <f>IF($BK94="","",BREAKER_DATO($BX$60,$BK94,"marco"))</f>
        <v/>
      </c>
      <c r="BQ94" s="11" t="str">
        <f t="shared" si="158"/>
        <v/>
      </c>
      <c r="BR94" s="11" t="str">
        <f t="shared" si="159"/>
        <v/>
      </c>
      <c r="BS94" s="11" t="str">
        <f t="shared" si="160"/>
        <v/>
      </c>
      <c r="BT94" s="11" t="str">
        <f t="shared" si="161"/>
        <v/>
      </c>
      <c r="BU94" s="11" t="str">
        <f t="shared" si="162"/>
        <v/>
      </c>
      <c r="BW94" t="s">
        <v>809</v>
      </c>
      <c r="BX94" t="str">
        <f>IF(AND(BX84,$I$16="Generador",N($I$18)&gt;0),BX14/$I$18,"")</f>
        <v/>
      </c>
      <c r="CA94" s="11" t="str">
        <f t="shared" si="163"/>
        <v/>
      </c>
      <c r="CB94" s="11" t="str">
        <f t="shared" si="164"/>
        <v/>
      </c>
    </row>
    <row r="95" spans="1:80" ht="14.65" x14ac:dyDescent="0.45">
      <c r="A95" s="37"/>
      <c r="B95" s="14">
        <v>42</v>
      </c>
      <c r="C95" s="37"/>
      <c r="D95" s="37"/>
      <c r="E95" s="37"/>
      <c r="F95" s="37" t="str">
        <f t="shared" si="110"/>
        <v/>
      </c>
      <c r="G95" s="38"/>
      <c r="H95" s="37"/>
      <c r="I95" s="37" t="str">
        <f t="shared" si="111"/>
        <v/>
      </c>
      <c r="J95" s="37" t="str">
        <f t="shared" si="112"/>
        <v/>
      </c>
      <c r="K95" s="37" t="str">
        <f t="shared" si="113"/>
        <v/>
      </c>
      <c r="L95" s="37" t="str">
        <f t="shared" si="114"/>
        <v/>
      </c>
      <c r="M95" s="37" t="str">
        <f t="shared" si="115"/>
        <v/>
      </c>
      <c r="N95" s="37" t="str">
        <f t="shared" si="116"/>
        <v/>
      </c>
      <c r="O95" s="37" t="str">
        <f t="shared" si="117"/>
        <v/>
      </c>
      <c r="P95" s="37" t="str">
        <f t="shared" si="118"/>
        <v/>
      </c>
      <c r="Q95" s="37" t="str">
        <f>IF($X95=0,"",NEC_UNIDAD($W95,$E95,$Y95,$Z95,N($AT95),$C$7,OCUPACION))</f>
        <v/>
      </c>
      <c r="R95" s="37" t="str">
        <f>IF($X95=0,"",BREAKER_SEL($BX$60,$BI95,$AT95,$C$7,$BX$58,$BX$69,$BJ95))</f>
        <v/>
      </c>
      <c r="S95" s="37"/>
      <c r="T95" s="37"/>
      <c r="U95" s="37"/>
      <c r="V95" s="37"/>
      <c r="W95" s="11" t="str">
        <f t="shared" si="119"/>
        <v/>
      </c>
      <c r="X95" s="39">
        <f t="shared" si="120"/>
        <v>0</v>
      </c>
      <c r="Y95" s="11">
        <f t="shared" si="121"/>
        <v>0</v>
      </c>
      <c r="Z95" s="11">
        <f t="shared" si="122"/>
        <v>0</v>
      </c>
      <c r="AA95" s="11">
        <f t="shared" si="123"/>
        <v>0</v>
      </c>
      <c r="AB95" s="11">
        <f t="shared" si="124"/>
        <v>1</v>
      </c>
      <c r="AC95" s="11">
        <f t="shared" si="125"/>
        <v>1</v>
      </c>
      <c r="AD95" s="11">
        <f t="shared" si="126"/>
        <v>1</v>
      </c>
      <c r="AE95" s="11" t="str">
        <f t="shared" si="127"/>
        <v/>
      </c>
      <c r="AF95" s="11">
        <f t="shared" si="128"/>
        <v>1.25</v>
      </c>
      <c r="AG95" s="11">
        <f t="shared" si="129"/>
        <v>2</v>
      </c>
      <c r="AH95" s="11">
        <f t="shared" si="130"/>
        <v>-1</v>
      </c>
      <c r="AI95" s="11">
        <f t="shared" si="131"/>
        <v>-1</v>
      </c>
      <c r="AJ95" s="39">
        <f t="shared" si="132"/>
        <v>0</v>
      </c>
      <c r="AK95" s="39">
        <f t="shared" si="133"/>
        <v>0</v>
      </c>
      <c r="AL95" s="39">
        <f t="shared" si="134"/>
        <v>0</v>
      </c>
      <c r="AM95" s="11">
        <f t="shared" si="135"/>
        <v>0</v>
      </c>
      <c r="AN95" s="11">
        <f t="shared" si="136"/>
        <v>0</v>
      </c>
      <c r="AO95" s="11">
        <f t="shared" si="137"/>
        <v>0</v>
      </c>
      <c r="AP95" s="40">
        <f t="shared" si="138"/>
        <v>0</v>
      </c>
      <c r="AQ95" s="40">
        <f t="shared" si="139"/>
        <v>0</v>
      </c>
      <c r="AR95" s="40">
        <f t="shared" si="140"/>
        <v>0</v>
      </c>
      <c r="AS95" s="40" t="str">
        <f t="shared" si="141"/>
        <v/>
      </c>
      <c r="AT95" s="11" t="str">
        <f t="shared" si="142"/>
        <v/>
      </c>
      <c r="AU95" s="11">
        <f t="shared" si="143"/>
        <v>1</v>
      </c>
      <c r="AV95" s="11">
        <f t="shared" si="144"/>
        <v>1</v>
      </c>
      <c r="AW95" s="11" t="str">
        <f t="shared" si="145"/>
        <v/>
      </c>
      <c r="AX95" s="11" t="str">
        <f t="shared" si="146"/>
        <v/>
      </c>
      <c r="AY95" s="11" t="str">
        <f t="shared" si="147"/>
        <v/>
      </c>
      <c r="AZ95" s="11" t="str">
        <f t="shared" si="148"/>
        <v/>
      </c>
      <c r="BA95" s="11" t="str">
        <f t="shared" si="149"/>
        <v/>
      </c>
      <c r="BB95" s="11" t="str">
        <f t="shared" si="150"/>
        <v/>
      </c>
      <c r="BC95" s="11" t="str">
        <f t="shared" si="151"/>
        <v/>
      </c>
      <c r="BD95" s="11" t="str">
        <f t="shared" si="152"/>
        <v/>
      </c>
      <c r="BE95" s="39" t="str">
        <f t="shared" si="153"/>
        <v/>
      </c>
      <c r="BF95" s="11" t="str">
        <f t="shared" si="154"/>
        <v/>
      </c>
      <c r="BG95" s="11" t="str">
        <f t="shared" si="155"/>
        <v/>
      </c>
      <c r="BH95" s="39" t="str">
        <f t="shared" si="156"/>
        <v/>
      </c>
      <c r="BI95" s="11" t="str">
        <f t="shared" si="157"/>
        <v/>
      </c>
      <c r="BJ95" s="11" t="str">
        <f>IF($X95=0,"",IF($Q95&lt;&gt;"",$Q95,NEC_UNIDAD($W95,$E95,$Y95,$Z95,N($AT95),$C$7,OCUPACION)))</f>
        <v/>
      </c>
      <c r="BK95" s="11" t="str">
        <f>IF($X95=0,"",IF(N($R95)&gt;0,$R95,BREAKER_SEL($BX$60,$BI95,$AT95,$C$7,$BX$58,$BX$69,$BJ95)))</f>
        <v/>
      </c>
      <c r="BL95" s="11" t="str">
        <f>IF($BK95="","",BREAKER_REF($BX$60,$BK95,$BI95,$AT95,FALSE))</f>
        <v/>
      </c>
      <c r="BM95" s="11" t="str">
        <f>IF($BK95="","",BREAKER_DATO($BX$60,$BK95,"sccr"))</f>
        <v/>
      </c>
      <c r="BN95" s="11" t="str">
        <f>IF(OR($BK95="",N($BM95)&gt;=$BX$58,$BX$71="",N($BX$74)&lt;$BX$58),"",SERIE_KA($BX$60,BREAKER_DATO($BX$60,$BK95,"modelo"),$BX$72,N($BX$24),$C$7,$BX$58))</f>
        <v/>
      </c>
      <c r="BO95" s="11" t="str">
        <f>IF($BK95="","",BREAKER_DATO($BX$60,$BK95,"unidad"))</f>
        <v/>
      </c>
      <c r="BP95" s="11" t="str">
        <f>IF($BK95="","",BREAKER_DATO($BX$60,$BK95,"marco"))</f>
        <v/>
      </c>
      <c r="BQ95" s="11" t="str">
        <f t="shared" si="158"/>
        <v/>
      </c>
      <c r="BR95" s="11" t="str">
        <f t="shared" si="159"/>
        <v/>
      </c>
      <c r="BS95" s="11" t="str">
        <f t="shared" si="160"/>
        <v/>
      </c>
      <c r="BT95" s="11" t="str">
        <f t="shared" si="161"/>
        <v/>
      </c>
      <c r="BU95" s="11" t="str">
        <f t="shared" si="162"/>
        <v/>
      </c>
      <c r="BW95" t="s">
        <v>810</v>
      </c>
      <c r="BX95" t="str">
        <f>IF(BX87="","",IF(BX86=1,"",BX86&amp;"x")&amp;IF($C$8=3,"3#","2#")&amp;BX87)</f>
        <v/>
      </c>
      <c r="CA95" s="11" t="str">
        <f t="shared" si="163"/>
        <v/>
      </c>
      <c r="CB95" s="11" t="str">
        <f t="shared" si="164"/>
        <v/>
      </c>
    </row>
    <row r="96" spans="1:80" ht="14.65" x14ac:dyDescent="0.45">
      <c r="A96" s="37"/>
      <c r="B96" s="14">
        <v>44</v>
      </c>
      <c r="C96" s="37"/>
      <c r="D96" s="37"/>
      <c r="E96" s="37"/>
      <c r="F96" s="37" t="str">
        <f t="shared" si="110"/>
        <v/>
      </c>
      <c r="G96" s="38"/>
      <c r="H96" s="37"/>
      <c r="I96" s="37" t="str">
        <f t="shared" si="111"/>
        <v/>
      </c>
      <c r="J96" s="37" t="str">
        <f t="shared" si="112"/>
        <v/>
      </c>
      <c r="K96" s="37" t="str">
        <f t="shared" si="113"/>
        <v/>
      </c>
      <c r="L96" s="37" t="str">
        <f t="shared" si="114"/>
        <v/>
      </c>
      <c r="M96" s="37" t="str">
        <f t="shared" si="115"/>
        <v/>
      </c>
      <c r="N96" s="37" t="str">
        <f t="shared" si="116"/>
        <v/>
      </c>
      <c r="O96" s="37" t="str">
        <f t="shared" si="117"/>
        <v/>
      </c>
      <c r="P96" s="37" t="str">
        <f t="shared" si="118"/>
        <v/>
      </c>
      <c r="Q96" s="37" t="str">
        <f>IF($X96=0,"",NEC_UNIDAD($W96,$E96,$Y96,$Z96,N($AT96),$C$7,OCUPACION))</f>
        <v/>
      </c>
      <c r="R96" s="37" t="str">
        <f>IF($X96=0,"",BREAKER_SEL($BX$60,$BI96,$AT96,$C$7,$BX$58,$BX$69,$BJ96))</f>
        <v/>
      </c>
      <c r="S96" s="37"/>
      <c r="T96" s="37"/>
      <c r="U96" s="37"/>
      <c r="V96" s="37"/>
      <c r="W96" s="11" t="str">
        <f t="shared" si="119"/>
        <v/>
      </c>
      <c r="X96" s="39">
        <f t="shared" si="120"/>
        <v>0</v>
      </c>
      <c r="Y96" s="11">
        <f t="shared" si="121"/>
        <v>0</v>
      </c>
      <c r="Z96" s="11">
        <f t="shared" si="122"/>
        <v>0</v>
      </c>
      <c r="AA96" s="11">
        <f t="shared" si="123"/>
        <v>0</v>
      </c>
      <c r="AB96" s="11">
        <f t="shared" si="124"/>
        <v>1</v>
      </c>
      <c r="AC96" s="11">
        <f t="shared" si="125"/>
        <v>1</v>
      </c>
      <c r="AD96" s="11">
        <f t="shared" si="126"/>
        <v>1</v>
      </c>
      <c r="AE96" s="11" t="str">
        <f t="shared" si="127"/>
        <v/>
      </c>
      <c r="AF96" s="11">
        <f t="shared" si="128"/>
        <v>1.25</v>
      </c>
      <c r="AG96" s="11">
        <f t="shared" si="129"/>
        <v>0</v>
      </c>
      <c r="AH96" s="11">
        <f t="shared" si="130"/>
        <v>-1</v>
      </c>
      <c r="AI96" s="11">
        <f t="shared" si="131"/>
        <v>-1</v>
      </c>
      <c r="AJ96" s="39">
        <f t="shared" si="132"/>
        <v>0</v>
      </c>
      <c r="AK96" s="39">
        <f t="shared" si="133"/>
        <v>0</v>
      </c>
      <c r="AL96" s="39">
        <f t="shared" si="134"/>
        <v>0</v>
      </c>
      <c r="AM96" s="11">
        <f t="shared" si="135"/>
        <v>0</v>
      </c>
      <c r="AN96" s="11">
        <f t="shared" si="136"/>
        <v>0</v>
      </c>
      <c r="AO96" s="11">
        <f t="shared" si="137"/>
        <v>0</v>
      </c>
      <c r="AP96" s="40">
        <f t="shared" si="138"/>
        <v>0</v>
      </c>
      <c r="AQ96" s="40">
        <f t="shared" si="139"/>
        <v>0</v>
      </c>
      <c r="AR96" s="40">
        <f t="shared" si="140"/>
        <v>0</v>
      </c>
      <c r="AS96" s="40" t="str">
        <f t="shared" si="141"/>
        <v/>
      </c>
      <c r="AT96" s="11" t="str">
        <f t="shared" si="142"/>
        <v/>
      </c>
      <c r="AU96" s="11">
        <f t="shared" si="143"/>
        <v>1</v>
      </c>
      <c r="AV96" s="11">
        <f t="shared" si="144"/>
        <v>1</v>
      </c>
      <c r="AW96" s="11" t="str">
        <f t="shared" si="145"/>
        <v/>
      </c>
      <c r="AX96" s="11" t="str">
        <f t="shared" si="146"/>
        <v/>
      </c>
      <c r="AY96" s="11" t="str">
        <f t="shared" si="147"/>
        <v/>
      </c>
      <c r="AZ96" s="11" t="str">
        <f t="shared" si="148"/>
        <v/>
      </c>
      <c r="BA96" s="11" t="str">
        <f t="shared" si="149"/>
        <v/>
      </c>
      <c r="BB96" s="11" t="str">
        <f t="shared" si="150"/>
        <v/>
      </c>
      <c r="BC96" s="11" t="str">
        <f t="shared" si="151"/>
        <v/>
      </c>
      <c r="BD96" s="11" t="str">
        <f t="shared" si="152"/>
        <v/>
      </c>
      <c r="BE96" s="39" t="str">
        <f t="shared" si="153"/>
        <v/>
      </c>
      <c r="BF96" s="11" t="str">
        <f t="shared" si="154"/>
        <v/>
      </c>
      <c r="BG96" s="11" t="str">
        <f t="shared" si="155"/>
        <v/>
      </c>
      <c r="BH96" s="39" t="str">
        <f t="shared" si="156"/>
        <v/>
      </c>
      <c r="BI96" s="11" t="str">
        <f t="shared" si="157"/>
        <v/>
      </c>
      <c r="BJ96" s="11" t="str">
        <f>IF($X96=0,"",IF($Q96&lt;&gt;"",$Q96,NEC_UNIDAD($W96,$E96,$Y96,$Z96,N($AT96),$C$7,OCUPACION)))</f>
        <v/>
      </c>
      <c r="BK96" s="11" t="str">
        <f>IF($X96=0,"",IF(N($R96)&gt;0,$R96,BREAKER_SEL($BX$60,$BI96,$AT96,$C$7,$BX$58,$BX$69,$BJ96)))</f>
        <v/>
      </c>
      <c r="BL96" s="11" t="str">
        <f>IF($BK96="","",BREAKER_REF($BX$60,$BK96,$BI96,$AT96,FALSE))</f>
        <v/>
      </c>
      <c r="BM96" s="11" t="str">
        <f>IF($BK96="","",BREAKER_DATO($BX$60,$BK96,"sccr"))</f>
        <v/>
      </c>
      <c r="BN96" s="11" t="str">
        <f>IF(OR($BK96="",N($BM96)&gt;=$BX$58,$BX$71="",N($BX$74)&lt;$BX$58),"",SERIE_KA($BX$60,BREAKER_DATO($BX$60,$BK96,"modelo"),$BX$72,N($BX$24),$C$7,$BX$58))</f>
        <v/>
      </c>
      <c r="BO96" s="11" t="str">
        <f>IF($BK96="","",BREAKER_DATO($BX$60,$BK96,"unidad"))</f>
        <v/>
      </c>
      <c r="BP96" s="11" t="str">
        <f>IF($BK96="","",BREAKER_DATO($BX$60,$BK96,"marco"))</f>
        <v/>
      </c>
      <c r="BQ96" s="11" t="str">
        <f t="shared" si="158"/>
        <v/>
      </c>
      <c r="BR96" s="11" t="str">
        <f t="shared" si="159"/>
        <v/>
      </c>
      <c r="BS96" s="11" t="str">
        <f t="shared" si="160"/>
        <v/>
      </c>
      <c r="BT96" s="11" t="str">
        <f t="shared" si="161"/>
        <v/>
      </c>
      <c r="BU96" s="11" t="str">
        <f t="shared" si="162"/>
        <v/>
      </c>
      <c r="CA96" s="11" t="str">
        <f t="shared" si="163"/>
        <v/>
      </c>
      <c r="CB96" s="11" t="str">
        <f t="shared" si="164"/>
        <v/>
      </c>
    </row>
    <row r="97" spans="1:80" ht="14.65" x14ac:dyDescent="0.45">
      <c r="A97" s="37"/>
      <c r="B97" s="14">
        <v>46</v>
      </c>
      <c r="C97" s="37"/>
      <c r="D97" s="37"/>
      <c r="E97" s="37"/>
      <c r="F97" s="37" t="str">
        <f t="shared" si="110"/>
        <v/>
      </c>
      <c r="G97" s="38"/>
      <c r="H97" s="37"/>
      <c r="I97" s="37" t="str">
        <f t="shared" si="111"/>
        <v/>
      </c>
      <c r="J97" s="37" t="str">
        <f t="shared" si="112"/>
        <v/>
      </c>
      <c r="K97" s="37" t="str">
        <f t="shared" si="113"/>
        <v/>
      </c>
      <c r="L97" s="37" t="str">
        <f t="shared" si="114"/>
        <v/>
      </c>
      <c r="M97" s="37" t="str">
        <f t="shared" si="115"/>
        <v/>
      </c>
      <c r="N97" s="37" t="str">
        <f t="shared" si="116"/>
        <v/>
      </c>
      <c r="O97" s="37" t="str">
        <f t="shared" si="117"/>
        <v/>
      </c>
      <c r="P97" s="37" t="str">
        <f t="shared" si="118"/>
        <v/>
      </c>
      <c r="Q97" s="37" t="str">
        <f>IF($X97=0,"",NEC_UNIDAD($W97,$E97,$Y97,$Z97,N($AT97),$C$7,OCUPACION))</f>
        <v/>
      </c>
      <c r="R97" s="37" t="str">
        <f>IF($X97=0,"",BREAKER_SEL($BX$60,$BI97,$AT97,$C$7,$BX$58,$BX$69,$BJ97))</f>
        <v/>
      </c>
      <c r="S97" s="37"/>
      <c r="T97" s="37"/>
      <c r="U97" s="37"/>
      <c r="V97" s="37"/>
      <c r="W97" s="11" t="str">
        <f t="shared" si="119"/>
        <v/>
      </c>
      <c r="X97" s="39">
        <f t="shared" si="120"/>
        <v>0</v>
      </c>
      <c r="Y97" s="11">
        <f t="shared" si="121"/>
        <v>0</v>
      </c>
      <c r="Z97" s="11">
        <f t="shared" si="122"/>
        <v>0</v>
      </c>
      <c r="AA97" s="11">
        <f t="shared" si="123"/>
        <v>0</v>
      </c>
      <c r="AB97" s="11">
        <f t="shared" si="124"/>
        <v>1</v>
      </c>
      <c r="AC97" s="11">
        <f t="shared" si="125"/>
        <v>1</v>
      </c>
      <c r="AD97" s="11">
        <f t="shared" si="126"/>
        <v>1</v>
      </c>
      <c r="AE97" s="11" t="str">
        <f t="shared" si="127"/>
        <v/>
      </c>
      <c r="AF97" s="11">
        <f t="shared" si="128"/>
        <v>1.25</v>
      </c>
      <c r="AG97" s="11">
        <f t="shared" si="129"/>
        <v>1</v>
      </c>
      <c r="AH97" s="11">
        <f t="shared" si="130"/>
        <v>-1</v>
      </c>
      <c r="AI97" s="11">
        <f t="shared" si="131"/>
        <v>-1</v>
      </c>
      <c r="AJ97" s="39">
        <f t="shared" si="132"/>
        <v>0</v>
      </c>
      <c r="AK97" s="39">
        <f t="shared" si="133"/>
        <v>0</v>
      </c>
      <c r="AL97" s="39">
        <f t="shared" si="134"/>
        <v>0</v>
      </c>
      <c r="AM97" s="11">
        <f t="shared" si="135"/>
        <v>0</v>
      </c>
      <c r="AN97" s="11">
        <f t="shared" si="136"/>
        <v>0</v>
      </c>
      <c r="AO97" s="11">
        <f t="shared" si="137"/>
        <v>0</v>
      </c>
      <c r="AP97" s="40">
        <f t="shared" si="138"/>
        <v>0</v>
      </c>
      <c r="AQ97" s="40">
        <f t="shared" si="139"/>
        <v>0</v>
      </c>
      <c r="AR97" s="40">
        <f t="shared" si="140"/>
        <v>0</v>
      </c>
      <c r="AS97" s="40" t="str">
        <f t="shared" si="141"/>
        <v/>
      </c>
      <c r="AT97" s="11" t="str">
        <f t="shared" si="142"/>
        <v/>
      </c>
      <c r="AU97" s="11">
        <f t="shared" si="143"/>
        <v>1</v>
      </c>
      <c r="AV97" s="11">
        <f t="shared" si="144"/>
        <v>1</v>
      </c>
      <c r="AW97" s="11" t="str">
        <f t="shared" si="145"/>
        <v/>
      </c>
      <c r="AX97" s="11" t="str">
        <f t="shared" si="146"/>
        <v/>
      </c>
      <c r="AY97" s="11" t="str">
        <f t="shared" si="147"/>
        <v/>
      </c>
      <c r="AZ97" s="11" t="str">
        <f t="shared" si="148"/>
        <v/>
      </c>
      <c r="BA97" s="11" t="str">
        <f t="shared" si="149"/>
        <v/>
      </c>
      <c r="BB97" s="11" t="str">
        <f t="shared" si="150"/>
        <v/>
      </c>
      <c r="BC97" s="11" t="str">
        <f t="shared" si="151"/>
        <v/>
      </c>
      <c r="BD97" s="11" t="str">
        <f t="shared" si="152"/>
        <v/>
      </c>
      <c r="BE97" s="39" t="str">
        <f t="shared" si="153"/>
        <v/>
      </c>
      <c r="BF97" s="11" t="str">
        <f t="shared" si="154"/>
        <v/>
      </c>
      <c r="BG97" s="11" t="str">
        <f t="shared" si="155"/>
        <v/>
      </c>
      <c r="BH97" s="39" t="str">
        <f t="shared" si="156"/>
        <v/>
      </c>
      <c r="BI97" s="11" t="str">
        <f t="shared" si="157"/>
        <v/>
      </c>
      <c r="BJ97" s="11" t="str">
        <f>IF($X97=0,"",IF($Q97&lt;&gt;"",$Q97,NEC_UNIDAD($W97,$E97,$Y97,$Z97,N($AT97),$C$7,OCUPACION)))</f>
        <v/>
      </c>
      <c r="BK97" s="11" t="str">
        <f>IF($X97=0,"",IF(N($R97)&gt;0,$R97,BREAKER_SEL($BX$60,$BI97,$AT97,$C$7,$BX$58,$BX$69,$BJ97)))</f>
        <v/>
      </c>
      <c r="BL97" s="11" t="str">
        <f>IF($BK97="","",BREAKER_REF($BX$60,$BK97,$BI97,$AT97,FALSE))</f>
        <v/>
      </c>
      <c r="BM97" s="11" t="str">
        <f>IF($BK97="","",BREAKER_DATO($BX$60,$BK97,"sccr"))</f>
        <v/>
      </c>
      <c r="BN97" s="11" t="str">
        <f>IF(OR($BK97="",N($BM97)&gt;=$BX$58,$BX$71="",N($BX$74)&lt;$BX$58),"",SERIE_KA($BX$60,BREAKER_DATO($BX$60,$BK97,"modelo"),$BX$72,N($BX$24),$C$7,$BX$58))</f>
        <v/>
      </c>
      <c r="BO97" s="11" t="str">
        <f>IF($BK97="","",BREAKER_DATO($BX$60,$BK97,"unidad"))</f>
        <v/>
      </c>
      <c r="BP97" s="11" t="str">
        <f>IF($BK97="","",BREAKER_DATO($BX$60,$BK97,"marco"))</f>
        <v/>
      </c>
      <c r="BQ97" s="11" t="str">
        <f t="shared" si="158"/>
        <v/>
      </c>
      <c r="BR97" s="11" t="str">
        <f t="shared" si="159"/>
        <v/>
      </c>
      <c r="BS97" s="11" t="str">
        <f t="shared" si="160"/>
        <v/>
      </c>
      <c r="BT97" s="11" t="str">
        <f t="shared" si="161"/>
        <v/>
      </c>
      <c r="BU97" s="11" t="str">
        <f t="shared" si="162"/>
        <v/>
      </c>
      <c r="BW97" t="s">
        <v>46</v>
      </c>
      <c r="BX97" t="str">
        <f>TRIM(IF(BX51&gt;CVMAX_ALIM,"Caída acumulada "&amp;FIXED(BX51,2)&amp;" % &gt; "&amp;CVMAX_ALIM&amp;" %. ","")&amp;IF(AND(BX29&lt;&gt;"",PARTE(BX29,3)="0"),"Alimentador no cumple ampacidad corregida. ","")&amp;IF(BX62="","Sin tablero de catálogo. ","")&amp;IF(AND(N(BX67)&gt;0,N(BX67)&lt;BX61),"Faltan espacios. ","")&amp;IF(AND(BX74&lt;&gt;"",N(BX74)&lt;BX58),"SCCR del principal &lt; Icc. ","")&amp;IF(BX7&gt;DESB_MAX,"Desbalance "&amp;FIXED(BX7,1)&amp;" %. ","")&amp;IF(AND(BX41&lt;&gt;"",N(BX41)&gt;1),"Transformador sobrecargado. ","")&amp;IF(AND(N(BX44)&gt;0,N(BX44)&lt;&gt;$C$7,$I$3&lt;&gt;"SI"),"Voltaje distinto al del padre: agregue transformador. ","")&amp;IF(AND(BX93&lt;&gt;"",N(BX93)&gt;CVMAX_ALIM),"Caída de la 2ª acometida alta. ","")&amp;IF(AND($I$14="SI",OR($I$15="ATS",$I$15="MTS"),N(BX117)&gt;0,N(BX117)&lt;N(BX113)),"WCR del "&amp;$I$15&amp;" "&amp;BX117&amp;" kA &lt; Icc en el "&amp;$I$15&amp;" "&amp;FIXED(N(BX113),2)&amp;" kA. ","")&amp;IF(AND($I$14="SI",OR($I$15="ATS",$I$15="MTS"),BX114=""),"Sin "&amp;$I$15&amp;" de catálogo. ","")&amp;IF(BX80&lt;&gt;"",IF(N(BX80)&lt;BX77,"SPD de "&amp;BX80&amp;" kA &lt; "&amp;BX77&amp;" kA recomendados (242). ",""),"")&amp;IF(N(BX24)&gt;=1200,"240.87: reducción de energía de arco. ","")&amp;IF(COUNTIF($BU$25:$BU$124,"?*")&gt;0,COUNTIF($BU$25:$BU$124,"?*")&amp;" circuito(s) con aviso. ",""))</f>
        <v/>
      </c>
      <c r="CA97" s="11" t="str">
        <f t="shared" si="163"/>
        <v/>
      </c>
      <c r="CB97" s="11" t="str">
        <f t="shared" si="164"/>
        <v/>
      </c>
    </row>
    <row r="98" spans="1:80" ht="14.65" x14ac:dyDescent="0.45">
      <c r="A98" s="37"/>
      <c r="B98" s="14">
        <v>48</v>
      </c>
      <c r="C98" s="37"/>
      <c r="D98" s="37"/>
      <c r="E98" s="37"/>
      <c r="F98" s="37" t="str">
        <f t="shared" si="110"/>
        <v/>
      </c>
      <c r="G98" s="38"/>
      <c r="H98" s="37"/>
      <c r="I98" s="37" t="str">
        <f t="shared" si="111"/>
        <v/>
      </c>
      <c r="J98" s="37" t="str">
        <f t="shared" si="112"/>
        <v/>
      </c>
      <c r="K98" s="37" t="str">
        <f t="shared" si="113"/>
        <v/>
      </c>
      <c r="L98" s="37" t="str">
        <f t="shared" si="114"/>
        <v/>
      </c>
      <c r="M98" s="37" t="str">
        <f t="shared" si="115"/>
        <v/>
      </c>
      <c r="N98" s="37" t="str">
        <f t="shared" si="116"/>
        <v/>
      </c>
      <c r="O98" s="37" t="str">
        <f t="shared" si="117"/>
        <v/>
      </c>
      <c r="P98" s="37" t="str">
        <f t="shared" si="118"/>
        <v/>
      </c>
      <c r="Q98" s="37" t="str">
        <f>IF($X98=0,"",NEC_UNIDAD($W98,$E98,$Y98,$Z98,N($AT98),$C$7,OCUPACION))</f>
        <v/>
      </c>
      <c r="R98" s="37" t="str">
        <f>IF($X98=0,"",BREAKER_SEL($BX$60,$BI98,$AT98,$C$7,$BX$58,$BX$69,$BJ98))</f>
        <v/>
      </c>
      <c r="S98" s="37"/>
      <c r="T98" s="37"/>
      <c r="U98" s="37"/>
      <c r="V98" s="37"/>
      <c r="W98" s="11" t="str">
        <f t="shared" si="119"/>
        <v/>
      </c>
      <c r="X98" s="39">
        <f t="shared" si="120"/>
        <v>0</v>
      </c>
      <c r="Y98" s="11">
        <f t="shared" si="121"/>
        <v>0</v>
      </c>
      <c r="Z98" s="11">
        <f t="shared" si="122"/>
        <v>0</v>
      </c>
      <c r="AA98" s="11">
        <f t="shared" si="123"/>
        <v>0</v>
      </c>
      <c r="AB98" s="11">
        <f t="shared" si="124"/>
        <v>1</v>
      </c>
      <c r="AC98" s="11">
        <f t="shared" si="125"/>
        <v>1</v>
      </c>
      <c r="AD98" s="11">
        <f t="shared" si="126"/>
        <v>1</v>
      </c>
      <c r="AE98" s="11" t="str">
        <f t="shared" si="127"/>
        <v/>
      </c>
      <c r="AF98" s="11">
        <f t="shared" si="128"/>
        <v>1.25</v>
      </c>
      <c r="AG98" s="11">
        <f t="shared" si="129"/>
        <v>2</v>
      </c>
      <c r="AH98" s="11">
        <f t="shared" si="130"/>
        <v>-1</v>
      </c>
      <c r="AI98" s="11">
        <f t="shared" si="131"/>
        <v>-1</v>
      </c>
      <c r="AJ98" s="39">
        <f t="shared" si="132"/>
        <v>0</v>
      </c>
      <c r="AK98" s="39">
        <f t="shared" si="133"/>
        <v>0</v>
      </c>
      <c r="AL98" s="39">
        <f t="shared" si="134"/>
        <v>0</v>
      </c>
      <c r="AM98" s="11">
        <f t="shared" si="135"/>
        <v>0</v>
      </c>
      <c r="AN98" s="11">
        <f t="shared" si="136"/>
        <v>0</v>
      </c>
      <c r="AO98" s="11">
        <f t="shared" si="137"/>
        <v>0</v>
      </c>
      <c r="AP98" s="40">
        <f t="shared" si="138"/>
        <v>0</v>
      </c>
      <c r="AQ98" s="40">
        <f t="shared" si="139"/>
        <v>0</v>
      </c>
      <c r="AR98" s="40">
        <f t="shared" si="140"/>
        <v>0</v>
      </c>
      <c r="AS98" s="40" t="str">
        <f t="shared" si="141"/>
        <v/>
      </c>
      <c r="AT98" s="11" t="str">
        <f t="shared" si="142"/>
        <v/>
      </c>
      <c r="AU98" s="11">
        <f t="shared" si="143"/>
        <v>1</v>
      </c>
      <c r="AV98" s="11">
        <f t="shared" si="144"/>
        <v>1</v>
      </c>
      <c r="AW98" s="11" t="str">
        <f t="shared" si="145"/>
        <v/>
      </c>
      <c r="AX98" s="11" t="str">
        <f t="shared" si="146"/>
        <v/>
      </c>
      <c r="AY98" s="11" t="str">
        <f t="shared" si="147"/>
        <v/>
      </c>
      <c r="AZ98" s="11" t="str">
        <f t="shared" si="148"/>
        <v/>
      </c>
      <c r="BA98" s="11" t="str">
        <f t="shared" si="149"/>
        <v/>
      </c>
      <c r="BB98" s="11" t="str">
        <f t="shared" si="150"/>
        <v/>
      </c>
      <c r="BC98" s="11" t="str">
        <f t="shared" si="151"/>
        <v/>
      </c>
      <c r="BD98" s="11" t="str">
        <f t="shared" si="152"/>
        <v/>
      </c>
      <c r="BE98" s="39" t="str">
        <f t="shared" si="153"/>
        <v/>
      </c>
      <c r="BF98" s="11" t="str">
        <f t="shared" si="154"/>
        <v/>
      </c>
      <c r="BG98" s="11" t="str">
        <f t="shared" si="155"/>
        <v/>
      </c>
      <c r="BH98" s="39" t="str">
        <f t="shared" si="156"/>
        <v/>
      </c>
      <c r="BI98" s="11" t="str">
        <f t="shared" si="157"/>
        <v/>
      </c>
      <c r="BJ98" s="11" t="str">
        <f>IF($X98=0,"",IF($Q98&lt;&gt;"",$Q98,NEC_UNIDAD($W98,$E98,$Y98,$Z98,N($AT98),$C$7,OCUPACION)))</f>
        <v/>
      </c>
      <c r="BK98" s="11" t="str">
        <f>IF($X98=0,"",IF(N($R98)&gt;0,$R98,BREAKER_SEL($BX$60,$BI98,$AT98,$C$7,$BX$58,$BX$69,$BJ98)))</f>
        <v/>
      </c>
      <c r="BL98" s="11" t="str">
        <f>IF($BK98="","",BREAKER_REF($BX$60,$BK98,$BI98,$AT98,FALSE))</f>
        <v/>
      </c>
      <c r="BM98" s="11" t="str">
        <f>IF($BK98="","",BREAKER_DATO($BX$60,$BK98,"sccr"))</f>
        <v/>
      </c>
      <c r="BN98" s="11" t="str">
        <f>IF(OR($BK98="",N($BM98)&gt;=$BX$58,$BX$71="",N($BX$74)&lt;$BX$58),"",SERIE_KA($BX$60,BREAKER_DATO($BX$60,$BK98,"modelo"),$BX$72,N($BX$24),$C$7,$BX$58))</f>
        <v/>
      </c>
      <c r="BO98" s="11" t="str">
        <f>IF($BK98="","",BREAKER_DATO($BX$60,$BK98,"unidad"))</f>
        <v/>
      </c>
      <c r="BP98" s="11" t="str">
        <f>IF($BK98="","",BREAKER_DATO($BX$60,$BK98,"marco"))</f>
        <v/>
      </c>
      <c r="BQ98" s="11" t="str">
        <f t="shared" si="158"/>
        <v/>
      </c>
      <c r="BR98" s="11" t="str">
        <f t="shared" si="159"/>
        <v/>
      </c>
      <c r="BS98" s="11" t="str">
        <f t="shared" si="160"/>
        <v/>
      </c>
      <c r="BT98" s="11" t="str">
        <f t="shared" si="161"/>
        <v/>
      </c>
      <c r="BU98" s="11" t="str">
        <f t="shared" si="162"/>
        <v/>
      </c>
      <c r="BW98" t="s">
        <v>37</v>
      </c>
      <c r="BX98" t="str">
        <f>IF($C$10&lt;&gt;"",IF(BX108&lt;&gt;"",BX108,$C$10),$C$11&amp;"")</f>
        <v/>
      </c>
      <c r="CA98" s="11" t="str">
        <f t="shared" si="163"/>
        <v/>
      </c>
      <c r="CB98" s="11" t="str">
        <f t="shared" si="164"/>
        <v/>
      </c>
    </row>
    <row r="99" spans="1:80" ht="14.65" x14ac:dyDescent="0.45">
      <c r="A99" s="37"/>
      <c r="B99" s="14">
        <v>50</v>
      </c>
      <c r="C99" s="37"/>
      <c r="D99" s="37"/>
      <c r="E99" s="37"/>
      <c r="F99" s="37" t="str">
        <f t="shared" si="110"/>
        <v/>
      </c>
      <c r="G99" s="38"/>
      <c r="H99" s="37"/>
      <c r="I99" s="37" t="str">
        <f t="shared" si="111"/>
        <v/>
      </c>
      <c r="J99" s="37" t="str">
        <f t="shared" si="112"/>
        <v/>
      </c>
      <c r="K99" s="37" t="str">
        <f t="shared" si="113"/>
        <v/>
      </c>
      <c r="L99" s="37" t="str">
        <f t="shared" si="114"/>
        <v/>
      </c>
      <c r="M99" s="37" t="str">
        <f t="shared" si="115"/>
        <v/>
      </c>
      <c r="N99" s="37" t="str">
        <f t="shared" si="116"/>
        <v/>
      </c>
      <c r="O99" s="37" t="str">
        <f t="shared" si="117"/>
        <v/>
      </c>
      <c r="P99" s="37" t="str">
        <f t="shared" si="118"/>
        <v/>
      </c>
      <c r="Q99" s="37" t="str">
        <f>IF($X99=0,"",NEC_UNIDAD($W99,$E99,$Y99,$Z99,N($AT99),$C$7,OCUPACION))</f>
        <v/>
      </c>
      <c r="R99" s="37" t="str">
        <f>IF($X99=0,"",BREAKER_SEL($BX$60,$BI99,$AT99,$C$7,$BX$58,$BX$69,$BJ99))</f>
        <v/>
      </c>
      <c r="S99" s="37"/>
      <c r="T99" s="37"/>
      <c r="U99" s="37"/>
      <c r="V99" s="37"/>
      <c r="W99" s="11" t="str">
        <f t="shared" si="119"/>
        <v/>
      </c>
      <c r="X99" s="39">
        <f t="shared" si="120"/>
        <v>0</v>
      </c>
      <c r="Y99" s="11">
        <f t="shared" si="121"/>
        <v>0</v>
      </c>
      <c r="Z99" s="11">
        <f t="shared" si="122"/>
        <v>0</v>
      </c>
      <c r="AA99" s="11">
        <f t="shared" si="123"/>
        <v>0</v>
      </c>
      <c r="AB99" s="11">
        <f t="shared" si="124"/>
        <v>1</v>
      </c>
      <c r="AC99" s="11">
        <f t="shared" si="125"/>
        <v>1</v>
      </c>
      <c r="AD99" s="11">
        <f t="shared" si="126"/>
        <v>1</v>
      </c>
      <c r="AE99" s="11" t="str">
        <f t="shared" si="127"/>
        <v/>
      </c>
      <c r="AF99" s="11">
        <f t="shared" si="128"/>
        <v>1.25</v>
      </c>
      <c r="AG99" s="11">
        <f t="shared" si="129"/>
        <v>0</v>
      </c>
      <c r="AH99" s="11">
        <f t="shared" si="130"/>
        <v>-1</v>
      </c>
      <c r="AI99" s="11">
        <f t="shared" si="131"/>
        <v>-1</v>
      </c>
      <c r="AJ99" s="39">
        <f t="shared" si="132"/>
        <v>0</v>
      </c>
      <c r="AK99" s="39">
        <f t="shared" si="133"/>
        <v>0</v>
      </c>
      <c r="AL99" s="39">
        <f t="shared" si="134"/>
        <v>0</v>
      </c>
      <c r="AM99" s="11">
        <f t="shared" si="135"/>
        <v>0</v>
      </c>
      <c r="AN99" s="11">
        <f t="shared" si="136"/>
        <v>0</v>
      </c>
      <c r="AO99" s="11">
        <f t="shared" si="137"/>
        <v>0</v>
      </c>
      <c r="AP99" s="40">
        <f t="shared" si="138"/>
        <v>0</v>
      </c>
      <c r="AQ99" s="40">
        <f t="shared" si="139"/>
        <v>0</v>
      </c>
      <c r="AR99" s="40">
        <f t="shared" si="140"/>
        <v>0</v>
      </c>
      <c r="AS99" s="40" t="str">
        <f t="shared" si="141"/>
        <v/>
      </c>
      <c r="AT99" s="11" t="str">
        <f t="shared" si="142"/>
        <v/>
      </c>
      <c r="AU99" s="11">
        <f t="shared" si="143"/>
        <v>1</v>
      </c>
      <c r="AV99" s="11">
        <f t="shared" si="144"/>
        <v>1</v>
      </c>
      <c r="AW99" s="11" t="str">
        <f t="shared" si="145"/>
        <v/>
      </c>
      <c r="AX99" s="11" t="str">
        <f t="shared" si="146"/>
        <v/>
      </c>
      <c r="AY99" s="11" t="str">
        <f t="shared" si="147"/>
        <v/>
      </c>
      <c r="AZ99" s="11" t="str">
        <f t="shared" si="148"/>
        <v/>
      </c>
      <c r="BA99" s="11" t="str">
        <f t="shared" si="149"/>
        <v/>
      </c>
      <c r="BB99" s="11" t="str">
        <f t="shared" si="150"/>
        <v/>
      </c>
      <c r="BC99" s="11" t="str">
        <f t="shared" si="151"/>
        <v/>
      </c>
      <c r="BD99" s="11" t="str">
        <f t="shared" si="152"/>
        <v/>
      </c>
      <c r="BE99" s="39" t="str">
        <f t="shared" si="153"/>
        <v/>
      </c>
      <c r="BF99" s="11" t="str">
        <f t="shared" si="154"/>
        <v/>
      </c>
      <c r="BG99" s="11" t="str">
        <f t="shared" si="155"/>
        <v/>
      </c>
      <c r="BH99" s="39" t="str">
        <f t="shared" si="156"/>
        <v/>
      </c>
      <c r="BI99" s="11" t="str">
        <f t="shared" si="157"/>
        <v/>
      </c>
      <c r="BJ99" s="11" t="str">
        <f>IF($X99=0,"",IF($Q99&lt;&gt;"",$Q99,NEC_UNIDAD($W99,$E99,$Y99,$Z99,N($AT99),$C$7,OCUPACION)))</f>
        <v/>
      </c>
      <c r="BK99" s="11" t="str">
        <f>IF($X99=0,"",IF(N($R99)&gt;0,$R99,BREAKER_SEL($BX$60,$BI99,$AT99,$C$7,$BX$58,$BX$69,$BJ99)))</f>
        <v/>
      </c>
      <c r="BL99" s="11" t="str">
        <f>IF($BK99="","",BREAKER_REF($BX$60,$BK99,$BI99,$AT99,FALSE))</f>
        <v/>
      </c>
      <c r="BM99" s="11" t="str">
        <f>IF($BK99="","",BREAKER_DATO($BX$60,$BK99,"sccr"))</f>
        <v/>
      </c>
      <c r="BN99" s="11" t="str">
        <f>IF(OR($BK99="",N($BM99)&gt;=$BX$58,$BX$71="",N($BX$74)&lt;$BX$58),"",SERIE_KA($BX$60,BREAKER_DATO($BX$60,$BK99,"modelo"),$BX$72,N($BX$24),$C$7,$BX$58))</f>
        <v/>
      </c>
      <c r="BO99" s="11" t="str">
        <f>IF($BK99="","",BREAKER_DATO($BX$60,$BK99,"unidad"))</f>
        <v/>
      </c>
      <c r="BP99" s="11" t="str">
        <f>IF($BK99="","",BREAKER_DATO($BX$60,$BK99,"marco"))</f>
        <v/>
      </c>
      <c r="BQ99" s="11" t="str">
        <f t="shared" si="158"/>
        <v/>
      </c>
      <c r="BR99" s="11" t="str">
        <f t="shared" si="159"/>
        <v/>
      </c>
      <c r="BS99" s="11" t="str">
        <f t="shared" si="160"/>
        <v/>
      </c>
      <c r="BT99" s="11" t="str">
        <f t="shared" si="161"/>
        <v/>
      </c>
      <c r="BU99" s="11" t="str">
        <f t="shared" si="162"/>
        <v/>
      </c>
      <c r="BW99" t="s">
        <v>811</v>
      </c>
      <c r="BX99" t="str">
        <f>IF(BX31="","",BX32&amp;BX31)</f>
        <v/>
      </c>
      <c r="CA99" s="11" t="str">
        <f t="shared" si="163"/>
        <v/>
      </c>
      <c r="CB99" s="11" t="str">
        <f t="shared" si="164"/>
        <v/>
      </c>
    </row>
    <row r="100" spans="1:80" ht="14.65" x14ac:dyDescent="0.45">
      <c r="A100" s="37"/>
      <c r="B100" s="14">
        <v>52</v>
      </c>
      <c r="C100" s="37"/>
      <c r="D100" s="37"/>
      <c r="E100" s="37"/>
      <c r="F100" s="37" t="str">
        <f t="shared" si="110"/>
        <v/>
      </c>
      <c r="G100" s="38"/>
      <c r="H100" s="37"/>
      <c r="I100" s="37" t="str">
        <f t="shared" si="111"/>
        <v/>
      </c>
      <c r="J100" s="37" t="str">
        <f t="shared" si="112"/>
        <v/>
      </c>
      <c r="K100" s="37" t="str">
        <f t="shared" si="113"/>
        <v/>
      </c>
      <c r="L100" s="37" t="str">
        <f t="shared" si="114"/>
        <v/>
      </c>
      <c r="M100" s="37" t="str">
        <f t="shared" si="115"/>
        <v/>
      </c>
      <c r="N100" s="37" t="str">
        <f t="shared" si="116"/>
        <v/>
      </c>
      <c r="O100" s="37" t="str">
        <f t="shared" si="117"/>
        <v/>
      </c>
      <c r="P100" s="37" t="str">
        <f t="shared" si="118"/>
        <v/>
      </c>
      <c r="Q100" s="37" t="str">
        <f>IF($X100=0,"",NEC_UNIDAD($W100,$E100,$Y100,$Z100,N($AT100),$C$7,OCUPACION))</f>
        <v/>
      </c>
      <c r="R100" s="37" t="str">
        <f>IF($X100=0,"",BREAKER_SEL($BX$60,$BI100,$AT100,$C$7,$BX$58,$BX$69,$BJ100))</f>
        <v/>
      </c>
      <c r="S100" s="37"/>
      <c r="T100" s="37"/>
      <c r="U100" s="37"/>
      <c r="V100" s="37"/>
      <c r="W100" s="11" t="str">
        <f t="shared" si="119"/>
        <v/>
      </c>
      <c r="X100" s="39">
        <f t="shared" si="120"/>
        <v>0</v>
      </c>
      <c r="Y100" s="11">
        <f t="shared" si="121"/>
        <v>0</v>
      </c>
      <c r="Z100" s="11">
        <f t="shared" si="122"/>
        <v>0</v>
      </c>
      <c r="AA100" s="11">
        <f t="shared" si="123"/>
        <v>0</v>
      </c>
      <c r="AB100" s="11">
        <f t="shared" si="124"/>
        <v>1</v>
      </c>
      <c r="AC100" s="11">
        <f t="shared" si="125"/>
        <v>1</v>
      </c>
      <c r="AD100" s="11">
        <f t="shared" si="126"/>
        <v>1</v>
      </c>
      <c r="AE100" s="11" t="str">
        <f t="shared" si="127"/>
        <v/>
      </c>
      <c r="AF100" s="11">
        <f t="shared" si="128"/>
        <v>1.25</v>
      </c>
      <c r="AG100" s="11">
        <f t="shared" si="129"/>
        <v>1</v>
      </c>
      <c r="AH100" s="11">
        <f t="shared" si="130"/>
        <v>-1</v>
      </c>
      <c r="AI100" s="11">
        <f t="shared" si="131"/>
        <v>-1</v>
      </c>
      <c r="AJ100" s="39">
        <f t="shared" si="132"/>
        <v>0</v>
      </c>
      <c r="AK100" s="39">
        <f t="shared" si="133"/>
        <v>0</v>
      </c>
      <c r="AL100" s="39">
        <f t="shared" si="134"/>
        <v>0</v>
      </c>
      <c r="AM100" s="11">
        <f t="shared" si="135"/>
        <v>0</v>
      </c>
      <c r="AN100" s="11">
        <f t="shared" si="136"/>
        <v>0</v>
      </c>
      <c r="AO100" s="11">
        <f t="shared" si="137"/>
        <v>0</v>
      </c>
      <c r="AP100" s="40">
        <f t="shared" si="138"/>
        <v>0</v>
      </c>
      <c r="AQ100" s="40">
        <f t="shared" si="139"/>
        <v>0</v>
      </c>
      <c r="AR100" s="40">
        <f t="shared" si="140"/>
        <v>0</v>
      </c>
      <c r="AS100" s="40" t="str">
        <f t="shared" si="141"/>
        <v/>
      </c>
      <c r="AT100" s="11" t="str">
        <f t="shared" si="142"/>
        <v/>
      </c>
      <c r="AU100" s="11">
        <f t="shared" si="143"/>
        <v>1</v>
      </c>
      <c r="AV100" s="11">
        <f t="shared" si="144"/>
        <v>1</v>
      </c>
      <c r="AW100" s="11" t="str">
        <f t="shared" si="145"/>
        <v/>
      </c>
      <c r="AX100" s="11" t="str">
        <f t="shared" si="146"/>
        <v/>
      </c>
      <c r="AY100" s="11" t="str">
        <f t="shared" si="147"/>
        <v/>
      </c>
      <c r="AZ100" s="11" t="str">
        <f t="shared" si="148"/>
        <v/>
      </c>
      <c r="BA100" s="11" t="str">
        <f t="shared" si="149"/>
        <v/>
      </c>
      <c r="BB100" s="11" t="str">
        <f t="shared" si="150"/>
        <v/>
      </c>
      <c r="BC100" s="11" t="str">
        <f t="shared" si="151"/>
        <v/>
      </c>
      <c r="BD100" s="11" t="str">
        <f t="shared" si="152"/>
        <v/>
      </c>
      <c r="BE100" s="39" t="str">
        <f t="shared" si="153"/>
        <v/>
      </c>
      <c r="BF100" s="11" t="str">
        <f t="shared" si="154"/>
        <v/>
      </c>
      <c r="BG100" s="11" t="str">
        <f t="shared" si="155"/>
        <v/>
      </c>
      <c r="BH100" s="39" t="str">
        <f t="shared" si="156"/>
        <v/>
      </c>
      <c r="BI100" s="11" t="str">
        <f t="shared" si="157"/>
        <v/>
      </c>
      <c r="BJ100" s="11" t="str">
        <f>IF($X100=0,"",IF($Q100&lt;&gt;"",$Q100,NEC_UNIDAD($W100,$E100,$Y100,$Z100,N($AT100),$C$7,OCUPACION)))</f>
        <v/>
      </c>
      <c r="BK100" s="11" t="str">
        <f>IF($X100=0,"",IF(N($R100)&gt;0,$R100,BREAKER_SEL($BX$60,$BI100,$AT100,$C$7,$BX$58,$BX$69,$BJ100)))</f>
        <v/>
      </c>
      <c r="BL100" s="11" t="str">
        <f>IF($BK100="","",BREAKER_REF($BX$60,$BK100,$BI100,$AT100,FALSE))</f>
        <v/>
      </c>
      <c r="BM100" s="11" t="str">
        <f>IF($BK100="","",BREAKER_DATO($BX$60,$BK100,"sccr"))</f>
        <v/>
      </c>
      <c r="BN100" s="11" t="str">
        <f>IF(OR($BK100="",N($BM100)&gt;=$BX$58,$BX$71="",N($BX$74)&lt;$BX$58),"",SERIE_KA($BX$60,BREAKER_DATO($BX$60,$BK100,"modelo"),$BX$72,N($BX$24),$C$7,$BX$58))</f>
        <v/>
      </c>
      <c r="BO100" s="11" t="str">
        <f>IF($BK100="","",BREAKER_DATO($BX$60,$BK100,"unidad"))</f>
        <v/>
      </c>
      <c r="BP100" s="11" t="str">
        <f>IF($BK100="","",BREAKER_DATO($BX$60,$BK100,"marco"))</f>
        <v/>
      </c>
      <c r="BQ100" s="11" t="str">
        <f t="shared" si="158"/>
        <v/>
      </c>
      <c r="BR100" s="11" t="str">
        <f t="shared" si="159"/>
        <v/>
      </c>
      <c r="BS100" s="11" t="str">
        <f t="shared" si="160"/>
        <v/>
      </c>
      <c r="BT100" s="11" t="str">
        <f t="shared" si="161"/>
        <v/>
      </c>
      <c r="BU100" s="11" t="str">
        <f t="shared" si="162"/>
        <v/>
      </c>
      <c r="BW100" t="s">
        <v>812</v>
      </c>
      <c r="BX100" t="str">
        <f>IF(BX33="","",BX104&amp;BX33)</f>
        <v/>
      </c>
      <c r="CA100" s="11" t="str">
        <f t="shared" si="163"/>
        <v/>
      </c>
      <c r="CB100" s="11" t="str">
        <f t="shared" si="164"/>
        <v/>
      </c>
    </row>
    <row r="101" spans="1:80" ht="14.65" x14ac:dyDescent="0.45">
      <c r="A101" s="37"/>
      <c r="B101" s="14">
        <v>54</v>
      </c>
      <c r="C101" s="37"/>
      <c r="D101" s="37"/>
      <c r="E101" s="37"/>
      <c r="F101" s="37" t="str">
        <f t="shared" si="110"/>
        <v/>
      </c>
      <c r="G101" s="38"/>
      <c r="H101" s="37"/>
      <c r="I101" s="37" t="str">
        <f t="shared" si="111"/>
        <v/>
      </c>
      <c r="J101" s="37" t="str">
        <f t="shared" si="112"/>
        <v/>
      </c>
      <c r="K101" s="37" t="str">
        <f t="shared" si="113"/>
        <v/>
      </c>
      <c r="L101" s="37" t="str">
        <f t="shared" si="114"/>
        <v/>
      </c>
      <c r="M101" s="37" t="str">
        <f t="shared" si="115"/>
        <v/>
      </c>
      <c r="N101" s="37" t="str">
        <f t="shared" si="116"/>
        <v/>
      </c>
      <c r="O101" s="37" t="str">
        <f t="shared" si="117"/>
        <v/>
      </c>
      <c r="P101" s="37" t="str">
        <f t="shared" si="118"/>
        <v/>
      </c>
      <c r="Q101" s="37" t="str">
        <f>IF($X101=0,"",NEC_UNIDAD($W101,$E101,$Y101,$Z101,N($AT101),$C$7,OCUPACION))</f>
        <v/>
      </c>
      <c r="R101" s="37" t="str">
        <f>IF($X101=0,"",BREAKER_SEL($BX$60,$BI101,$AT101,$C$7,$BX$58,$BX$69,$BJ101))</f>
        <v/>
      </c>
      <c r="S101" s="37"/>
      <c r="T101" s="37"/>
      <c r="U101" s="37"/>
      <c r="V101" s="37"/>
      <c r="W101" s="11" t="str">
        <f t="shared" si="119"/>
        <v/>
      </c>
      <c r="X101" s="39">
        <f t="shared" si="120"/>
        <v>0</v>
      </c>
      <c r="Y101" s="11">
        <f t="shared" si="121"/>
        <v>0</v>
      </c>
      <c r="Z101" s="11">
        <f t="shared" si="122"/>
        <v>0</v>
      </c>
      <c r="AA101" s="11">
        <f t="shared" si="123"/>
        <v>0</v>
      </c>
      <c r="AB101" s="11">
        <f t="shared" si="124"/>
        <v>1</v>
      </c>
      <c r="AC101" s="11">
        <f t="shared" si="125"/>
        <v>1</v>
      </c>
      <c r="AD101" s="11">
        <f t="shared" si="126"/>
        <v>1</v>
      </c>
      <c r="AE101" s="11" t="str">
        <f t="shared" si="127"/>
        <v/>
      </c>
      <c r="AF101" s="11">
        <f t="shared" si="128"/>
        <v>1.25</v>
      </c>
      <c r="AG101" s="11">
        <f t="shared" si="129"/>
        <v>2</v>
      </c>
      <c r="AH101" s="11">
        <f t="shared" si="130"/>
        <v>-1</v>
      </c>
      <c r="AI101" s="11">
        <f t="shared" si="131"/>
        <v>-1</v>
      </c>
      <c r="AJ101" s="39">
        <f t="shared" si="132"/>
        <v>0</v>
      </c>
      <c r="AK101" s="39">
        <f t="shared" si="133"/>
        <v>0</v>
      </c>
      <c r="AL101" s="39">
        <f t="shared" si="134"/>
        <v>0</v>
      </c>
      <c r="AM101" s="11">
        <f t="shared" si="135"/>
        <v>0</v>
      </c>
      <c r="AN101" s="11">
        <f t="shared" si="136"/>
        <v>0</v>
      </c>
      <c r="AO101" s="11">
        <f t="shared" si="137"/>
        <v>0</v>
      </c>
      <c r="AP101" s="40">
        <f t="shared" si="138"/>
        <v>0</v>
      </c>
      <c r="AQ101" s="40">
        <f t="shared" si="139"/>
        <v>0</v>
      </c>
      <c r="AR101" s="40">
        <f t="shared" si="140"/>
        <v>0</v>
      </c>
      <c r="AS101" s="40" t="str">
        <f t="shared" si="141"/>
        <v/>
      </c>
      <c r="AT101" s="11" t="str">
        <f t="shared" si="142"/>
        <v/>
      </c>
      <c r="AU101" s="11">
        <f t="shared" si="143"/>
        <v>1</v>
      </c>
      <c r="AV101" s="11">
        <f t="shared" si="144"/>
        <v>1</v>
      </c>
      <c r="AW101" s="11" t="str">
        <f t="shared" si="145"/>
        <v/>
      </c>
      <c r="AX101" s="11" t="str">
        <f t="shared" si="146"/>
        <v/>
      </c>
      <c r="AY101" s="11" t="str">
        <f t="shared" si="147"/>
        <v/>
      </c>
      <c r="AZ101" s="11" t="str">
        <f t="shared" si="148"/>
        <v/>
      </c>
      <c r="BA101" s="11" t="str">
        <f t="shared" si="149"/>
        <v/>
      </c>
      <c r="BB101" s="11" t="str">
        <f t="shared" si="150"/>
        <v/>
      </c>
      <c r="BC101" s="11" t="str">
        <f t="shared" si="151"/>
        <v/>
      </c>
      <c r="BD101" s="11" t="str">
        <f t="shared" si="152"/>
        <v/>
      </c>
      <c r="BE101" s="39" t="str">
        <f t="shared" si="153"/>
        <v/>
      </c>
      <c r="BF101" s="11" t="str">
        <f t="shared" si="154"/>
        <v/>
      </c>
      <c r="BG101" s="11" t="str">
        <f t="shared" si="155"/>
        <v/>
      </c>
      <c r="BH101" s="39" t="str">
        <f t="shared" si="156"/>
        <v/>
      </c>
      <c r="BI101" s="11" t="str">
        <f t="shared" si="157"/>
        <v/>
      </c>
      <c r="BJ101" s="11" t="str">
        <f>IF($X101=0,"",IF($Q101&lt;&gt;"",$Q101,NEC_UNIDAD($W101,$E101,$Y101,$Z101,N($AT101),$C$7,OCUPACION)))</f>
        <v/>
      </c>
      <c r="BK101" s="11" t="str">
        <f>IF($X101=0,"",IF(N($R101)&gt;0,$R101,BREAKER_SEL($BX$60,$BI101,$AT101,$C$7,$BX$58,$BX$69,$BJ101)))</f>
        <v/>
      </c>
      <c r="BL101" s="11" t="str">
        <f>IF($BK101="","",BREAKER_REF($BX$60,$BK101,$BI101,$AT101,FALSE))</f>
        <v/>
      </c>
      <c r="BM101" s="11" t="str">
        <f>IF($BK101="","",BREAKER_DATO($BX$60,$BK101,"sccr"))</f>
        <v/>
      </c>
      <c r="BN101" s="11" t="str">
        <f>IF(OR($BK101="",N($BM101)&gt;=$BX$58,$BX$71="",N($BX$74)&lt;$BX$58),"",SERIE_KA($BX$60,BREAKER_DATO($BX$60,$BK101,"modelo"),$BX$72,N($BX$24),$C$7,$BX$58))</f>
        <v/>
      </c>
      <c r="BO101" s="11" t="str">
        <f>IF($BK101="","",BREAKER_DATO($BX$60,$BK101,"unidad"))</f>
        <v/>
      </c>
      <c r="BP101" s="11" t="str">
        <f>IF($BK101="","",BREAKER_DATO($BX$60,$BK101,"marco"))</f>
        <v/>
      </c>
      <c r="BQ101" s="11" t="str">
        <f t="shared" si="158"/>
        <v/>
      </c>
      <c r="BR101" s="11" t="str">
        <f t="shared" si="159"/>
        <v/>
      </c>
      <c r="BS101" s="11" t="str">
        <f t="shared" si="160"/>
        <v/>
      </c>
      <c r="BT101" s="11" t="str">
        <f t="shared" si="161"/>
        <v/>
      </c>
      <c r="BU101" s="11" t="str">
        <f t="shared" si="162"/>
        <v/>
      </c>
      <c r="BW101" t="s">
        <v>813</v>
      </c>
      <c r="BX101" t="str">
        <f>IF(BX34="","",BX104&amp;BX34)</f>
        <v/>
      </c>
      <c r="CA101" s="11" t="str">
        <f t="shared" si="163"/>
        <v/>
      </c>
      <c r="CB101" s="11" t="str">
        <f t="shared" si="164"/>
        <v/>
      </c>
    </row>
    <row r="102" spans="1:80" ht="14.65" x14ac:dyDescent="0.45">
      <c r="A102" s="37"/>
      <c r="B102" s="14">
        <v>56</v>
      </c>
      <c r="C102" s="37"/>
      <c r="D102" s="37"/>
      <c r="E102" s="37"/>
      <c r="F102" s="37" t="str">
        <f t="shared" si="110"/>
        <v/>
      </c>
      <c r="G102" s="38"/>
      <c r="H102" s="37"/>
      <c r="I102" s="37" t="str">
        <f t="shared" si="111"/>
        <v/>
      </c>
      <c r="J102" s="37" t="str">
        <f t="shared" si="112"/>
        <v/>
      </c>
      <c r="K102" s="37" t="str">
        <f t="shared" si="113"/>
        <v/>
      </c>
      <c r="L102" s="37" t="str">
        <f t="shared" si="114"/>
        <v/>
      </c>
      <c r="M102" s="37" t="str">
        <f t="shared" si="115"/>
        <v/>
      </c>
      <c r="N102" s="37" t="str">
        <f t="shared" si="116"/>
        <v/>
      </c>
      <c r="O102" s="37" t="str">
        <f t="shared" si="117"/>
        <v/>
      </c>
      <c r="P102" s="37" t="str">
        <f t="shared" si="118"/>
        <v/>
      </c>
      <c r="Q102" s="37" t="str">
        <f>IF($X102=0,"",NEC_UNIDAD($W102,$E102,$Y102,$Z102,N($AT102),$C$7,OCUPACION))</f>
        <v/>
      </c>
      <c r="R102" s="37" t="str">
        <f>IF($X102=0,"",BREAKER_SEL($BX$60,$BI102,$AT102,$C$7,$BX$58,$BX$69,$BJ102))</f>
        <v/>
      </c>
      <c r="S102" s="37"/>
      <c r="T102" s="37"/>
      <c r="U102" s="37"/>
      <c r="V102" s="37"/>
      <c r="W102" s="11" t="str">
        <f t="shared" si="119"/>
        <v/>
      </c>
      <c r="X102" s="39">
        <f t="shared" si="120"/>
        <v>0</v>
      </c>
      <c r="Y102" s="11">
        <f t="shared" si="121"/>
        <v>0</v>
      </c>
      <c r="Z102" s="11">
        <f t="shared" si="122"/>
        <v>0</v>
      </c>
      <c r="AA102" s="11">
        <f t="shared" si="123"/>
        <v>0</v>
      </c>
      <c r="AB102" s="11">
        <f t="shared" si="124"/>
        <v>1</v>
      </c>
      <c r="AC102" s="11">
        <f t="shared" si="125"/>
        <v>1</v>
      </c>
      <c r="AD102" s="11">
        <f t="shared" si="126"/>
        <v>1</v>
      </c>
      <c r="AE102" s="11" t="str">
        <f t="shared" si="127"/>
        <v/>
      </c>
      <c r="AF102" s="11">
        <f t="shared" si="128"/>
        <v>1.25</v>
      </c>
      <c r="AG102" s="11">
        <f t="shared" si="129"/>
        <v>0</v>
      </c>
      <c r="AH102" s="11">
        <f t="shared" si="130"/>
        <v>-1</v>
      </c>
      <c r="AI102" s="11">
        <f t="shared" si="131"/>
        <v>-1</v>
      </c>
      <c r="AJ102" s="39">
        <f t="shared" si="132"/>
        <v>0</v>
      </c>
      <c r="AK102" s="39">
        <f t="shared" si="133"/>
        <v>0</v>
      </c>
      <c r="AL102" s="39">
        <f t="shared" si="134"/>
        <v>0</v>
      </c>
      <c r="AM102" s="11">
        <f t="shared" si="135"/>
        <v>0</v>
      </c>
      <c r="AN102" s="11">
        <f t="shared" si="136"/>
        <v>0</v>
      </c>
      <c r="AO102" s="11">
        <f t="shared" si="137"/>
        <v>0</v>
      </c>
      <c r="AP102" s="40">
        <f t="shared" si="138"/>
        <v>0</v>
      </c>
      <c r="AQ102" s="40">
        <f t="shared" si="139"/>
        <v>0</v>
      </c>
      <c r="AR102" s="40">
        <f t="shared" si="140"/>
        <v>0</v>
      </c>
      <c r="AS102" s="40" t="str">
        <f t="shared" si="141"/>
        <v/>
      </c>
      <c r="AT102" s="11" t="str">
        <f t="shared" si="142"/>
        <v/>
      </c>
      <c r="AU102" s="11">
        <f t="shared" si="143"/>
        <v>1</v>
      </c>
      <c r="AV102" s="11">
        <f t="shared" si="144"/>
        <v>1</v>
      </c>
      <c r="AW102" s="11" t="str">
        <f t="shared" si="145"/>
        <v/>
      </c>
      <c r="AX102" s="11" t="str">
        <f t="shared" si="146"/>
        <v/>
      </c>
      <c r="AY102" s="11" t="str">
        <f t="shared" si="147"/>
        <v/>
      </c>
      <c r="AZ102" s="11" t="str">
        <f t="shared" si="148"/>
        <v/>
      </c>
      <c r="BA102" s="11" t="str">
        <f t="shared" si="149"/>
        <v/>
      </c>
      <c r="BB102" s="11" t="str">
        <f t="shared" si="150"/>
        <v/>
      </c>
      <c r="BC102" s="11" t="str">
        <f t="shared" si="151"/>
        <v/>
      </c>
      <c r="BD102" s="11" t="str">
        <f t="shared" si="152"/>
        <v/>
      </c>
      <c r="BE102" s="39" t="str">
        <f t="shared" si="153"/>
        <v/>
      </c>
      <c r="BF102" s="11" t="str">
        <f t="shared" si="154"/>
        <v/>
      </c>
      <c r="BG102" s="11" t="str">
        <f t="shared" si="155"/>
        <v/>
      </c>
      <c r="BH102" s="39" t="str">
        <f t="shared" si="156"/>
        <v/>
      </c>
      <c r="BI102" s="11" t="str">
        <f t="shared" si="157"/>
        <v/>
      </c>
      <c r="BJ102" s="11" t="str">
        <f>IF($X102=0,"",IF($Q102&lt;&gt;"",$Q102,NEC_UNIDAD($W102,$E102,$Y102,$Z102,N($AT102),$C$7,OCUPACION)))</f>
        <v/>
      </c>
      <c r="BK102" s="11" t="str">
        <f>IF($X102=0,"",IF(N($R102)&gt;0,$R102,BREAKER_SEL($BX$60,$BI102,$AT102,$C$7,$BX$58,$BX$69,$BJ102)))</f>
        <v/>
      </c>
      <c r="BL102" s="11" t="str">
        <f>IF($BK102="","",BREAKER_REF($BX$60,$BK102,$BI102,$AT102,FALSE))</f>
        <v/>
      </c>
      <c r="BM102" s="11" t="str">
        <f>IF($BK102="","",BREAKER_DATO($BX$60,$BK102,"sccr"))</f>
        <v/>
      </c>
      <c r="BN102" s="11" t="str">
        <f>IF(OR($BK102="",N($BM102)&gt;=$BX$58,$BX$71="",N($BX$74)&lt;$BX$58),"",SERIE_KA($BX$60,BREAKER_DATO($BX$60,$BK102,"modelo"),$BX$72,N($BX$24),$C$7,$BX$58))</f>
        <v/>
      </c>
      <c r="BO102" s="11" t="str">
        <f>IF($BK102="","",BREAKER_DATO($BX$60,$BK102,"unidad"))</f>
        <v/>
      </c>
      <c r="BP102" s="11" t="str">
        <f>IF($BK102="","",BREAKER_DATO($BX$60,$BK102,"marco"))</f>
        <v/>
      </c>
      <c r="BQ102" s="11" t="str">
        <f t="shared" si="158"/>
        <v/>
      </c>
      <c r="BR102" s="11" t="str">
        <f t="shared" si="159"/>
        <v/>
      </c>
      <c r="BS102" s="11" t="str">
        <f t="shared" si="160"/>
        <v/>
      </c>
      <c r="BT102" s="11" t="str">
        <f t="shared" si="161"/>
        <v/>
      </c>
      <c r="BU102" s="11" t="str">
        <f t="shared" si="162"/>
        <v/>
      </c>
      <c r="BW102" t="s">
        <v>814</v>
      </c>
      <c r="BX102" t="str">
        <f>IF(BX36="","",BX104&amp;BX36)</f>
        <v/>
      </c>
      <c r="CA102" s="11" t="str">
        <f t="shared" si="163"/>
        <v/>
      </c>
      <c r="CB102" s="11" t="str">
        <f t="shared" si="164"/>
        <v/>
      </c>
    </row>
    <row r="103" spans="1:80" ht="14.65" x14ac:dyDescent="0.45">
      <c r="A103" s="37"/>
      <c r="B103" s="14">
        <v>58</v>
      </c>
      <c r="C103" s="37"/>
      <c r="D103" s="37"/>
      <c r="E103" s="37"/>
      <c r="F103" s="37" t="str">
        <f t="shared" si="110"/>
        <v/>
      </c>
      <c r="G103" s="38"/>
      <c r="H103" s="37"/>
      <c r="I103" s="37" t="str">
        <f t="shared" si="111"/>
        <v/>
      </c>
      <c r="J103" s="37" t="str">
        <f t="shared" si="112"/>
        <v/>
      </c>
      <c r="K103" s="37" t="str">
        <f t="shared" si="113"/>
        <v/>
      </c>
      <c r="L103" s="37" t="str">
        <f t="shared" si="114"/>
        <v/>
      </c>
      <c r="M103" s="37" t="str">
        <f t="shared" si="115"/>
        <v/>
      </c>
      <c r="N103" s="37" t="str">
        <f t="shared" si="116"/>
        <v/>
      </c>
      <c r="O103" s="37" t="str">
        <f t="shared" si="117"/>
        <v/>
      </c>
      <c r="P103" s="37" t="str">
        <f t="shared" si="118"/>
        <v/>
      </c>
      <c r="Q103" s="37" t="str">
        <f>IF($X103=0,"",NEC_UNIDAD($W103,$E103,$Y103,$Z103,N($AT103),$C$7,OCUPACION))</f>
        <v/>
      </c>
      <c r="R103" s="37" t="str">
        <f>IF($X103=0,"",BREAKER_SEL($BX$60,$BI103,$AT103,$C$7,$BX$58,$BX$69,$BJ103))</f>
        <v/>
      </c>
      <c r="S103" s="37"/>
      <c r="T103" s="37"/>
      <c r="U103" s="37"/>
      <c r="V103" s="37"/>
      <c r="W103" s="11" t="str">
        <f t="shared" si="119"/>
        <v/>
      </c>
      <c r="X103" s="39">
        <f t="shared" si="120"/>
        <v>0</v>
      </c>
      <c r="Y103" s="11">
        <f t="shared" si="121"/>
        <v>0</v>
      </c>
      <c r="Z103" s="11">
        <f t="shared" si="122"/>
        <v>0</v>
      </c>
      <c r="AA103" s="11">
        <f t="shared" si="123"/>
        <v>0</v>
      </c>
      <c r="AB103" s="11">
        <f t="shared" si="124"/>
        <v>1</v>
      </c>
      <c r="AC103" s="11">
        <f t="shared" si="125"/>
        <v>1</v>
      </c>
      <c r="AD103" s="11">
        <f t="shared" si="126"/>
        <v>1</v>
      </c>
      <c r="AE103" s="11" t="str">
        <f t="shared" si="127"/>
        <v/>
      </c>
      <c r="AF103" s="11">
        <f t="shared" si="128"/>
        <v>1.25</v>
      </c>
      <c r="AG103" s="11">
        <f t="shared" si="129"/>
        <v>1</v>
      </c>
      <c r="AH103" s="11">
        <f t="shared" si="130"/>
        <v>-1</v>
      </c>
      <c r="AI103" s="11">
        <f t="shared" si="131"/>
        <v>-1</v>
      </c>
      <c r="AJ103" s="39">
        <f t="shared" si="132"/>
        <v>0</v>
      </c>
      <c r="AK103" s="39">
        <f t="shared" si="133"/>
        <v>0</v>
      </c>
      <c r="AL103" s="39">
        <f t="shared" si="134"/>
        <v>0</v>
      </c>
      <c r="AM103" s="11">
        <f t="shared" si="135"/>
        <v>0</v>
      </c>
      <c r="AN103" s="11">
        <f t="shared" si="136"/>
        <v>0</v>
      </c>
      <c r="AO103" s="11">
        <f t="shared" si="137"/>
        <v>0</v>
      </c>
      <c r="AP103" s="40">
        <f t="shared" si="138"/>
        <v>0</v>
      </c>
      <c r="AQ103" s="40">
        <f t="shared" si="139"/>
        <v>0</v>
      </c>
      <c r="AR103" s="40">
        <f t="shared" si="140"/>
        <v>0</v>
      </c>
      <c r="AS103" s="40" t="str">
        <f t="shared" si="141"/>
        <v/>
      </c>
      <c r="AT103" s="11" t="str">
        <f t="shared" si="142"/>
        <v/>
      </c>
      <c r="AU103" s="11">
        <f t="shared" si="143"/>
        <v>1</v>
      </c>
      <c r="AV103" s="11">
        <f t="shared" si="144"/>
        <v>1</v>
      </c>
      <c r="AW103" s="11" t="str">
        <f t="shared" si="145"/>
        <v/>
      </c>
      <c r="AX103" s="11" t="str">
        <f t="shared" si="146"/>
        <v/>
      </c>
      <c r="AY103" s="11" t="str">
        <f t="shared" si="147"/>
        <v/>
      </c>
      <c r="AZ103" s="11" t="str">
        <f t="shared" si="148"/>
        <v/>
      </c>
      <c r="BA103" s="11" t="str">
        <f t="shared" si="149"/>
        <v/>
      </c>
      <c r="BB103" s="11" t="str">
        <f t="shared" si="150"/>
        <v/>
      </c>
      <c r="BC103" s="11" t="str">
        <f t="shared" si="151"/>
        <v/>
      </c>
      <c r="BD103" s="11" t="str">
        <f t="shared" si="152"/>
        <v/>
      </c>
      <c r="BE103" s="39" t="str">
        <f t="shared" si="153"/>
        <v/>
      </c>
      <c r="BF103" s="11" t="str">
        <f t="shared" si="154"/>
        <v/>
      </c>
      <c r="BG103" s="11" t="str">
        <f t="shared" si="155"/>
        <v/>
      </c>
      <c r="BH103" s="39" t="str">
        <f t="shared" si="156"/>
        <v/>
      </c>
      <c r="BI103" s="11" t="str">
        <f t="shared" si="157"/>
        <v/>
      </c>
      <c r="BJ103" s="11" t="str">
        <f>IF($X103=0,"",IF($Q103&lt;&gt;"",$Q103,NEC_UNIDAD($W103,$E103,$Y103,$Z103,N($AT103),$C$7,OCUPACION)))</f>
        <v/>
      </c>
      <c r="BK103" s="11" t="str">
        <f>IF($X103=0,"",IF(N($R103)&gt;0,$R103,BREAKER_SEL($BX$60,$BI103,$AT103,$C$7,$BX$58,$BX$69,$BJ103)))</f>
        <v/>
      </c>
      <c r="BL103" s="11" t="str">
        <f>IF($BK103="","",BREAKER_REF($BX$60,$BK103,$BI103,$AT103,FALSE))</f>
        <v/>
      </c>
      <c r="BM103" s="11" t="str">
        <f>IF($BK103="","",BREAKER_DATO($BX$60,$BK103,"sccr"))</f>
        <v/>
      </c>
      <c r="BN103" s="11" t="str">
        <f>IF(OR($BK103="",N($BM103)&gt;=$BX$58,$BX$71="",N($BX$74)&lt;$BX$58),"",SERIE_KA($BX$60,BREAKER_DATO($BX$60,$BK103,"modelo"),$BX$72,N($BX$24),$C$7,$BX$58))</f>
        <v/>
      </c>
      <c r="BO103" s="11" t="str">
        <f>IF($BK103="","",BREAKER_DATO($BX$60,$BK103,"unidad"))</f>
        <v/>
      </c>
      <c r="BP103" s="11" t="str">
        <f>IF($BK103="","",BREAKER_DATO($BX$60,$BK103,"marco"))</f>
        <v/>
      </c>
      <c r="BQ103" s="11" t="str">
        <f t="shared" si="158"/>
        <v/>
      </c>
      <c r="BR103" s="11" t="str">
        <f t="shared" si="159"/>
        <v/>
      </c>
      <c r="BS103" s="11" t="str">
        <f t="shared" si="160"/>
        <v/>
      </c>
      <c r="BT103" s="11" t="str">
        <f t="shared" si="161"/>
        <v/>
      </c>
      <c r="BU103" s="11" t="str">
        <f t="shared" si="162"/>
        <v/>
      </c>
      <c r="BW103" t="s">
        <v>655</v>
      </c>
      <c r="BX103" t="str">
        <f>IF(N($C$14)&gt;0,"manual",IF($I$3="SI","transformador",IF($I$10="SI","UPS",IF(N(BX55)&gt;0,"cascada",""))))</f>
        <v/>
      </c>
      <c r="CA103" s="11" t="str">
        <f t="shared" si="163"/>
        <v/>
      </c>
      <c r="CB103" s="11" t="str">
        <f t="shared" si="164"/>
        <v/>
      </c>
    </row>
    <row r="104" spans="1:80" ht="14.65" x14ac:dyDescent="0.45">
      <c r="A104" s="37"/>
      <c r="B104" s="14">
        <v>60</v>
      </c>
      <c r="C104" s="37"/>
      <c r="D104" s="37"/>
      <c r="E104" s="37"/>
      <c r="F104" s="37" t="str">
        <f t="shared" si="110"/>
        <v/>
      </c>
      <c r="G104" s="38"/>
      <c r="H104" s="37"/>
      <c r="I104" s="37" t="str">
        <f t="shared" si="111"/>
        <v/>
      </c>
      <c r="J104" s="37" t="str">
        <f t="shared" si="112"/>
        <v/>
      </c>
      <c r="K104" s="37" t="str">
        <f t="shared" si="113"/>
        <v/>
      </c>
      <c r="L104" s="37" t="str">
        <f t="shared" si="114"/>
        <v/>
      </c>
      <c r="M104" s="37" t="str">
        <f t="shared" si="115"/>
        <v/>
      </c>
      <c r="N104" s="37" t="str">
        <f t="shared" si="116"/>
        <v/>
      </c>
      <c r="O104" s="37" t="str">
        <f t="shared" si="117"/>
        <v/>
      </c>
      <c r="P104" s="37" t="str">
        <f t="shared" si="118"/>
        <v/>
      </c>
      <c r="Q104" s="37" t="str">
        <f>IF($X104=0,"",NEC_UNIDAD($W104,$E104,$Y104,$Z104,N($AT104),$C$7,OCUPACION))</f>
        <v/>
      </c>
      <c r="R104" s="37" t="str">
        <f>IF($X104=0,"",BREAKER_SEL($BX$60,$BI104,$AT104,$C$7,$BX$58,$BX$69,$BJ104))</f>
        <v/>
      </c>
      <c r="S104" s="37"/>
      <c r="T104" s="37"/>
      <c r="U104" s="37"/>
      <c r="V104" s="37"/>
      <c r="W104" s="11" t="str">
        <f t="shared" si="119"/>
        <v/>
      </c>
      <c r="X104" s="39">
        <f t="shared" si="120"/>
        <v>0</v>
      </c>
      <c r="Y104" s="11">
        <f t="shared" si="121"/>
        <v>0</v>
      </c>
      <c r="Z104" s="11">
        <f t="shared" si="122"/>
        <v>0</v>
      </c>
      <c r="AA104" s="11">
        <f t="shared" si="123"/>
        <v>0</v>
      </c>
      <c r="AB104" s="11">
        <f t="shared" si="124"/>
        <v>1</v>
      </c>
      <c r="AC104" s="11">
        <f t="shared" si="125"/>
        <v>1</v>
      </c>
      <c r="AD104" s="11">
        <f t="shared" si="126"/>
        <v>1</v>
      </c>
      <c r="AE104" s="11" t="str">
        <f t="shared" si="127"/>
        <v/>
      </c>
      <c r="AF104" s="11">
        <f t="shared" si="128"/>
        <v>1.25</v>
      </c>
      <c r="AG104" s="11">
        <f t="shared" si="129"/>
        <v>2</v>
      </c>
      <c r="AH104" s="11">
        <f t="shared" si="130"/>
        <v>-1</v>
      </c>
      <c r="AI104" s="11">
        <f t="shared" si="131"/>
        <v>-1</v>
      </c>
      <c r="AJ104" s="39">
        <f t="shared" si="132"/>
        <v>0</v>
      </c>
      <c r="AK104" s="39">
        <f t="shared" si="133"/>
        <v>0</v>
      </c>
      <c r="AL104" s="39">
        <f t="shared" si="134"/>
        <v>0</v>
      </c>
      <c r="AM104" s="11">
        <f t="shared" si="135"/>
        <v>0</v>
      </c>
      <c r="AN104" s="11">
        <f t="shared" si="136"/>
        <v>0</v>
      </c>
      <c r="AO104" s="11">
        <f t="shared" si="137"/>
        <v>0</v>
      </c>
      <c r="AP104" s="40">
        <f t="shared" si="138"/>
        <v>0</v>
      </c>
      <c r="AQ104" s="40">
        <f t="shared" si="139"/>
        <v>0</v>
      </c>
      <c r="AR104" s="40">
        <f t="shared" si="140"/>
        <v>0</v>
      </c>
      <c r="AS104" s="40" t="str">
        <f t="shared" si="141"/>
        <v/>
      </c>
      <c r="AT104" s="11" t="str">
        <f t="shared" si="142"/>
        <v/>
      </c>
      <c r="AU104" s="11">
        <f t="shared" si="143"/>
        <v>1</v>
      </c>
      <c r="AV104" s="11">
        <f t="shared" si="144"/>
        <v>1</v>
      </c>
      <c r="AW104" s="11" t="str">
        <f t="shared" si="145"/>
        <v/>
      </c>
      <c r="AX104" s="11" t="str">
        <f t="shared" si="146"/>
        <v/>
      </c>
      <c r="AY104" s="11" t="str">
        <f t="shared" si="147"/>
        <v/>
      </c>
      <c r="AZ104" s="11" t="str">
        <f t="shared" si="148"/>
        <v/>
      </c>
      <c r="BA104" s="11" t="str">
        <f t="shared" si="149"/>
        <v/>
      </c>
      <c r="BB104" s="11" t="str">
        <f t="shared" si="150"/>
        <v/>
      </c>
      <c r="BC104" s="11" t="str">
        <f t="shared" si="151"/>
        <v/>
      </c>
      <c r="BD104" s="11" t="str">
        <f t="shared" si="152"/>
        <v/>
      </c>
      <c r="BE104" s="39" t="str">
        <f t="shared" si="153"/>
        <v/>
      </c>
      <c r="BF104" s="11" t="str">
        <f t="shared" si="154"/>
        <v/>
      </c>
      <c r="BG104" s="11" t="str">
        <f t="shared" si="155"/>
        <v/>
      </c>
      <c r="BH104" s="39" t="str">
        <f t="shared" si="156"/>
        <v/>
      </c>
      <c r="BI104" s="11" t="str">
        <f t="shared" si="157"/>
        <v/>
      </c>
      <c r="BJ104" s="11" t="str">
        <f>IF($X104=0,"",IF($Q104&lt;&gt;"",$Q104,NEC_UNIDAD($W104,$E104,$Y104,$Z104,N($AT104),$C$7,OCUPACION)))</f>
        <v/>
      </c>
      <c r="BK104" s="11" t="str">
        <f>IF($X104=0,"",IF(N($R104)&gt;0,$R104,BREAKER_SEL($BX$60,$BI104,$AT104,$C$7,$BX$58,$BX$69,$BJ104)))</f>
        <v/>
      </c>
      <c r="BL104" s="11" t="str">
        <f>IF($BK104="","",BREAKER_REF($BX$60,$BK104,$BI104,$AT104,FALSE))</f>
        <v/>
      </c>
      <c r="BM104" s="11" t="str">
        <f>IF($BK104="","",BREAKER_DATO($BX$60,$BK104,"sccr"))</f>
        <v/>
      </c>
      <c r="BN104" s="11" t="str">
        <f>IF(OR($BK104="",N($BM104)&gt;=$BX$58,$BX$71="",N($BX$74)&lt;$BX$58),"",SERIE_KA($BX$60,BREAKER_DATO($BX$60,$BK104,"modelo"),$BX$72,N($BX$24),$C$7,$BX$58))</f>
        <v/>
      </c>
      <c r="BO104" s="11" t="str">
        <f>IF($BK104="","",BREAKER_DATO($BX$60,$BK104,"unidad"))</f>
        <v/>
      </c>
      <c r="BP104" s="11" t="str">
        <f>IF($BK104="","",BREAKER_DATO($BX$60,$BK104,"marco"))</f>
        <v/>
      </c>
      <c r="BQ104" s="11" t="str">
        <f t="shared" si="158"/>
        <v/>
      </c>
      <c r="BR104" s="11" t="str">
        <f t="shared" si="159"/>
        <v/>
      </c>
      <c r="BS104" s="11" t="str">
        <f t="shared" si="160"/>
        <v/>
      </c>
      <c r="BT104" s="11" t="str">
        <f t="shared" si="161"/>
        <v/>
      </c>
      <c r="BU104" s="11" t="str">
        <f t="shared" si="162"/>
        <v/>
      </c>
      <c r="BW104" t="s">
        <v>815</v>
      </c>
      <c r="BX104" t="str">
        <f>IF(BX30=1,"",BX30&amp;"x")</f>
        <v/>
      </c>
      <c r="CA104" s="11" t="str">
        <f t="shared" si="163"/>
        <v/>
      </c>
      <c r="CB104" s="11" t="str">
        <f t="shared" si="164"/>
        <v/>
      </c>
    </row>
    <row r="105" spans="1:80" ht="14.65" x14ac:dyDescent="0.45">
      <c r="A105" s="37"/>
      <c r="B105" s="14">
        <v>62</v>
      </c>
      <c r="C105" s="37"/>
      <c r="D105" s="37"/>
      <c r="E105" s="37"/>
      <c r="F105" s="37" t="str">
        <f t="shared" si="110"/>
        <v/>
      </c>
      <c r="G105" s="38"/>
      <c r="H105" s="37"/>
      <c r="I105" s="37" t="str">
        <f t="shared" si="111"/>
        <v/>
      </c>
      <c r="J105" s="37" t="str">
        <f t="shared" si="112"/>
        <v/>
      </c>
      <c r="K105" s="37" t="str">
        <f t="shared" si="113"/>
        <v/>
      </c>
      <c r="L105" s="37" t="str">
        <f t="shared" si="114"/>
        <v/>
      </c>
      <c r="M105" s="37" t="str">
        <f t="shared" si="115"/>
        <v/>
      </c>
      <c r="N105" s="37" t="str">
        <f t="shared" si="116"/>
        <v/>
      </c>
      <c r="O105" s="37" t="str">
        <f t="shared" si="117"/>
        <v/>
      </c>
      <c r="P105" s="37" t="str">
        <f t="shared" si="118"/>
        <v/>
      </c>
      <c r="Q105" s="37" t="str">
        <f>IF($X105=0,"",NEC_UNIDAD($W105,$E105,$Y105,$Z105,N($AT105),$C$7,OCUPACION))</f>
        <v/>
      </c>
      <c r="R105" s="37" t="str">
        <f>IF($X105=0,"",BREAKER_SEL($BX$60,$BI105,$AT105,$C$7,$BX$58,$BX$69,$BJ105))</f>
        <v/>
      </c>
      <c r="S105" s="37"/>
      <c r="T105" s="37"/>
      <c r="U105" s="37"/>
      <c r="V105" s="37"/>
      <c r="W105" s="11" t="str">
        <f t="shared" si="119"/>
        <v/>
      </c>
      <c r="X105" s="39">
        <f t="shared" si="120"/>
        <v>0</v>
      </c>
      <c r="Y105" s="11">
        <f t="shared" si="121"/>
        <v>0</v>
      </c>
      <c r="Z105" s="11">
        <f t="shared" si="122"/>
        <v>0</v>
      </c>
      <c r="AA105" s="11">
        <f t="shared" si="123"/>
        <v>0</v>
      </c>
      <c r="AB105" s="11">
        <f t="shared" si="124"/>
        <v>1</v>
      </c>
      <c r="AC105" s="11">
        <f t="shared" si="125"/>
        <v>1</v>
      </c>
      <c r="AD105" s="11">
        <f t="shared" si="126"/>
        <v>1</v>
      </c>
      <c r="AE105" s="11" t="str">
        <f t="shared" si="127"/>
        <v/>
      </c>
      <c r="AF105" s="11">
        <f t="shared" si="128"/>
        <v>1.25</v>
      </c>
      <c r="AG105" s="11">
        <f t="shared" si="129"/>
        <v>0</v>
      </c>
      <c r="AH105" s="11">
        <f t="shared" si="130"/>
        <v>-1</v>
      </c>
      <c r="AI105" s="11">
        <f t="shared" si="131"/>
        <v>-1</v>
      </c>
      <c r="AJ105" s="39">
        <f t="shared" si="132"/>
        <v>0</v>
      </c>
      <c r="AK105" s="39">
        <f t="shared" si="133"/>
        <v>0</v>
      </c>
      <c r="AL105" s="39">
        <f t="shared" si="134"/>
        <v>0</v>
      </c>
      <c r="AM105" s="11">
        <f t="shared" si="135"/>
        <v>0</v>
      </c>
      <c r="AN105" s="11">
        <f t="shared" si="136"/>
        <v>0</v>
      </c>
      <c r="AO105" s="11">
        <f t="shared" si="137"/>
        <v>0</v>
      </c>
      <c r="AP105" s="40">
        <f t="shared" si="138"/>
        <v>0</v>
      </c>
      <c r="AQ105" s="40">
        <f t="shared" si="139"/>
        <v>0</v>
      </c>
      <c r="AR105" s="40">
        <f t="shared" si="140"/>
        <v>0</v>
      </c>
      <c r="AS105" s="40" t="str">
        <f t="shared" si="141"/>
        <v/>
      </c>
      <c r="AT105" s="11" t="str">
        <f t="shared" si="142"/>
        <v/>
      </c>
      <c r="AU105" s="11">
        <f t="shared" si="143"/>
        <v>1</v>
      </c>
      <c r="AV105" s="11">
        <f t="shared" si="144"/>
        <v>1</v>
      </c>
      <c r="AW105" s="11" t="str">
        <f t="shared" si="145"/>
        <v/>
      </c>
      <c r="AX105" s="11" t="str">
        <f t="shared" si="146"/>
        <v/>
      </c>
      <c r="AY105" s="11" t="str">
        <f t="shared" si="147"/>
        <v/>
      </c>
      <c r="AZ105" s="11" t="str">
        <f t="shared" si="148"/>
        <v/>
      </c>
      <c r="BA105" s="11" t="str">
        <f t="shared" si="149"/>
        <v/>
      </c>
      <c r="BB105" s="11" t="str">
        <f t="shared" si="150"/>
        <v/>
      </c>
      <c r="BC105" s="11" t="str">
        <f t="shared" si="151"/>
        <v/>
      </c>
      <c r="BD105" s="11" t="str">
        <f t="shared" si="152"/>
        <v/>
      </c>
      <c r="BE105" s="39" t="str">
        <f t="shared" si="153"/>
        <v/>
      </c>
      <c r="BF105" s="11" t="str">
        <f t="shared" si="154"/>
        <v/>
      </c>
      <c r="BG105" s="11" t="str">
        <f t="shared" si="155"/>
        <v/>
      </c>
      <c r="BH105" s="39" t="str">
        <f t="shared" si="156"/>
        <v/>
      </c>
      <c r="BI105" s="11" t="str">
        <f t="shared" si="157"/>
        <v/>
      </c>
      <c r="BJ105" s="11" t="str">
        <f>IF($X105=0,"",IF($Q105&lt;&gt;"",$Q105,NEC_UNIDAD($W105,$E105,$Y105,$Z105,N($AT105),$C$7,OCUPACION)))</f>
        <v/>
      </c>
      <c r="BK105" s="11" t="str">
        <f>IF($X105=0,"",IF(N($R105)&gt;0,$R105,BREAKER_SEL($BX$60,$BI105,$AT105,$C$7,$BX$58,$BX$69,$BJ105)))</f>
        <v/>
      </c>
      <c r="BL105" s="11" t="str">
        <f>IF($BK105="","",BREAKER_REF($BX$60,$BK105,$BI105,$AT105,FALSE))</f>
        <v/>
      </c>
      <c r="BM105" s="11" t="str">
        <f>IF($BK105="","",BREAKER_DATO($BX$60,$BK105,"sccr"))</f>
        <v/>
      </c>
      <c r="BN105" s="11" t="str">
        <f>IF(OR($BK105="",N($BM105)&gt;=$BX$58,$BX$71="",N($BX$74)&lt;$BX$58),"",SERIE_KA($BX$60,BREAKER_DATO($BX$60,$BK105,"modelo"),$BX$72,N($BX$24),$C$7,$BX$58))</f>
        <v/>
      </c>
      <c r="BO105" s="11" t="str">
        <f>IF($BK105="","",BREAKER_DATO($BX$60,$BK105,"unidad"))</f>
        <v/>
      </c>
      <c r="BP105" s="11" t="str">
        <f>IF($BK105="","",BREAKER_DATO($BX$60,$BK105,"marco"))</f>
        <v/>
      </c>
      <c r="BQ105" s="11" t="str">
        <f t="shared" si="158"/>
        <v/>
      </c>
      <c r="BR105" s="11" t="str">
        <f t="shared" si="159"/>
        <v/>
      </c>
      <c r="BS105" s="11" t="str">
        <f t="shared" si="160"/>
        <v/>
      </c>
      <c r="BT105" s="11" t="str">
        <f t="shared" si="161"/>
        <v/>
      </c>
      <c r="BU105" s="11" t="str">
        <f t="shared" si="162"/>
        <v/>
      </c>
      <c r="BW105" t="s">
        <v>816</v>
      </c>
      <c r="BX105" t="str">
        <f>""</f>
        <v/>
      </c>
      <c r="CA105" s="11" t="str">
        <f t="shared" si="163"/>
        <v/>
      </c>
      <c r="CB105" s="11" t="str">
        <f t="shared" si="164"/>
        <v/>
      </c>
    </row>
    <row r="106" spans="1:80" ht="14.65" x14ac:dyDescent="0.45">
      <c r="A106" s="37"/>
      <c r="B106" s="14">
        <v>64</v>
      </c>
      <c r="C106" s="37"/>
      <c r="D106" s="37"/>
      <c r="E106" s="37"/>
      <c r="F106" s="37" t="str">
        <f t="shared" si="110"/>
        <v/>
      </c>
      <c r="G106" s="38"/>
      <c r="H106" s="37"/>
      <c r="I106" s="37" t="str">
        <f t="shared" si="111"/>
        <v/>
      </c>
      <c r="J106" s="37" t="str">
        <f t="shared" si="112"/>
        <v/>
      </c>
      <c r="K106" s="37" t="str">
        <f t="shared" si="113"/>
        <v/>
      </c>
      <c r="L106" s="37" t="str">
        <f t="shared" si="114"/>
        <v/>
      </c>
      <c r="M106" s="37" t="str">
        <f t="shared" si="115"/>
        <v/>
      </c>
      <c r="N106" s="37" t="str">
        <f t="shared" si="116"/>
        <v/>
      </c>
      <c r="O106" s="37" t="str">
        <f t="shared" si="117"/>
        <v/>
      </c>
      <c r="P106" s="37" t="str">
        <f t="shared" si="118"/>
        <v/>
      </c>
      <c r="Q106" s="37" t="str">
        <f>IF($X106=0,"",NEC_UNIDAD($W106,$E106,$Y106,$Z106,N($AT106),$C$7,OCUPACION))</f>
        <v/>
      </c>
      <c r="R106" s="37" t="str">
        <f>IF($X106=0,"",BREAKER_SEL($BX$60,$BI106,$AT106,$C$7,$BX$58,$BX$69,$BJ106))</f>
        <v/>
      </c>
      <c r="S106" s="37"/>
      <c r="T106" s="37"/>
      <c r="U106" s="37"/>
      <c r="V106" s="37"/>
      <c r="W106" s="11" t="str">
        <f t="shared" si="119"/>
        <v/>
      </c>
      <c r="X106" s="39">
        <f t="shared" si="120"/>
        <v>0</v>
      </c>
      <c r="Y106" s="11">
        <f t="shared" si="121"/>
        <v>0</v>
      </c>
      <c r="Z106" s="11">
        <f t="shared" si="122"/>
        <v>0</v>
      </c>
      <c r="AA106" s="11">
        <f t="shared" si="123"/>
        <v>0</v>
      </c>
      <c r="AB106" s="11">
        <f t="shared" si="124"/>
        <v>1</v>
      </c>
      <c r="AC106" s="11">
        <f t="shared" si="125"/>
        <v>1</v>
      </c>
      <c r="AD106" s="11">
        <f t="shared" si="126"/>
        <v>1</v>
      </c>
      <c r="AE106" s="11" t="str">
        <f t="shared" si="127"/>
        <v/>
      </c>
      <c r="AF106" s="11">
        <f t="shared" si="128"/>
        <v>1.25</v>
      </c>
      <c r="AG106" s="11">
        <f t="shared" si="129"/>
        <v>1</v>
      </c>
      <c r="AH106" s="11">
        <f t="shared" si="130"/>
        <v>-1</v>
      </c>
      <c r="AI106" s="11">
        <f t="shared" si="131"/>
        <v>-1</v>
      </c>
      <c r="AJ106" s="39">
        <f t="shared" si="132"/>
        <v>0</v>
      </c>
      <c r="AK106" s="39">
        <f t="shared" si="133"/>
        <v>0</v>
      </c>
      <c r="AL106" s="39">
        <f t="shared" si="134"/>
        <v>0</v>
      </c>
      <c r="AM106" s="11">
        <f t="shared" si="135"/>
        <v>0</v>
      </c>
      <c r="AN106" s="11">
        <f t="shared" si="136"/>
        <v>0</v>
      </c>
      <c r="AO106" s="11">
        <f t="shared" si="137"/>
        <v>0</v>
      </c>
      <c r="AP106" s="40">
        <f t="shared" si="138"/>
        <v>0</v>
      </c>
      <c r="AQ106" s="40">
        <f t="shared" si="139"/>
        <v>0</v>
      </c>
      <c r="AR106" s="40">
        <f t="shared" si="140"/>
        <v>0</v>
      </c>
      <c r="AS106" s="40" t="str">
        <f t="shared" si="141"/>
        <v/>
      </c>
      <c r="AT106" s="11" t="str">
        <f t="shared" si="142"/>
        <v/>
      </c>
      <c r="AU106" s="11">
        <f t="shared" si="143"/>
        <v>1</v>
      </c>
      <c r="AV106" s="11">
        <f t="shared" si="144"/>
        <v>1</v>
      </c>
      <c r="AW106" s="11" t="str">
        <f t="shared" si="145"/>
        <v/>
      </c>
      <c r="AX106" s="11" t="str">
        <f t="shared" si="146"/>
        <v/>
      </c>
      <c r="AY106" s="11" t="str">
        <f t="shared" si="147"/>
        <v/>
      </c>
      <c r="AZ106" s="11" t="str">
        <f t="shared" si="148"/>
        <v/>
      </c>
      <c r="BA106" s="11" t="str">
        <f t="shared" si="149"/>
        <v/>
      </c>
      <c r="BB106" s="11" t="str">
        <f t="shared" si="150"/>
        <v/>
      </c>
      <c r="BC106" s="11" t="str">
        <f t="shared" si="151"/>
        <v/>
      </c>
      <c r="BD106" s="11" t="str">
        <f t="shared" si="152"/>
        <v/>
      </c>
      <c r="BE106" s="39" t="str">
        <f t="shared" si="153"/>
        <v/>
      </c>
      <c r="BF106" s="11" t="str">
        <f t="shared" si="154"/>
        <v/>
      </c>
      <c r="BG106" s="11" t="str">
        <f t="shared" si="155"/>
        <v/>
      </c>
      <c r="BH106" s="39" t="str">
        <f t="shared" si="156"/>
        <v/>
      </c>
      <c r="BI106" s="11" t="str">
        <f t="shared" si="157"/>
        <v/>
      </c>
      <c r="BJ106" s="11" t="str">
        <f>IF($X106=0,"",IF($Q106&lt;&gt;"",$Q106,NEC_UNIDAD($W106,$E106,$Y106,$Z106,N($AT106),$C$7,OCUPACION)))</f>
        <v/>
      </c>
      <c r="BK106" s="11" t="str">
        <f>IF($X106=0,"",IF(N($R106)&gt;0,$R106,BREAKER_SEL($BX$60,$BI106,$AT106,$C$7,$BX$58,$BX$69,$BJ106)))</f>
        <v/>
      </c>
      <c r="BL106" s="11" t="str">
        <f>IF($BK106="","",BREAKER_REF($BX$60,$BK106,$BI106,$AT106,FALSE))</f>
        <v/>
      </c>
      <c r="BM106" s="11" t="str">
        <f>IF($BK106="","",BREAKER_DATO($BX$60,$BK106,"sccr"))</f>
        <v/>
      </c>
      <c r="BN106" s="11" t="str">
        <f>IF(OR($BK106="",N($BM106)&gt;=$BX$58,$BX$71="",N($BX$74)&lt;$BX$58),"",SERIE_KA($BX$60,BREAKER_DATO($BX$60,$BK106,"modelo"),$BX$72,N($BX$24),$C$7,$BX$58))</f>
        <v/>
      </c>
      <c r="BO106" s="11" t="str">
        <f>IF($BK106="","",BREAKER_DATO($BX$60,$BK106,"unidad"))</f>
        <v/>
      </c>
      <c r="BP106" s="11" t="str">
        <f>IF($BK106="","",BREAKER_DATO($BX$60,$BK106,"marco"))</f>
        <v/>
      </c>
      <c r="BQ106" s="11" t="str">
        <f t="shared" si="158"/>
        <v/>
      </c>
      <c r="BR106" s="11" t="str">
        <f t="shared" si="159"/>
        <v/>
      </c>
      <c r="BS106" s="11" t="str">
        <f t="shared" si="160"/>
        <v/>
      </c>
      <c r="BT106" s="11" t="str">
        <f t="shared" si="161"/>
        <v/>
      </c>
      <c r="BU106" s="11" t="str">
        <f t="shared" si="162"/>
        <v/>
      </c>
      <c r="BW106" t="s">
        <v>817</v>
      </c>
      <c r="BX106" t="str">
        <f>""</f>
        <v/>
      </c>
      <c r="CA106" s="11" t="str">
        <f t="shared" si="163"/>
        <v/>
      </c>
      <c r="CB106" s="11" t="str">
        <f t="shared" si="164"/>
        <v/>
      </c>
    </row>
    <row r="107" spans="1:80" ht="14.65" x14ac:dyDescent="0.45">
      <c r="A107" s="37"/>
      <c r="B107" s="14">
        <v>66</v>
      </c>
      <c r="C107" s="37"/>
      <c r="D107" s="37"/>
      <c r="E107" s="37"/>
      <c r="F107" s="37" t="str">
        <f t="shared" si="110"/>
        <v/>
      </c>
      <c r="G107" s="38"/>
      <c r="H107" s="37"/>
      <c r="I107" s="37" t="str">
        <f t="shared" si="111"/>
        <v/>
      </c>
      <c r="J107" s="37" t="str">
        <f t="shared" si="112"/>
        <v/>
      </c>
      <c r="K107" s="37" t="str">
        <f t="shared" si="113"/>
        <v/>
      </c>
      <c r="L107" s="37" t="str">
        <f t="shared" si="114"/>
        <v/>
      </c>
      <c r="M107" s="37" t="str">
        <f t="shared" si="115"/>
        <v/>
      </c>
      <c r="N107" s="37" t="str">
        <f t="shared" si="116"/>
        <v/>
      </c>
      <c r="O107" s="37" t="str">
        <f t="shared" si="117"/>
        <v/>
      </c>
      <c r="P107" s="37" t="str">
        <f t="shared" si="118"/>
        <v/>
      </c>
      <c r="Q107" s="37" t="str">
        <f>IF($X107=0,"",NEC_UNIDAD($W107,$E107,$Y107,$Z107,N($AT107),$C$7,OCUPACION))</f>
        <v/>
      </c>
      <c r="R107" s="37" t="str">
        <f>IF($X107=0,"",BREAKER_SEL($BX$60,$BI107,$AT107,$C$7,$BX$58,$BX$69,$BJ107))</f>
        <v/>
      </c>
      <c r="S107" s="37"/>
      <c r="T107" s="37"/>
      <c r="U107" s="37"/>
      <c r="V107" s="37"/>
      <c r="W107" s="11" t="str">
        <f t="shared" si="119"/>
        <v/>
      </c>
      <c r="X107" s="39">
        <f t="shared" si="120"/>
        <v>0</v>
      </c>
      <c r="Y107" s="11">
        <f t="shared" si="121"/>
        <v>0</v>
      </c>
      <c r="Z107" s="11">
        <f t="shared" si="122"/>
        <v>0</v>
      </c>
      <c r="AA107" s="11">
        <f t="shared" si="123"/>
        <v>0</v>
      </c>
      <c r="AB107" s="11">
        <f t="shared" si="124"/>
        <v>1</v>
      </c>
      <c r="AC107" s="11">
        <f t="shared" si="125"/>
        <v>1</v>
      </c>
      <c r="AD107" s="11">
        <f t="shared" si="126"/>
        <v>1</v>
      </c>
      <c r="AE107" s="11" t="str">
        <f t="shared" si="127"/>
        <v/>
      </c>
      <c r="AF107" s="11">
        <f t="shared" si="128"/>
        <v>1.25</v>
      </c>
      <c r="AG107" s="11">
        <f t="shared" si="129"/>
        <v>2</v>
      </c>
      <c r="AH107" s="11">
        <f t="shared" si="130"/>
        <v>-1</v>
      </c>
      <c r="AI107" s="11">
        <f t="shared" si="131"/>
        <v>-1</v>
      </c>
      <c r="AJ107" s="39">
        <f t="shared" si="132"/>
        <v>0</v>
      </c>
      <c r="AK107" s="39">
        <f t="shared" si="133"/>
        <v>0</v>
      </c>
      <c r="AL107" s="39">
        <f t="shared" si="134"/>
        <v>0</v>
      </c>
      <c r="AM107" s="11">
        <f t="shared" si="135"/>
        <v>0</v>
      </c>
      <c r="AN107" s="11">
        <f t="shared" si="136"/>
        <v>0</v>
      </c>
      <c r="AO107" s="11">
        <f t="shared" si="137"/>
        <v>0</v>
      </c>
      <c r="AP107" s="40">
        <f t="shared" si="138"/>
        <v>0</v>
      </c>
      <c r="AQ107" s="40">
        <f t="shared" si="139"/>
        <v>0</v>
      </c>
      <c r="AR107" s="40">
        <f t="shared" si="140"/>
        <v>0</v>
      </c>
      <c r="AS107" s="40" t="str">
        <f t="shared" si="141"/>
        <v/>
      </c>
      <c r="AT107" s="11" t="str">
        <f t="shared" si="142"/>
        <v/>
      </c>
      <c r="AU107" s="11">
        <f t="shared" si="143"/>
        <v>1</v>
      </c>
      <c r="AV107" s="11">
        <f t="shared" si="144"/>
        <v>1</v>
      </c>
      <c r="AW107" s="11" t="str">
        <f t="shared" si="145"/>
        <v/>
      </c>
      <c r="AX107" s="11" t="str">
        <f t="shared" si="146"/>
        <v/>
      </c>
      <c r="AY107" s="11" t="str">
        <f t="shared" si="147"/>
        <v/>
      </c>
      <c r="AZ107" s="11" t="str">
        <f t="shared" si="148"/>
        <v/>
      </c>
      <c r="BA107" s="11" t="str">
        <f t="shared" si="149"/>
        <v/>
      </c>
      <c r="BB107" s="11" t="str">
        <f t="shared" si="150"/>
        <v/>
      </c>
      <c r="BC107" s="11" t="str">
        <f t="shared" si="151"/>
        <v/>
      </c>
      <c r="BD107" s="11" t="str">
        <f t="shared" si="152"/>
        <v/>
      </c>
      <c r="BE107" s="39" t="str">
        <f t="shared" si="153"/>
        <v/>
      </c>
      <c r="BF107" s="11" t="str">
        <f t="shared" si="154"/>
        <v/>
      </c>
      <c r="BG107" s="11" t="str">
        <f t="shared" si="155"/>
        <v/>
      </c>
      <c r="BH107" s="39" t="str">
        <f t="shared" si="156"/>
        <v/>
      </c>
      <c r="BI107" s="11" t="str">
        <f t="shared" si="157"/>
        <v/>
      </c>
      <c r="BJ107" s="11" t="str">
        <f>IF($X107=0,"",IF($Q107&lt;&gt;"",$Q107,NEC_UNIDAD($W107,$E107,$Y107,$Z107,N($AT107),$C$7,OCUPACION)))</f>
        <v/>
      </c>
      <c r="BK107" s="11" t="str">
        <f>IF($X107=0,"",IF(N($R107)&gt;0,$R107,BREAKER_SEL($BX$60,$BI107,$AT107,$C$7,$BX$58,$BX$69,$BJ107)))</f>
        <v/>
      </c>
      <c r="BL107" s="11" t="str">
        <f>IF($BK107="","",BREAKER_REF($BX$60,$BK107,$BI107,$AT107,FALSE))</f>
        <v/>
      </c>
      <c r="BM107" s="11" t="str">
        <f>IF($BK107="","",BREAKER_DATO($BX$60,$BK107,"sccr"))</f>
        <v/>
      </c>
      <c r="BN107" s="11" t="str">
        <f>IF(OR($BK107="",N($BM107)&gt;=$BX$58,$BX$71="",N($BX$74)&lt;$BX$58),"",SERIE_KA($BX$60,BREAKER_DATO($BX$60,$BK107,"modelo"),$BX$72,N($BX$24),$C$7,$BX$58))</f>
        <v/>
      </c>
      <c r="BO107" s="11" t="str">
        <f>IF($BK107="","",BREAKER_DATO($BX$60,$BK107,"unidad"))</f>
        <v/>
      </c>
      <c r="BP107" s="11" t="str">
        <f>IF($BK107="","",BREAKER_DATO($BX$60,$BK107,"marco"))</f>
        <v/>
      </c>
      <c r="BQ107" s="11" t="str">
        <f t="shared" si="158"/>
        <v/>
      </c>
      <c r="BR107" s="11" t="str">
        <f t="shared" si="159"/>
        <v/>
      </c>
      <c r="BS107" s="11" t="str">
        <f t="shared" si="160"/>
        <v/>
      </c>
      <c r="BT107" s="11" t="str">
        <f t="shared" si="161"/>
        <v/>
      </c>
      <c r="BU107" s="11" t="str">
        <f t="shared" si="162"/>
        <v/>
      </c>
      <c r="BW107" t="s">
        <v>818</v>
      </c>
      <c r="BX107" t="str">
        <f>""</f>
        <v/>
      </c>
      <c r="CA107" s="11" t="str">
        <f t="shared" si="163"/>
        <v/>
      </c>
      <c r="CB107" s="11" t="str">
        <f t="shared" si="164"/>
        <v/>
      </c>
    </row>
    <row r="108" spans="1:80" ht="14.65" x14ac:dyDescent="0.45">
      <c r="A108" s="37"/>
      <c r="B108" s="14">
        <v>68</v>
      </c>
      <c r="C108" s="37"/>
      <c r="D108" s="37"/>
      <c r="E108" s="37"/>
      <c r="F108" s="37" t="str">
        <f t="shared" si="110"/>
        <v/>
      </c>
      <c r="G108" s="38"/>
      <c r="H108" s="37"/>
      <c r="I108" s="37" t="str">
        <f t="shared" si="111"/>
        <v/>
      </c>
      <c r="J108" s="37" t="str">
        <f t="shared" si="112"/>
        <v/>
      </c>
      <c r="K108" s="37" t="str">
        <f t="shared" si="113"/>
        <v/>
      </c>
      <c r="L108" s="37" t="str">
        <f t="shared" si="114"/>
        <v/>
      </c>
      <c r="M108" s="37" t="str">
        <f t="shared" si="115"/>
        <v/>
      </c>
      <c r="N108" s="37" t="str">
        <f t="shared" si="116"/>
        <v/>
      </c>
      <c r="O108" s="37" t="str">
        <f t="shared" si="117"/>
        <v/>
      </c>
      <c r="P108" s="37" t="str">
        <f t="shared" si="118"/>
        <v/>
      </c>
      <c r="Q108" s="37" t="str">
        <f>IF($X108=0,"",NEC_UNIDAD($W108,$E108,$Y108,$Z108,N($AT108),$C$7,OCUPACION))</f>
        <v/>
      </c>
      <c r="R108" s="37" t="str">
        <f>IF($X108=0,"",BREAKER_SEL($BX$60,$BI108,$AT108,$C$7,$BX$58,$BX$69,$BJ108))</f>
        <v/>
      </c>
      <c r="S108" s="37"/>
      <c r="T108" s="37"/>
      <c r="U108" s="37"/>
      <c r="V108" s="37"/>
      <c r="W108" s="11" t="str">
        <f t="shared" si="119"/>
        <v/>
      </c>
      <c r="X108" s="39">
        <f t="shared" si="120"/>
        <v>0</v>
      </c>
      <c r="Y108" s="11">
        <f t="shared" si="121"/>
        <v>0</v>
      </c>
      <c r="Z108" s="11">
        <f t="shared" si="122"/>
        <v>0</v>
      </c>
      <c r="AA108" s="11">
        <f t="shared" si="123"/>
        <v>0</v>
      </c>
      <c r="AB108" s="11">
        <f t="shared" si="124"/>
        <v>1</v>
      </c>
      <c r="AC108" s="11">
        <f t="shared" si="125"/>
        <v>1</v>
      </c>
      <c r="AD108" s="11">
        <f t="shared" si="126"/>
        <v>1</v>
      </c>
      <c r="AE108" s="11" t="str">
        <f t="shared" si="127"/>
        <v/>
      </c>
      <c r="AF108" s="11">
        <f t="shared" si="128"/>
        <v>1.25</v>
      </c>
      <c r="AG108" s="11">
        <f t="shared" si="129"/>
        <v>0</v>
      </c>
      <c r="AH108" s="11">
        <f t="shared" si="130"/>
        <v>-1</v>
      </c>
      <c r="AI108" s="11">
        <f t="shared" si="131"/>
        <v>-1</v>
      </c>
      <c r="AJ108" s="39">
        <f t="shared" si="132"/>
        <v>0</v>
      </c>
      <c r="AK108" s="39">
        <f t="shared" si="133"/>
        <v>0</v>
      </c>
      <c r="AL108" s="39">
        <f t="shared" si="134"/>
        <v>0</v>
      </c>
      <c r="AM108" s="11">
        <f t="shared" si="135"/>
        <v>0</v>
      </c>
      <c r="AN108" s="11">
        <f t="shared" si="136"/>
        <v>0</v>
      </c>
      <c r="AO108" s="11">
        <f t="shared" si="137"/>
        <v>0</v>
      </c>
      <c r="AP108" s="40">
        <f t="shared" si="138"/>
        <v>0</v>
      </c>
      <c r="AQ108" s="40">
        <f t="shared" si="139"/>
        <v>0</v>
      </c>
      <c r="AR108" s="40">
        <f t="shared" si="140"/>
        <v>0</v>
      </c>
      <c r="AS108" s="40" t="str">
        <f t="shared" si="141"/>
        <v/>
      </c>
      <c r="AT108" s="11" t="str">
        <f t="shared" si="142"/>
        <v/>
      </c>
      <c r="AU108" s="11">
        <f t="shared" si="143"/>
        <v>1</v>
      </c>
      <c r="AV108" s="11">
        <f t="shared" si="144"/>
        <v>1</v>
      </c>
      <c r="AW108" s="11" t="str">
        <f t="shared" si="145"/>
        <v/>
      </c>
      <c r="AX108" s="11" t="str">
        <f t="shared" si="146"/>
        <v/>
      </c>
      <c r="AY108" s="11" t="str">
        <f t="shared" si="147"/>
        <v/>
      </c>
      <c r="AZ108" s="11" t="str">
        <f t="shared" si="148"/>
        <v/>
      </c>
      <c r="BA108" s="11" t="str">
        <f t="shared" si="149"/>
        <v/>
      </c>
      <c r="BB108" s="11" t="str">
        <f t="shared" si="150"/>
        <v/>
      </c>
      <c r="BC108" s="11" t="str">
        <f t="shared" si="151"/>
        <v/>
      </c>
      <c r="BD108" s="11" t="str">
        <f t="shared" si="152"/>
        <v/>
      </c>
      <c r="BE108" s="39" t="str">
        <f t="shared" si="153"/>
        <v/>
      </c>
      <c r="BF108" s="11" t="str">
        <f t="shared" si="154"/>
        <v/>
      </c>
      <c r="BG108" s="11" t="str">
        <f t="shared" si="155"/>
        <v/>
      </c>
      <c r="BH108" s="39" t="str">
        <f t="shared" si="156"/>
        <v/>
      </c>
      <c r="BI108" s="11" t="str">
        <f t="shared" si="157"/>
        <v/>
      </c>
      <c r="BJ108" s="11" t="str">
        <f>IF($X108=0,"",IF($Q108&lt;&gt;"",$Q108,NEC_UNIDAD($W108,$E108,$Y108,$Z108,N($AT108),$C$7,OCUPACION)))</f>
        <v/>
      </c>
      <c r="BK108" s="11" t="str">
        <f>IF($X108=0,"",IF(N($R108)&gt;0,$R108,BREAKER_SEL($BX$60,$BI108,$AT108,$C$7,$BX$58,$BX$69,$BJ108)))</f>
        <v/>
      </c>
      <c r="BL108" s="11" t="str">
        <f>IF($BK108="","",BREAKER_REF($BX$60,$BK108,$BI108,$AT108,FALSE))</f>
        <v/>
      </c>
      <c r="BM108" s="11" t="str">
        <f>IF($BK108="","",BREAKER_DATO($BX$60,$BK108,"sccr"))</f>
        <v/>
      </c>
      <c r="BN108" s="11" t="str">
        <f>IF(OR($BK108="",N($BM108)&gt;=$BX$58,$BX$71="",N($BX$74)&lt;$BX$58),"",SERIE_KA($BX$60,BREAKER_DATO($BX$60,$BK108,"modelo"),$BX$72,N($BX$24),$C$7,$BX$58))</f>
        <v/>
      </c>
      <c r="BO108" s="11" t="str">
        <f>IF($BK108="","",BREAKER_DATO($BX$60,$BK108,"unidad"))</f>
        <v/>
      </c>
      <c r="BP108" s="11" t="str">
        <f>IF($BK108="","",BREAKER_DATO($BX$60,$BK108,"marco"))</f>
        <v/>
      </c>
      <c r="BQ108" s="11" t="str">
        <f t="shared" si="158"/>
        <v/>
      </c>
      <c r="BR108" s="11" t="str">
        <f t="shared" si="159"/>
        <v/>
      </c>
      <c r="BS108" s="11" t="str">
        <f t="shared" si="160"/>
        <v/>
      </c>
      <c r="BT108" s="11" t="str">
        <f t="shared" si="161"/>
        <v/>
      </c>
      <c r="BU108" s="11" t="str">
        <f t="shared" si="162"/>
        <v/>
      </c>
      <c r="BW108" t="s">
        <v>819</v>
      </c>
      <c r="BX108" t="str">
        <f>""</f>
        <v/>
      </c>
      <c r="CA108" s="11" t="str">
        <f t="shared" si="163"/>
        <v/>
      </c>
      <c r="CB108" s="11" t="str">
        <f t="shared" si="164"/>
        <v/>
      </c>
    </row>
    <row r="109" spans="1:80" ht="14.65" x14ac:dyDescent="0.45">
      <c r="A109" s="37"/>
      <c r="B109" s="14">
        <v>70</v>
      </c>
      <c r="C109" s="37"/>
      <c r="D109" s="37"/>
      <c r="E109" s="37"/>
      <c r="F109" s="37" t="str">
        <f t="shared" si="110"/>
        <v/>
      </c>
      <c r="G109" s="38"/>
      <c r="H109" s="37"/>
      <c r="I109" s="37" t="str">
        <f t="shared" si="111"/>
        <v/>
      </c>
      <c r="J109" s="37" t="str">
        <f t="shared" si="112"/>
        <v/>
      </c>
      <c r="K109" s="37" t="str">
        <f t="shared" si="113"/>
        <v/>
      </c>
      <c r="L109" s="37" t="str">
        <f t="shared" si="114"/>
        <v/>
      </c>
      <c r="M109" s="37" t="str">
        <f t="shared" si="115"/>
        <v/>
      </c>
      <c r="N109" s="37" t="str">
        <f t="shared" si="116"/>
        <v/>
      </c>
      <c r="O109" s="37" t="str">
        <f t="shared" si="117"/>
        <v/>
      </c>
      <c r="P109" s="37" t="str">
        <f t="shared" si="118"/>
        <v/>
      </c>
      <c r="Q109" s="37" t="str">
        <f>IF($X109=0,"",NEC_UNIDAD($W109,$E109,$Y109,$Z109,N($AT109),$C$7,OCUPACION))</f>
        <v/>
      </c>
      <c r="R109" s="37" t="str">
        <f>IF($X109=0,"",BREAKER_SEL($BX$60,$BI109,$AT109,$C$7,$BX$58,$BX$69,$BJ109))</f>
        <v/>
      </c>
      <c r="S109" s="37"/>
      <c r="T109" s="37"/>
      <c r="U109" s="37"/>
      <c r="V109" s="37"/>
      <c r="W109" s="11" t="str">
        <f t="shared" si="119"/>
        <v/>
      </c>
      <c r="X109" s="39">
        <f t="shared" si="120"/>
        <v>0</v>
      </c>
      <c r="Y109" s="11">
        <f t="shared" si="121"/>
        <v>0</v>
      </c>
      <c r="Z109" s="11">
        <f t="shared" si="122"/>
        <v>0</v>
      </c>
      <c r="AA109" s="11">
        <f t="shared" si="123"/>
        <v>0</v>
      </c>
      <c r="AB109" s="11">
        <f t="shared" si="124"/>
        <v>1</v>
      </c>
      <c r="AC109" s="11">
        <f t="shared" si="125"/>
        <v>1</v>
      </c>
      <c r="AD109" s="11">
        <f t="shared" si="126"/>
        <v>1</v>
      </c>
      <c r="AE109" s="11" t="str">
        <f t="shared" si="127"/>
        <v/>
      </c>
      <c r="AF109" s="11">
        <f t="shared" si="128"/>
        <v>1.25</v>
      </c>
      <c r="AG109" s="11">
        <f t="shared" si="129"/>
        <v>1</v>
      </c>
      <c r="AH109" s="11">
        <f t="shared" si="130"/>
        <v>-1</v>
      </c>
      <c r="AI109" s="11">
        <f t="shared" si="131"/>
        <v>-1</v>
      </c>
      <c r="AJ109" s="39">
        <f t="shared" si="132"/>
        <v>0</v>
      </c>
      <c r="AK109" s="39">
        <f t="shared" si="133"/>
        <v>0</v>
      </c>
      <c r="AL109" s="39">
        <f t="shared" si="134"/>
        <v>0</v>
      </c>
      <c r="AM109" s="11">
        <f t="shared" si="135"/>
        <v>0</v>
      </c>
      <c r="AN109" s="11">
        <f t="shared" si="136"/>
        <v>0</v>
      </c>
      <c r="AO109" s="11">
        <f t="shared" si="137"/>
        <v>0</v>
      </c>
      <c r="AP109" s="40">
        <f t="shared" si="138"/>
        <v>0</v>
      </c>
      <c r="AQ109" s="40">
        <f t="shared" si="139"/>
        <v>0</v>
      </c>
      <c r="AR109" s="40">
        <f t="shared" si="140"/>
        <v>0</v>
      </c>
      <c r="AS109" s="40" t="str">
        <f t="shared" si="141"/>
        <v/>
      </c>
      <c r="AT109" s="11" t="str">
        <f t="shared" si="142"/>
        <v/>
      </c>
      <c r="AU109" s="11">
        <f t="shared" si="143"/>
        <v>1</v>
      </c>
      <c r="AV109" s="11">
        <f t="shared" si="144"/>
        <v>1</v>
      </c>
      <c r="AW109" s="11" t="str">
        <f t="shared" si="145"/>
        <v/>
      </c>
      <c r="AX109" s="11" t="str">
        <f t="shared" si="146"/>
        <v/>
      </c>
      <c r="AY109" s="11" t="str">
        <f t="shared" si="147"/>
        <v/>
      </c>
      <c r="AZ109" s="11" t="str">
        <f t="shared" si="148"/>
        <v/>
      </c>
      <c r="BA109" s="11" t="str">
        <f t="shared" si="149"/>
        <v/>
      </c>
      <c r="BB109" s="11" t="str">
        <f t="shared" si="150"/>
        <v/>
      </c>
      <c r="BC109" s="11" t="str">
        <f t="shared" si="151"/>
        <v/>
      </c>
      <c r="BD109" s="11" t="str">
        <f t="shared" si="152"/>
        <v/>
      </c>
      <c r="BE109" s="39" t="str">
        <f t="shared" si="153"/>
        <v/>
      </c>
      <c r="BF109" s="11" t="str">
        <f t="shared" si="154"/>
        <v/>
      </c>
      <c r="BG109" s="11" t="str">
        <f t="shared" si="155"/>
        <v/>
      </c>
      <c r="BH109" s="39" t="str">
        <f t="shared" si="156"/>
        <v/>
      </c>
      <c r="BI109" s="11" t="str">
        <f t="shared" si="157"/>
        <v/>
      </c>
      <c r="BJ109" s="11" t="str">
        <f>IF($X109=0,"",IF($Q109&lt;&gt;"",$Q109,NEC_UNIDAD($W109,$E109,$Y109,$Z109,N($AT109),$C$7,OCUPACION)))</f>
        <v/>
      </c>
      <c r="BK109" s="11" t="str">
        <f>IF($X109=0,"",IF(N($R109)&gt;0,$R109,BREAKER_SEL($BX$60,$BI109,$AT109,$C$7,$BX$58,$BX$69,$BJ109)))</f>
        <v/>
      </c>
      <c r="BL109" s="11" t="str">
        <f>IF($BK109="","",BREAKER_REF($BX$60,$BK109,$BI109,$AT109,FALSE))</f>
        <v/>
      </c>
      <c r="BM109" s="11" t="str">
        <f>IF($BK109="","",BREAKER_DATO($BX$60,$BK109,"sccr"))</f>
        <v/>
      </c>
      <c r="BN109" s="11" t="str">
        <f>IF(OR($BK109="",N($BM109)&gt;=$BX$58,$BX$71="",N($BX$74)&lt;$BX$58),"",SERIE_KA($BX$60,BREAKER_DATO($BX$60,$BK109,"modelo"),$BX$72,N($BX$24),$C$7,$BX$58))</f>
        <v/>
      </c>
      <c r="BO109" s="11" t="str">
        <f>IF($BK109="","",BREAKER_DATO($BX$60,$BK109,"unidad"))</f>
        <v/>
      </c>
      <c r="BP109" s="11" t="str">
        <f>IF($BK109="","",BREAKER_DATO($BX$60,$BK109,"marco"))</f>
        <v/>
      </c>
      <c r="BQ109" s="11" t="str">
        <f t="shared" si="158"/>
        <v/>
      </c>
      <c r="BR109" s="11" t="str">
        <f t="shared" si="159"/>
        <v/>
      </c>
      <c r="BS109" s="11" t="str">
        <f t="shared" si="160"/>
        <v/>
      </c>
      <c r="BT109" s="11" t="str">
        <f t="shared" si="161"/>
        <v/>
      </c>
      <c r="BU109" s="11" t="str">
        <f t="shared" si="162"/>
        <v/>
      </c>
      <c r="BW109" t="s">
        <v>820</v>
      </c>
      <c r="BX109" t="str">
        <f>""</f>
        <v/>
      </c>
      <c r="CA109" s="11" t="str">
        <f t="shared" si="163"/>
        <v/>
      </c>
      <c r="CB109" s="11" t="str">
        <f t="shared" si="164"/>
        <v/>
      </c>
    </row>
    <row r="110" spans="1:80" ht="14.65" x14ac:dyDescent="0.45">
      <c r="A110" s="37"/>
      <c r="B110" s="14">
        <v>72</v>
      </c>
      <c r="C110" s="37"/>
      <c r="D110" s="37"/>
      <c r="E110" s="37"/>
      <c r="F110" s="37" t="str">
        <f t="shared" si="110"/>
        <v/>
      </c>
      <c r="G110" s="38"/>
      <c r="H110" s="37"/>
      <c r="I110" s="37" t="str">
        <f t="shared" si="111"/>
        <v/>
      </c>
      <c r="J110" s="37" t="str">
        <f t="shared" si="112"/>
        <v/>
      </c>
      <c r="K110" s="37" t="str">
        <f t="shared" si="113"/>
        <v/>
      </c>
      <c r="L110" s="37" t="str">
        <f t="shared" si="114"/>
        <v/>
      </c>
      <c r="M110" s="37" t="str">
        <f t="shared" si="115"/>
        <v/>
      </c>
      <c r="N110" s="37" t="str">
        <f t="shared" si="116"/>
        <v/>
      </c>
      <c r="O110" s="37" t="str">
        <f t="shared" si="117"/>
        <v/>
      </c>
      <c r="P110" s="37" t="str">
        <f t="shared" si="118"/>
        <v/>
      </c>
      <c r="Q110" s="37" t="str">
        <f>IF($X110=0,"",NEC_UNIDAD($W110,$E110,$Y110,$Z110,N($AT110),$C$7,OCUPACION))</f>
        <v/>
      </c>
      <c r="R110" s="37" t="str">
        <f>IF($X110=0,"",BREAKER_SEL($BX$60,$BI110,$AT110,$C$7,$BX$58,$BX$69,$BJ110))</f>
        <v/>
      </c>
      <c r="S110" s="37"/>
      <c r="T110" s="37"/>
      <c r="U110" s="37"/>
      <c r="V110" s="37"/>
      <c r="W110" s="11" t="str">
        <f t="shared" si="119"/>
        <v/>
      </c>
      <c r="X110" s="39">
        <f t="shared" si="120"/>
        <v>0</v>
      </c>
      <c r="Y110" s="11">
        <f t="shared" si="121"/>
        <v>0</v>
      </c>
      <c r="Z110" s="11">
        <f t="shared" si="122"/>
        <v>0</v>
      </c>
      <c r="AA110" s="11">
        <f t="shared" si="123"/>
        <v>0</v>
      </c>
      <c r="AB110" s="11">
        <f t="shared" si="124"/>
        <v>1</v>
      </c>
      <c r="AC110" s="11">
        <f t="shared" si="125"/>
        <v>1</v>
      </c>
      <c r="AD110" s="11">
        <f t="shared" si="126"/>
        <v>1</v>
      </c>
      <c r="AE110" s="11" t="str">
        <f t="shared" si="127"/>
        <v/>
      </c>
      <c r="AF110" s="11">
        <f t="shared" si="128"/>
        <v>1.25</v>
      </c>
      <c r="AG110" s="11">
        <f t="shared" si="129"/>
        <v>2</v>
      </c>
      <c r="AH110" s="11">
        <f t="shared" si="130"/>
        <v>-1</v>
      </c>
      <c r="AI110" s="11">
        <f t="shared" si="131"/>
        <v>-1</v>
      </c>
      <c r="AJ110" s="39">
        <f t="shared" si="132"/>
        <v>0</v>
      </c>
      <c r="AK110" s="39">
        <f t="shared" si="133"/>
        <v>0</v>
      </c>
      <c r="AL110" s="39">
        <f t="shared" si="134"/>
        <v>0</v>
      </c>
      <c r="AM110" s="11">
        <f t="shared" si="135"/>
        <v>0</v>
      </c>
      <c r="AN110" s="11">
        <f t="shared" si="136"/>
        <v>0</v>
      </c>
      <c r="AO110" s="11">
        <f t="shared" si="137"/>
        <v>0</v>
      </c>
      <c r="AP110" s="40">
        <f t="shared" si="138"/>
        <v>0</v>
      </c>
      <c r="AQ110" s="40">
        <f t="shared" si="139"/>
        <v>0</v>
      </c>
      <c r="AR110" s="40">
        <f t="shared" si="140"/>
        <v>0</v>
      </c>
      <c r="AS110" s="40" t="str">
        <f t="shared" si="141"/>
        <v/>
      </c>
      <c r="AT110" s="11" t="str">
        <f t="shared" si="142"/>
        <v/>
      </c>
      <c r="AU110" s="11">
        <f t="shared" si="143"/>
        <v>1</v>
      </c>
      <c r="AV110" s="11">
        <f t="shared" si="144"/>
        <v>1</v>
      </c>
      <c r="AW110" s="11" t="str">
        <f t="shared" si="145"/>
        <v/>
      </c>
      <c r="AX110" s="11" t="str">
        <f t="shared" si="146"/>
        <v/>
      </c>
      <c r="AY110" s="11" t="str">
        <f t="shared" si="147"/>
        <v/>
      </c>
      <c r="AZ110" s="11" t="str">
        <f t="shared" si="148"/>
        <v/>
      </c>
      <c r="BA110" s="11" t="str">
        <f t="shared" si="149"/>
        <v/>
      </c>
      <c r="BB110" s="11" t="str">
        <f t="shared" si="150"/>
        <v/>
      </c>
      <c r="BC110" s="11" t="str">
        <f t="shared" si="151"/>
        <v/>
      </c>
      <c r="BD110" s="11" t="str">
        <f t="shared" si="152"/>
        <v/>
      </c>
      <c r="BE110" s="39" t="str">
        <f t="shared" si="153"/>
        <v/>
      </c>
      <c r="BF110" s="11" t="str">
        <f t="shared" si="154"/>
        <v/>
      </c>
      <c r="BG110" s="11" t="str">
        <f t="shared" si="155"/>
        <v/>
      </c>
      <c r="BH110" s="39" t="str">
        <f t="shared" si="156"/>
        <v/>
      </c>
      <c r="BI110" s="11" t="str">
        <f t="shared" si="157"/>
        <v/>
      </c>
      <c r="BJ110" s="11" t="str">
        <f>IF($X110=0,"",IF($Q110&lt;&gt;"",$Q110,NEC_UNIDAD($W110,$E110,$Y110,$Z110,N($AT110),$C$7,OCUPACION)))</f>
        <v/>
      </c>
      <c r="BK110" s="11" t="str">
        <f>IF($X110=0,"",IF(N($R110)&gt;0,$R110,BREAKER_SEL($BX$60,$BI110,$AT110,$C$7,$BX$58,$BX$69,$BJ110)))</f>
        <v/>
      </c>
      <c r="BL110" s="11" t="str">
        <f>IF($BK110="","",BREAKER_REF($BX$60,$BK110,$BI110,$AT110,FALSE))</f>
        <v/>
      </c>
      <c r="BM110" s="11" t="str">
        <f>IF($BK110="","",BREAKER_DATO($BX$60,$BK110,"sccr"))</f>
        <v/>
      </c>
      <c r="BN110" s="11" t="str">
        <f>IF(OR($BK110="",N($BM110)&gt;=$BX$58,$BX$71="",N($BX$74)&lt;$BX$58),"",SERIE_KA($BX$60,BREAKER_DATO($BX$60,$BK110,"modelo"),$BX$72,N($BX$24),$C$7,$BX$58))</f>
        <v/>
      </c>
      <c r="BO110" s="11" t="str">
        <f>IF($BK110="","",BREAKER_DATO($BX$60,$BK110,"unidad"))</f>
        <v/>
      </c>
      <c r="BP110" s="11" t="str">
        <f>IF($BK110="","",BREAKER_DATO($BX$60,$BK110,"marco"))</f>
        <v/>
      </c>
      <c r="BQ110" s="11" t="str">
        <f t="shared" si="158"/>
        <v/>
      </c>
      <c r="BR110" s="11" t="str">
        <f t="shared" si="159"/>
        <v/>
      </c>
      <c r="BS110" s="11" t="str">
        <f t="shared" si="160"/>
        <v/>
      </c>
      <c r="BT110" s="11" t="str">
        <f t="shared" si="161"/>
        <v/>
      </c>
      <c r="BU110" s="11" t="str">
        <f t="shared" si="162"/>
        <v/>
      </c>
      <c r="BW110" t="s">
        <v>821</v>
      </c>
      <c r="BX110" t="str">
        <f>""</f>
        <v/>
      </c>
      <c r="CA110" s="11" t="str">
        <f t="shared" si="163"/>
        <v/>
      </c>
      <c r="CB110" s="11" t="str">
        <f t="shared" si="164"/>
        <v/>
      </c>
    </row>
    <row r="111" spans="1:80" ht="14.65" x14ac:dyDescent="0.45">
      <c r="A111" s="37"/>
      <c r="B111" s="14">
        <v>74</v>
      </c>
      <c r="C111" s="37"/>
      <c r="D111" s="37"/>
      <c r="E111" s="37"/>
      <c r="F111" s="37" t="str">
        <f t="shared" si="110"/>
        <v/>
      </c>
      <c r="G111" s="38"/>
      <c r="H111" s="37"/>
      <c r="I111" s="37" t="str">
        <f t="shared" si="111"/>
        <v/>
      </c>
      <c r="J111" s="37" t="str">
        <f t="shared" si="112"/>
        <v/>
      </c>
      <c r="K111" s="37" t="str">
        <f t="shared" si="113"/>
        <v/>
      </c>
      <c r="L111" s="37" t="str">
        <f t="shared" si="114"/>
        <v/>
      </c>
      <c r="M111" s="37" t="str">
        <f t="shared" si="115"/>
        <v/>
      </c>
      <c r="N111" s="37" t="str">
        <f t="shared" si="116"/>
        <v/>
      </c>
      <c r="O111" s="37" t="str">
        <f t="shared" si="117"/>
        <v/>
      </c>
      <c r="P111" s="37" t="str">
        <f t="shared" si="118"/>
        <v/>
      </c>
      <c r="Q111" s="37" t="str">
        <f>IF($X111=0,"",NEC_UNIDAD($W111,$E111,$Y111,$Z111,N($AT111),$C$7,OCUPACION))</f>
        <v/>
      </c>
      <c r="R111" s="37" t="str">
        <f>IF($X111=0,"",BREAKER_SEL($BX$60,$BI111,$AT111,$C$7,$BX$58,$BX$69,$BJ111))</f>
        <v/>
      </c>
      <c r="S111" s="37"/>
      <c r="T111" s="37"/>
      <c r="U111" s="37"/>
      <c r="V111" s="37"/>
      <c r="W111" s="11" t="str">
        <f t="shared" si="119"/>
        <v/>
      </c>
      <c r="X111" s="39">
        <f t="shared" si="120"/>
        <v>0</v>
      </c>
      <c r="Y111" s="11">
        <f t="shared" si="121"/>
        <v>0</v>
      </c>
      <c r="Z111" s="11">
        <f t="shared" si="122"/>
        <v>0</v>
      </c>
      <c r="AA111" s="11">
        <f t="shared" si="123"/>
        <v>0</v>
      </c>
      <c r="AB111" s="11">
        <f t="shared" si="124"/>
        <v>1</v>
      </c>
      <c r="AC111" s="11">
        <f t="shared" si="125"/>
        <v>1</v>
      </c>
      <c r="AD111" s="11">
        <f t="shared" si="126"/>
        <v>1</v>
      </c>
      <c r="AE111" s="11" t="str">
        <f t="shared" si="127"/>
        <v/>
      </c>
      <c r="AF111" s="11">
        <f t="shared" si="128"/>
        <v>1.25</v>
      </c>
      <c r="AG111" s="11">
        <f t="shared" si="129"/>
        <v>0</v>
      </c>
      <c r="AH111" s="11">
        <f t="shared" si="130"/>
        <v>-1</v>
      </c>
      <c r="AI111" s="11">
        <f t="shared" si="131"/>
        <v>-1</v>
      </c>
      <c r="AJ111" s="39">
        <f t="shared" si="132"/>
        <v>0</v>
      </c>
      <c r="AK111" s="39">
        <f t="shared" si="133"/>
        <v>0</v>
      </c>
      <c r="AL111" s="39">
        <f t="shared" si="134"/>
        <v>0</v>
      </c>
      <c r="AM111" s="11">
        <f t="shared" si="135"/>
        <v>0</v>
      </c>
      <c r="AN111" s="11">
        <f t="shared" si="136"/>
        <v>0</v>
      </c>
      <c r="AO111" s="11">
        <f t="shared" si="137"/>
        <v>0</v>
      </c>
      <c r="AP111" s="40">
        <f t="shared" si="138"/>
        <v>0</v>
      </c>
      <c r="AQ111" s="40">
        <f t="shared" si="139"/>
        <v>0</v>
      </c>
      <c r="AR111" s="40">
        <f t="shared" si="140"/>
        <v>0</v>
      </c>
      <c r="AS111" s="40" t="str">
        <f t="shared" si="141"/>
        <v/>
      </c>
      <c r="AT111" s="11" t="str">
        <f t="shared" si="142"/>
        <v/>
      </c>
      <c r="AU111" s="11">
        <f t="shared" si="143"/>
        <v>1</v>
      </c>
      <c r="AV111" s="11">
        <f t="shared" si="144"/>
        <v>1</v>
      </c>
      <c r="AW111" s="11" t="str">
        <f t="shared" si="145"/>
        <v/>
      </c>
      <c r="AX111" s="11" t="str">
        <f t="shared" si="146"/>
        <v/>
      </c>
      <c r="AY111" s="11" t="str">
        <f t="shared" si="147"/>
        <v/>
      </c>
      <c r="AZ111" s="11" t="str">
        <f t="shared" si="148"/>
        <v/>
      </c>
      <c r="BA111" s="11" t="str">
        <f t="shared" si="149"/>
        <v/>
      </c>
      <c r="BB111" s="11" t="str">
        <f t="shared" si="150"/>
        <v/>
      </c>
      <c r="BC111" s="11" t="str">
        <f t="shared" si="151"/>
        <v/>
      </c>
      <c r="BD111" s="11" t="str">
        <f t="shared" si="152"/>
        <v/>
      </c>
      <c r="BE111" s="39" t="str">
        <f t="shared" si="153"/>
        <v/>
      </c>
      <c r="BF111" s="11" t="str">
        <f t="shared" si="154"/>
        <v/>
      </c>
      <c r="BG111" s="11" t="str">
        <f t="shared" si="155"/>
        <v/>
      </c>
      <c r="BH111" s="39" t="str">
        <f t="shared" si="156"/>
        <v/>
      </c>
      <c r="BI111" s="11" t="str">
        <f t="shared" si="157"/>
        <v/>
      </c>
      <c r="BJ111" s="11" t="str">
        <f>IF($X111=0,"",IF($Q111&lt;&gt;"",$Q111,NEC_UNIDAD($W111,$E111,$Y111,$Z111,N($AT111),$C$7,OCUPACION)))</f>
        <v/>
      </c>
      <c r="BK111" s="11" t="str">
        <f>IF($X111=0,"",IF(N($R111)&gt;0,$R111,BREAKER_SEL($BX$60,$BI111,$AT111,$C$7,$BX$58,$BX$69,$BJ111)))</f>
        <v/>
      </c>
      <c r="BL111" s="11" t="str">
        <f>IF($BK111="","",BREAKER_REF($BX$60,$BK111,$BI111,$AT111,FALSE))</f>
        <v/>
      </c>
      <c r="BM111" s="11" t="str">
        <f>IF($BK111="","",BREAKER_DATO($BX$60,$BK111,"sccr"))</f>
        <v/>
      </c>
      <c r="BN111" s="11" t="str">
        <f>IF(OR($BK111="",N($BM111)&gt;=$BX$58,$BX$71="",N($BX$74)&lt;$BX$58),"",SERIE_KA($BX$60,BREAKER_DATO($BX$60,$BK111,"modelo"),$BX$72,N($BX$24),$C$7,$BX$58))</f>
        <v/>
      </c>
      <c r="BO111" s="11" t="str">
        <f>IF($BK111="","",BREAKER_DATO($BX$60,$BK111,"unidad"))</f>
        <v/>
      </c>
      <c r="BP111" s="11" t="str">
        <f>IF($BK111="","",BREAKER_DATO($BX$60,$BK111,"marco"))</f>
        <v/>
      </c>
      <c r="BQ111" s="11" t="str">
        <f t="shared" si="158"/>
        <v/>
      </c>
      <c r="BR111" s="11" t="str">
        <f t="shared" si="159"/>
        <v/>
      </c>
      <c r="BS111" s="11" t="str">
        <f t="shared" si="160"/>
        <v/>
      </c>
      <c r="BT111" s="11" t="str">
        <f t="shared" si="161"/>
        <v/>
      </c>
      <c r="BU111" s="11" t="str">
        <f t="shared" si="162"/>
        <v/>
      </c>
      <c r="BW111" t="s">
        <v>822</v>
      </c>
      <c r="BX111" t="str">
        <f>IF(OR(NOT(BX84),BX87=""),"",IF($I$16="Generador",IF(N($I$18)&gt;0,P2P($I$18*1000/(IF($C$8=3,1.732,1)*$C$7*IF(N($I$19)&gt;0,$I$19,12)/100),BX87,IF($F$4="","XHHW-2",$F$4),IF($F$5="","EMT",$F$5),BX86,N($I$20),$C$7,$C$8,ICC_LMAX),""),IF($I$17&lt;&gt;"",IF(N(BX109)&gt;0,P2P(BX109,BX87,IF($F$4="","XHHW-2",$F$4),IF($F$5="","EMT",$F$5),BX86,N($I$20),$C$7,$C$8,ICC_LMAX),""),"")))</f>
        <v/>
      </c>
      <c r="CA111" s="11" t="str">
        <f t="shared" si="163"/>
        <v/>
      </c>
      <c r="CB111" s="11" t="str">
        <f t="shared" si="164"/>
        <v/>
      </c>
    </row>
    <row r="112" spans="1:80" ht="14.65" x14ac:dyDescent="0.45">
      <c r="A112" s="37"/>
      <c r="B112" s="14">
        <v>76</v>
      </c>
      <c r="C112" s="37"/>
      <c r="D112" s="37"/>
      <c r="E112" s="37"/>
      <c r="F112" s="37" t="str">
        <f t="shared" si="110"/>
        <v/>
      </c>
      <c r="G112" s="38"/>
      <c r="H112" s="37"/>
      <c r="I112" s="37" t="str">
        <f t="shared" si="111"/>
        <v/>
      </c>
      <c r="J112" s="37" t="str">
        <f t="shared" si="112"/>
        <v/>
      </c>
      <c r="K112" s="37" t="str">
        <f t="shared" si="113"/>
        <v/>
      </c>
      <c r="L112" s="37" t="str">
        <f t="shared" si="114"/>
        <v/>
      </c>
      <c r="M112" s="37" t="str">
        <f t="shared" si="115"/>
        <v/>
      </c>
      <c r="N112" s="37" t="str">
        <f t="shared" si="116"/>
        <v/>
      </c>
      <c r="O112" s="37" t="str">
        <f t="shared" si="117"/>
        <v/>
      </c>
      <c r="P112" s="37" t="str">
        <f t="shared" si="118"/>
        <v/>
      </c>
      <c r="Q112" s="37" t="str">
        <f>IF($X112=0,"",NEC_UNIDAD($W112,$E112,$Y112,$Z112,N($AT112),$C$7,OCUPACION))</f>
        <v/>
      </c>
      <c r="R112" s="37" t="str">
        <f>IF($X112=0,"",BREAKER_SEL($BX$60,$BI112,$AT112,$C$7,$BX$58,$BX$69,$BJ112))</f>
        <v/>
      </c>
      <c r="S112" s="37"/>
      <c r="T112" s="37"/>
      <c r="U112" s="37"/>
      <c r="V112" s="37"/>
      <c r="W112" s="11" t="str">
        <f t="shared" si="119"/>
        <v/>
      </c>
      <c r="X112" s="39">
        <f t="shared" si="120"/>
        <v>0</v>
      </c>
      <c r="Y112" s="11">
        <f t="shared" si="121"/>
        <v>0</v>
      </c>
      <c r="Z112" s="11">
        <f t="shared" si="122"/>
        <v>0</v>
      </c>
      <c r="AA112" s="11">
        <f t="shared" si="123"/>
        <v>0</v>
      </c>
      <c r="AB112" s="11">
        <f t="shared" si="124"/>
        <v>1</v>
      </c>
      <c r="AC112" s="11">
        <f t="shared" si="125"/>
        <v>1</v>
      </c>
      <c r="AD112" s="11">
        <f t="shared" si="126"/>
        <v>1</v>
      </c>
      <c r="AE112" s="11" t="str">
        <f t="shared" si="127"/>
        <v/>
      </c>
      <c r="AF112" s="11">
        <f t="shared" si="128"/>
        <v>1.25</v>
      </c>
      <c r="AG112" s="11">
        <f t="shared" si="129"/>
        <v>1</v>
      </c>
      <c r="AH112" s="11">
        <f t="shared" si="130"/>
        <v>-1</v>
      </c>
      <c r="AI112" s="11">
        <f t="shared" si="131"/>
        <v>-1</v>
      </c>
      <c r="AJ112" s="39">
        <f t="shared" si="132"/>
        <v>0</v>
      </c>
      <c r="AK112" s="39">
        <f t="shared" si="133"/>
        <v>0</v>
      </c>
      <c r="AL112" s="39">
        <f t="shared" si="134"/>
        <v>0</v>
      </c>
      <c r="AM112" s="11">
        <f t="shared" si="135"/>
        <v>0</v>
      </c>
      <c r="AN112" s="11">
        <f t="shared" si="136"/>
        <v>0</v>
      </c>
      <c r="AO112" s="11">
        <f t="shared" si="137"/>
        <v>0</v>
      </c>
      <c r="AP112" s="40">
        <f t="shared" si="138"/>
        <v>0</v>
      </c>
      <c r="AQ112" s="40">
        <f t="shared" si="139"/>
        <v>0</v>
      </c>
      <c r="AR112" s="40">
        <f t="shared" si="140"/>
        <v>0</v>
      </c>
      <c r="AS112" s="40" t="str">
        <f t="shared" si="141"/>
        <v/>
      </c>
      <c r="AT112" s="11" t="str">
        <f t="shared" si="142"/>
        <v/>
      </c>
      <c r="AU112" s="11">
        <f t="shared" si="143"/>
        <v>1</v>
      </c>
      <c r="AV112" s="11">
        <f t="shared" si="144"/>
        <v>1</v>
      </c>
      <c r="AW112" s="11" t="str">
        <f t="shared" si="145"/>
        <v/>
      </c>
      <c r="AX112" s="11" t="str">
        <f t="shared" si="146"/>
        <v/>
      </c>
      <c r="AY112" s="11" t="str">
        <f t="shared" si="147"/>
        <v/>
      </c>
      <c r="AZ112" s="11" t="str">
        <f t="shared" si="148"/>
        <v/>
      </c>
      <c r="BA112" s="11" t="str">
        <f t="shared" si="149"/>
        <v/>
      </c>
      <c r="BB112" s="11" t="str">
        <f t="shared" si="150"/>
        <v/>
      </c>
      <c r="BC112" s="11" t="str">
        <f t="shared" si="151"/>
        <v/>
      </c>
      <c r="BD112" s="11" t="str">
        <f t="shared" si="152"/>
        <v/>
      </c>
      <c r="BE112" s="39" t="str">
        <f t="shared" si="153"/>
        <v/>
      </c>
      <c r="BF112" s="11" t="str">
        <f t="shared" si="154"/>
        <v/>
      </c>
      <c r="BG112" s="11" t="str">
        <f t="shared" si="155"/>
        <v/>
      </c>
      <c r="BH112" s="39" t="str">
        <f t="shared" si="156"/>
        <v/>
      </c>
      <c r="BI112" s="11" t="str">
        <f t="shared" si="157"/>
        <v/>
      </c>
      <c r="BJ112" s="11" t="str">
        <f>IF($X112=0,"",IF($Q112&lt;&gt;"",$Q112,NEC_UNIDAD($W112,$E112,$Y112,$Z112,N($AT112),$C$7,OCUPACION)))</f>
        <v/>
      </c>
      <c r="BK112" s="11" t="str">
        <f>IF($X112=0,"",IF(N($R112)&gt;0,$R112,BREAKER_SEL($BX$60,$BI112,$AT112,$C$7,$BX$58,$BX$69,$BJ112)))</f>
        <v/>
      </c>
      <c r="BL112" s="11" t="str">
        <f>IF($BK112="","",BREAKER_REF($BX$60,$BK112,$BI112,$AT112,FALSE))</f>
        <v/>
      </c>
      <c r="BM112" s="11" t="str">
        <f>IF($BK112="","",BREAKER_DATO($BX$60,$BK112,"sccr"))</f>
        <v/>
      </c>
      <c r="BN112" s="11" t="str">
        <f>IF(OR($BK112="",N($BM112)&gt;=$BX$58,$BX$71="",N($BX$74)&lt;$BX$58),"",SERIE_KA($BX$60,BREAKER_DATO($BX$60,$BK112,"modelo"),$BX$72,N($BX$24),$C$7,$BX$58))</f>
        <v/>
      </c>
      <c r="BO112" s="11" t="str">
        <f>IF($BK112="","",BREAKER_DATO($BX$60,$BK112,"unidad"))</f>
        <v/>
      </c>
      <c r="BP112" s="11" t="str">
        <f>IF($BK112="","",BREAKER_DATO($BX$60,$BK112,"marco"))</f>
        <v/>
      </c>
      <c r="BQ112" s="11" t="str">
        <f t="shared" si="158"/>
        <v/>
      </c>
      <c r="BR112" s="11" t="str">
        <f t="shared" si="159"/>
        <v/>
      </c>
      <c r="BS112" s="11" t="str">
        <f t="shared" si="160"/>
        <v/>
      </c>
      <c r="BT112" s="11" t="str">
        <f t="shared" si="161"/>
        <v/>
      </c>
      <c r="BU112" s="11" t="str">
        <f t="shared" si="162"/>
        <v/>
      </c>
      <c r="BW112" t="s">
        <v>823</v>
      </c>
      <c r="BX112" t="str">
        <f>IF(OR(NOT(BX84),N($C$14)&gt;0),"",IF(N($I$23)=0,N(BX55),IF($I$3="SI",IF(N(BX57)&gt;0,P2P(BX57,BX31,IF($F$4="","XHHW-2",$F$4),IF($F$5="","EMT",$F$5),BX30,MAX(0,BX40-N($I$23)),$C$7,$C$8,ICC_LMAX),""),IF(N(BX46)&gt;0,P2P(BX46,BX31,IF($F$4="","XHHW-2",$F$4),IF($F$5="","EMT",$F$5),BX30,MAX(0,BX40-N($I$23)),$C$7,$C$8,ICC_LMAX),""))))</f>
        <v/>
      </c>
      <c r="CA112" s="11" t="str">
        <f t="shared" si="163"/>
        <v/>
      </c>
      <c r="CB112" s="11" t="str">
        <f t="shared" si="164"/>
        <v/>
      </c>
    </row>
    <row r="113" spans="1:80" ht="14.65" x14ac:dyDescent="0.45">
      <c r="A113" s="37"/>
      <c r="B113" s="14">
        <v>78</v>
      </c>
      <c r="C113" s="37"/>
      <c r="D113" s="37"/>
      <c r="E113" s="37"/>
      <c r="F113" s="37" t="str">
        <f t="shared" si="110"/>
        <v/>
      </c>
      <c r="G113" s="38"/>
      <c r="H113" s="37"/>
      <c r="I113" s="37" t="str">
        <f t="shared" si="111"/>
        <v/>
      </c>
      <c r="J113" s="37" t="str">
        <f t="shared" si="112"/>
        <v/>
      </c>
      <c r="K113" s="37" t="str">
        <f t="shared" si="113"/>
        <v/>
      </c>
      <c r="L113" s="37" t="str">
        <f t="shared" si="114"/>
        <v/>
      </c>
      <c r="M113" s="37" t="str">
        <f t="shared" si="115"/>
        <v/>
      </c>
      <c r="N113" s="37" t="str">
        <f t="shared" si="116"/>
        <v/>
      </c>
      <c r="O113" s="37" t="str">
        <f t="shared" si="117"/>
        <v/>
      </c>
      <c r="P113" s="37" t="str">
        <f t="shared" si="118"/>
        <v/>
      </c>
      <c r="Q113" s="37" t="str">
        <f>IF($X113=0,"",NEC_UNIDAD($W113,$E113,$Y113,$Z113,N($AT113),$C$7,OCUPACION))</f>
        <v/>
      </c>
      <c r="R113" s="37" t="str">
        <f>IF($X113=0,"",BREAKER_SEL($BX$60,$BI113,$AT113,$C$7,$BX$58,$BX$69,$BJ113))</f>
        <v/>
      </c>
      <c r="S113" s="37"/>
      <c r="T113" s="37"/>
      <c r="U113" s="37"/>
      <c r="V113" s="37"/>
      <c r="W113" s="11" t="str">
        <f t="shared" si="119"/>
        <v/>
      </c>
      <c r="X113" s="39">
        <f t="shared" si="120"/>
        <v>0</v>
      </c>
      <c r="Y113" s="11">
        <f t="shared" si="121"/>
        <v>0</v>
      </c>
      <c r="Z113" s="11">
        <f t="shared" si="122"/>
        <v>0</v>
      </c>
      <c r="AA113" s="11">
        <f t="shared" si="123"/>
        <v>0</v>
      </c>
      <c r="AB113" s="11">
        <f t="shared" si="124"/>
        <v>1</v>
      </c>
      <c r="AC113" s="11">
        <f t="shared" si="125"/>
        <v>1</v>
      </c>
      <c r="AD113" s="11">
        <f t="shared" si="126"/>
        <v>1</v>
      </c>
      <c r="AE113" s="11" t="str">
        <f t="shared" si="127"/>
        <v/>
      </c>
      <c r="AF113" s="11">
        <f t="shared" si="128"/>
        <v>1.25</v>
      </c>
      <c r="AG113" s="11">
        <f t="shared" si="129"/>
        <v>2</v>
      </c>
      <c r="AH113" s="11">
        <f t="shared" si="130"/>
        <v>-1</v>
      </c>
      <c r="AI113" s="11">
        <f t="shared" si="131"/>
        <v>-1</v>
      </c>
      <c r="AJ113" s="39">
        <f t="shared" si="132"/>
        <v>0</v>
      </c>
      <c r="AK113" s="39">
        <f t="shared" si="133"/>
        <v>0</v>
      </c>
      <c r="AL113" s="39">
        <f t="shared" si="134"/>
        <v>0</v>
      </c>
      <c r="AM113" s="11">
        <f t="shared" si="135"/>
        <v>0</v>
      </c>
      <c r="AN113" s="11">
        <f t="shared" si="136"/>
        <v>0</v>
      </c>
      <c r="AO113" s="11">
        <f t="shared" si="137"/>
        <v>0</v>
      </c>
      <c r="AP113" s="40">
        <f t="shared" si="138"/>
        <v>0</v>
      </c>
      <c r="AQ113" s="40">
        <f t="shared" si="139"/>
        <v>0</v>
      </c>
      <c r="AR113" s="40">
        <f t="shared" si="140"/>
        <v>0</v>
      </c>
      <c r="AS113" s="40" t="str">
        <f t="shared" si="141"/>
        <v/>
      </c>
      <c r="AT113" s="11" t="str">
        <f t="shared" si="142"/>
        <v/>
      </c>
      <c r="AU113" s="11">
        <f t="shared" si="143"/>
        <v>1</v>
      </c>
      <c r="AV113" s="11">
        <f t="shared" si="144"/>
        <v>1</v>
      </c>
      <c r="AW113" s="11" t="str">
        <f t="shared" si="145"/>
        <v/>
      </c>
      <c r="AX113" s="11" t="str">
        <f t="shared" si="146"/>
        <v/>
      </c>
      <c r="AY113" s="11" t="str">
        <f t="shared" si="147"/>
        <v/>
      </c>
      <c r="AZ113" s="11" t="str">
        <f t="shared" si="148"/>
        <v/>
      </c>
      <c r="BA113" s="11" t="str">
        <f t="shared" si="149"/>
        <v/>
      </c>
      <c r="BB113" s="11" t="str">
        <f t="shared" si="150"/>
        <v/>
      </c>
      <c r="BC113" s="11" t="str">
        <f t="shared" si="151"/>
        <v/>
      </c>
      <c r="BD113" s="11" t="str">
        <f t="shared" si="152"/>
        <v/>
      </c>
      <c r="BE113" s="39" t="str">
        <f t="shared" si="153"/>
        <v/>
      </c>
      <c r="BF113" s="11" t="str">
        <f t="shared" si="154"/>
        <v/>
      </c>
      <c r="BG113" s="11" t="str">
        <f t="shared" si="155"/>
        <v/>
      </c>
      <c r="BH113" s="39" t="str">
        <f t="shared" si="156"/>
        <v/>
      </c>
      <c r="BI113" s="11" t="str">
        <f t="shared" si="157"/>
        <v/>
      </c>
      <c r="BJ113" s="11" t="str">
        <f>IF($X113=0,"",IF($Q113&lt;&gt;"",$Q113,NEC_UNIDAD($W113,$E113,$Y113,$Z113,N($AT113),$C$7,OCUPACION)))</f>
        <v/>
      </c>
      <c r="BK113" s="11" t="str">
        <f>IF($X113=0,"",IF(N($R113)&gt;0,$R113,BREAKER_SEL($BX$60,$BI113,$AT113,$C$7,$BX$58,$BX$69,$BJ113)))</f>
        <v/>
      </c>
      <c r="BL113" s="11" t="str">
        <f>IF($BK113="","",BREAKER_REF($BX$60,$BK113,$BI113,$AT113,FALSE))</f>
        <v/>
      </c>
      <c r="BM113" s="11" t="str">
        <f>IF($BK113="","",BREAKER_DATO($BX$60,$BK113,"sccr"))</f>
        <v/>
      </c>
      <c r="BN113" s="11" t="str">
        <f>IF(OR($BK113="",N($BM113)&gt;=$BX$58,$BX$71="",N($BX$74)&lt;$BX$58),"",SERIE_KA($BX$60,BREAKER_DATO($BX$60,$BK113,"modelo"),$BX$72,N($BX$24),$C$7,$BX$58))</f>
        <v/>
      </c>
      <c r="BO113" s="11" t="str">
        <f>IF($BK113="","",BREAKER_DATO($BX$60,$BK113,"unidad"))</f>
        <v/>
      </c>
      <c r="BP113" s="11" t="str">
        <f>IF($BK113="","",BREAKER_DATO($BX$60,$BK113,"marco"))</f>
        <v/>
      </c>
      <c r="BQ113" s="11" t="str">
        <f t="shared" si="158"/>
        <v/>
      </c>
      <c r="BR113" s="11" t="str">
        <f t="shared" si="159"/>
        <v/>
      </c>
      <c r="BS113" s="11" t="str">
        <f t="shared" si="160"/>
        <v/>
      </c>
      <c r="BT113" s="11" t="str">
        <f t="shared" si="161"/>
        <v/>
      </c>
      <c r="BU113" s="11" t="str">
        <f t="shared" si="162"/>
        <v/>
      </c>
      <c r="BW113" t="s">
        <v>824</v>
      </c>
      <c r="BX113" t="str">
        <f>IF(NOT(BX84),"",MAX(N(BX111),N(BX112),IF(N($I$23)=0,N(BX56),0))/1000)</f>
        <v/>
      </c>
      <c r="CA113" s="11" t="str">
        <f t="shared" si="163"/>
        <v/>
      </c>
      <c r="CB113" s="11" t="str">
        <f t="shared" si="164"/>
        <v/>
      </c>
    </row>
    <row r="114" spans="1:80" ht="14.65" x14ac:dyDescent="0.45">
      <c r="A114" s="37"/>
      <c r="B114" s="14">
        <v>80</v>
      </c>
      <c r="C114" s="37"/>
      <c r="D114" s="37"/>
      <c r="E114" s="37"/>
      <c r="F114" s="37" t="str">
        <f t="shared" si="110"/>
        <v/>
      </c>
      <c r="G114" s="38"/>
      <c r="H114" s="37"/>
      <c r="I114" s="37" t="str">
        <f t="shared" si="111"/>
        <v/>
      </c>
      <c r="J114" s="37" t="str">
        <f t="shared" si="112"/>
        <v/>
      </c>
      <c r="K114" s="37" t="str">
        <f t="shared" si="113"/>
        <v/>
      </c>
      <c r="L114" s="37" t="str">
        <f t="shared" si="114"/>
        <v/>
      </c>
      <c r="M114" s="37" t="str">
        <f t="shared" si="115"/>
        <v/>
      </c>
      <c r="N114" s="37" t="str">
        <f t="shared" si="116"/>
        <v/>
      </c>
      <c r="O114" s="37" t="str">
        <f t="shared" si="117"/>
        <v/>
      </c>
      <c r="P114" s="37" t="str">
        <f t="shared" si="118"/>
        <v/>
      </c>
      <c r="Q114" s="37" t="str">
        <f>IF($X114=0,"",NEC_UNIDAD($W114,$E114,$Y114,$Z114,N($AT114),$C$7,OCUPACION))</f>
        <v/>
      </c>
      <c r="R114" s="37" t="str">
        <f>IF($X114=0,"",BREAKER_SEL($BX$60,$BI114,$AT114,$C$7,$BX$58,$BX$69,$BJ114))</f>
        <v/>
      </c>
      <c r="S114" s="37"/>
      <c r="T114" s="37"/>
      <c r="U114" s="37"/>
      <c r="V114" s="37"/>
      <c r="W114" s="11" t="str">
        <f t="shared" si="119"/>
        <v/>
      </c>
      <c r="X114" s="39">
        <f t="shared" si="120"/>
        <v>0</v>
      </c>
      <c r="Y114" s="11">
        <f t="shared" si="121"/>
        <v>0</v>
      </c>
      <c r="Z114" s="11">
        <f t="shared" si="122"/>
        <v>0</v>
      </c>
      <c r="AA114" s="11">
        <f t="shared" si="123"/>
        <v>0</v>
      </c>
      <c r="AB114" s="11">
        <f t="shared" si="124"/>
        <v>1</v>
      </c>
      <c r="AC114" s="11">
        <f t="shared" si="125"/>
        <v>1</v>
      </c>
      <c r="AD114" s="11">
        <f t="shared" si="126"/>
        <v>1</v>
      </c>
      <c r="AE114" s="11" t="str">
        <f t="shared" si="127"/>
        <v/>
      </c>
      <c r="AF114" s="11">
        <f t="shared" si="128"/>
        <v>1.25</v>
      </c>
      <c r="AG114" s="11">
        <f t="shared" si="129"/>
        <v>0</v>
      </c>
      <c r="AH114" s="11">
        <f t="shared" si="130"/>
        <v>-1</v>
      </c>
      <c r="AI114" s="11">
        <f t="shared" si="131"/>
        <v>-1</v>
      </c>
      <c r="AJ114" s="39">
        <f t="shared" si="132"/>
        <v>0</v>
      </c>
      <c r="AK114" s="39">
        <f t="shared" si="133"/>
        <v>0</v>
      </c>
      <c r="AL114" s="39">
        <f t="shared" si="134"/>
        <v>0</v>
      </c>
      <c r="AM114" s="11">
        <f t="shared" si="135"/>
        <v>0</v>
      </c>
      <c r="AN114" s="11">
        <f t="shared" si="136"/>
        <v>0</v>
      </c>
      <c r="AO114" s="11">
        <f t="shared" si="137"/>
        <v>0</v>
      </c>
      <c r="AP114" s="40">
        <f t="shared" si="138"/>
        <v>0</v>
      </c>
      <c r="AQ114" s="40">
        <f t="shared" si="139"/>
        <v>0</v>
      </c>
      <c r="AR114" s="40">
        <f t="shared" si="140"/>
        <v>0</v>
      </c>
      <c r="AS114" s="40" t="str">
        <f t="shared" si="141"/>
        <v/>
      </c>
      <c r="AT114" s="11" t="str">
        <f t="shared" si="142"/>
        <v/>
      </c>
      <c r="AU114" s="11">
        <f t="shared" si="143"/>
        <v>1</v>
      </c>
      <c r="AV114" s="11">
        <f t="shared" si="144"/>
        <v>1</v>
      </c>
      <c r="AW114" s="11" t="str">
        <f t="shared" si="145"/>
        <v/>
      </c>
      <c r="AX114" s="11" t="str">
        <f t="shared" si="146"/>
        <v/>
      </c>
      <c r="AY114" s="11" t="str">
        <f t="shared" si="147"/>
        <v/>
      </c>
      <c r="AZ114" s="11" t="str">
        <f t="shared" si="148"/>
        <v/>
      </c>
      <c r="BA114" s="11" t="str">
        <f t="shared" si="149"/>
        <v/>
      </c>
      <c r="BB114" s="11" t="str">
        <f t="shared" si="150"/>
        <v/>
      </c>
      <c r="BC114" s="11" t="str">
        <f t="shared" si="151"/>
        <v/>
      </c>
      <c r="BD114" s="11" t="str">
        <f t="shared" si="152"/>
        <v/>
      </c>
      <c r="BE114" s="39" t="str">
        <f t="shared" si="153"/>
        <v/>
      </c>
      <c r="BF114" s="11" t="str">
        <f t="shared" si="154"/>
        <v/>
      </c>
      <c r="BG114" s="11" t="str">
        <f t="shared" si="155"/>
        <v/>
      </c>
      <c r="BH114" s="39" t="str">
        <f t="shared" si="156"/>
        <v/>
      </c>
      <c r="BI114" s="11" t="str">
        <f t="shared" si="157"/>
        <v/>
      </c>
      <c r="BJ114" s="11" t="str">
        <f>IF($X114=0,"",IF($Q114&lt;&gt;"",$Q114,NEC_UNIDAD($W114,$E114,$Y114,$Z114,N($AT114),$C$7,OCUPACION)))</f>
        <v/>
      </c>
      <c r="BK114" s="11" t="str">
        <f>IF($X114=0,"",IF(N($R114)&gt;0,$R114,BREAKER_SEL($BX$60,$BI114,$AT114,$C$7,$BX$58,$BX$69,$BJ114)))</f>
        <v/>
      </c>
      <c r="BL114" s="11" t="str">
        <f>IF($BK114="","",BREAKER_REF($BX$60,$BK114,$BI114,$AT114,FALSE))</f>
        <v/>
      </c>
      <c r="BM114" s="11" t="str">
        <f>IF($BK114="","",BREAKER_DATO($BX$60,$BK114,"sccr"))</f>
        <v/>
      </c>
      <c r="BN114" s="11" t="str">
        <f>IF(OR($BK114="",N($BM114)&gt;=$BX$58,$BX$71="",N($BX$74)&lt;$BX$58),"",SERIE_KA($BX$60,BREAKER_DATO($BX$60,$BK114,"modelo"),$BX$72,N($BX$24),$C$7,$BX$58))</f>
        <v/>
      </c>
      <c r="BO114" s="11" t="str">
        <f>IF($BK114="","",BREAKER_DATO($BX$60,$BK114,"unidad"))</f>
        <v/>
      </c>
      <c r="BP114" s="11" t="str">
        <f>IF($BK114="","",BREAKER_DATO($BX$60,$BK114,"marco"))</f>
        <v/>
      </c>
      <c r="BQ114" s="11" t="str">
        <f t="shared" si="158"/>
        <v/>
      </c>
      <c r="BR114" s="11" t="str">
        <f t="shared" si="159"/>
        <v/>
      </c>
      <c r="BS114" s="11" t="str">
        <f t="shared" si="160"/>
        <v/>
      </c>
      <c r="BT114" s="11" t="str">
        <f t="shared" si="161"/>
        <v/>
      </c>
      <c r="BU114" s="11" t="str">
        <f t="shared" si="162"/>
        <v/>
      </c>
      <c r="BW114" t="s">
        <v>825</v>
      </c>
      <c r="BX114" t="str">
        <f>IF(OR(NOT(BX84),$I$15="IP"),"",ATS_SEL(IF($I$15="MTS","Manual "&amp;RIGHT($I$22,2),$I$22),N(BX24),N(BX113)))</f>
        <v/>
      </c>
      <c r="CA114" s="11" t="str">
        <f t="shared" si="163"/>
        <v/>
      </c>
      <c r="CB114" s="11" t="str">
        <f t="shared" si="164"/>
        <v/>
      </c>
    </row>
    <row r="115" spans="1:80" ht="14.65" x14ac:dyDescent="0.45">
      <c r="A115" s="37"/>
      <c r="B115" s="14">
        <v>82</v>
      </c>
      <c r="C115" s="37"/>
      <c r="D115" s="37"/>
      <c r="E115" s="37"/>
      <c r="F115" s="37" t="str">
        <f t="shared" si="110"/>
        <v/>
      </c>
      <c r="G115" s="38"/>
      <c r="H115" s="37"/>
      <c r="I115" s="37" t="str">
        <f t="shared" si="111"/>
        <v/>
      </c>
      <c r="J115" s="37" t="str">
        <f t="shared" si="112"/>
        <v/>
      </c>
      <c r="K115" s="37" t="str">
        <f t="shared" si="113"/>
        <v/>
      </c>
      <c r="L115" s="37" t="str">
        <f t="shared" si="114"/>
        <v/>
      </c>
      <c r="M115" s="37" t="str">
        <f t="shared" si="115"/>
        <v/>
      </c>
      <c r="N115" s="37" t="str">
        <f t="shared" si="116"/>
        <v/>
      </c>
      <c r="O115" s="37" t="str">
        <f t="shared" si="117"/>
        <v/>
      </c>
      <c r="P115" s="37" t="str">
        <f t="shared" si="118"/>
        <v/>
      </c>
      <c r="Q115" s="37" t="str">
        <f>IF($X115=0,"",NEC_UNIDAD($W115,$E115,$Y115,$Z115,N($AT115),$C$7,OCUPACION))</f>
        <v/>
      </c>
      <c r="R115" s="37" t="str">
        <f>IF($X115=0,"",BREAKER_SEL($BX$60,$BI115,$AT115,$C$7,$BX$58,$BX$69,$BJ115))</f>
        <v/>
      </c>
      <c r="S115" s="37"/>
      <c r="T115" s="37"/>
      <c r="U115" s="37"/>
      <c r="V115" s="37"/>
      <c r="W115" s="11" t="str">
        <f t="shared" si="119"/>
        <v/>
      </c>
      <c r="X115" s="39">
        <f t="shared" si="120"/>
        <v>0</v>
      </c>
      <c r="Y115" s="11">
        <f t="shared" si="121"/>
        <v>0</v>
      </c>
      <c r="Z115" s="11">
        <f t="shared" si="122"/>
        <v>0</v>
      </c>
      <c r="AA115" s="11">
        <f t="shared" si="123"/>
        <v>0</v>
      </c>
      <c r="AB115" s="11">
        <f t="shared" si="124"/>
        <v>1</v>
      </c>
      <c r="AC115" s="11">
        <f t="shared" si="125"/>
        <v>1</v>
      </c>
      <c r="AD115" s="11">
        <f t="shared" si="126"/>
        <v>1</v>
      </c>
      <c r="AE115" s="11" t="str">
        <f t="shared" si="127"/>
        <v/>
      </c>
      <c r="AF115" s="11">
        <f t="shared" si="128"/>
        <v>1.25</v>
      </c>
      <c r="AG115" s="11">
        <f t="shared" si="129"/>
        <v>1</v>
      </c>
      <c r="AH115" s="11">
        <f t="shared" si="130"/>
        <v>-1</v>
      </c>
      <c r="AI115" s="11">
        <f t="shared" si="131"/>
        <v>-1</v>
      </c>
      <c r="AJ115" s="39">
        <f t="shared" si="132"/>
        <v>0</v>
      </c>
      <c r="AK115" s="39">
        <f t="shared" si="133"/>
        <v>0</v>
      </c>
      <c r="AL115" s="39">
        <f t="shared" si="134"/>
        <v>0</v>
      </c>
      <c r="AM115" s="11">
        <f t="shared" si="135"/>
        <v>0</v>
      </c>
      <c r="AN115" s="11">
        <f t="shared" si="136"/>
        <v>0</v>
      </c>
      <c r="AO115" s="11">
        <f t="shared" si="137"/>
        <v>0</v>
      </c>
      <c r="AP115" s="40">
        <f t="shared" si="138"/>
        <v>0</v>
      </c>
      <c r="AQ115" s="40">
        <f t="shared" si="139"/>
        <v>0</v>
      </c>
      <c r="AR115" s="40">
        <f t="shared" si="140"/>
        <v>0</v>
      </c>
      <c r="AS115" s="40" t="str">
        <f t="shared" si="141"/>
        <v/>
      </c>
      <c r="AT115" s="11" t="str">
        <f t="shared" si="142"/>
        <v/>
      </c>
      <c r="AU115" s="11">
        <f t="shared" si="143"/>
        <v>1</v>
      </c>
      <c r="AV115" s="11">
        <f t="shared" si="144"/>
        <v>1</v>
      </c>
      <c r="AW115" s="11" t="str">
        <f t="shared" si="145"/>
        <v/>
      </c>
      <c r="AX115" s="11" t="str">
        <f t="shared" si="146"/>
        <v/>
      </c>
      <c r="AY115" s="11" t="str">
        <f t="shared" si="147"/>
        <v/>
      </c>
      <c r="AZ115" s="11" t="str">
        <f t="shared" si="148"/>
        <v/>
      </c>
      <c r="BA115" s="11" t="str">
        <f t="shared" si="149"/>
        <v/>
      </c>
      <c r="BB115" s="11" t="str">
        <f t="shared" si="150"/>
        <v/>
      </c>
      <c r="BC115" s="11" t="str">
        <f t="shared" si="151"/>
        <v/>
      </c>
      <c r="BD115" s="11" t="str">
        <f t="shared" si="152"/>
        <v/>
      </c>
      <c r="BE115" s="39" t="str">
        <f t="shared" si="153"/>
        <v/>
      </c>
      <c r="BF115" s="11" t="str">
        <f t="shared" si="154"/>
        <v/>
      </c>
      <c r="BG115" s="11" t="str">
        <f t="shared" si="155"/>
        <v/>
      </c>
      <c r="BH115" s="39" t="str">
        <f t="shared" si="156"/>
        <v/>
      </c>
      <c r="BI115" s="11" t="str">
        <f t="shared" si="157"/>
        <v/>
      </c>
      <c r="BJ115" s="11" t="str">
        <f>IF($X115=0,"",IF($Q115&lt;&gt;"",$Q115,NEC_UNIDAD($W115,$E115,$Y115,$Z115,N($AT115),$C$7,OCUPACION)))</f>
        <v/>
      </c>
      <c r="BK115" s="11" t="str">
        <f>IF($X115=0,"",IF(N($R115)&gt;0,$R115,BREAKER_SEL($BX$60,$BI115,$AT115,$C$7,$BX$58,$BX$69,$BJ115)))</f>
        <v/>
      </c>
      <c r="BL115" s="11" t="str">
        <f>IF($BK115="","",BREAKER_REF($BX$60,$BK115,$BI115,$AT115,FALSE))</f>
        <v/>
      </c>
      <c r="BM115" s="11" t="str">
        <f>IF($BK115="","",BREAKER_DATO($BX$60,$BK115,"sccr"))</f>
        <v/>
      </c>
      <c r="BN115" s="11" t="str">
        <f>IF(OR($BK115="",N($BM115)&gt;=$BX$58,$BX$71="",N($BX$74)&lt;$BX$58),"",SERIE_KA($BX$60,BREAKER_DATO($BX$60,$BK115,"modelo"),$BX$72,N($BX$24),$C$7,$BX$58))</f>
        <v/>
      </c>
      <c r="BO115" s="11" t="str">
        <f>IF($BK115="","",BREAKER_DATO($BX$60,$BK115,"unidad"))</f>
        <v/>
      </c>
      <c r="BP115" s="11" t="str">
        <f>IF($BK115="","",BREAKER_DATO($BX$60,$BK115,"marco"))</f>
        <v/>
      </c>
      <c r="BQ115" s="11" t="str">
        <f t="shared" si="158"/>
        <v/>
      </c>
      <c r="BR115" s="11" t="str">
        <f t="shared" si="159"/>
        <v/>
      </c>
      <c r="BS115" s="11" t="str">
        <f t="shared" si="160"/>
        <v/>
      </c>
      <c r="BT115" s="11" t="str">
        <f t="shared" si="161"/>
        <v/>
      </c>
      <c r="BU115" s="11" t="str">
        <f t="shared" si="162"/>
        <v/>
      </c>
      <c r="BW115" t="s">
        <v>826</v>
      </c>
      <c r="BX115" t="str">
        <f>IF(BX114="","",ATS_DATO(BX114,"modelo"))</f>
        <v/>
      </c>
      <c r="CA115" s="11" t="str">
        <f t="shared" si="163"/>
        <v/>
      </c>
      <c r="CB115" s="11" t="str">
        <f t="shared" si="164"/>
        <v/>
      </c>
    </row>
    <row r="116" spans="1:80" ht="14.65" x14ac:dyDescent="0.45">
      <c r="A116" s="37"/>
      <c r="B116" s="14">
        <v>84</v>
      </c>
      <c r="C116" s="37"/>
      <c r="D116" s="37"/>
      <c r="E116" s="37"/>
      <c r="F116" s="37" t="str">
        <f t="shared" si="110"/>
        <v/>
      </c>
      <c r="G116" s="38"/>
      <c r="H116" s="37"/>
      <c r="I116" s="37" t="str">
        <f t="shared" si="111"/>
        <v/>
      </c>
      <c r="J116" s="37" t="str">
        <f t="shared" si="112"/>
        <v/>
      </c>
      <c r="K116" s="37" t="str">
        <f t="shared" si="113"/>
        <v/>
      </c>
      <c r="L116" s="37" t="str">
        <f t="shared" si="114"/>
        <v/>
      </c>
      <c r="M116" s="37" t="str">
        <f t="shared" si="115"/>
        <v/>
      </c>
      <c r="N116" s="37" t="str">
        <f t="shared" si="116"/>
        <v/>
      </c>
      <c r="O116" s="37" t="str">
        <f t="shared" si="117"/>
        <v/>
      </c>
      <c r="P116" s="37" t="str">
        <f t="shared" si="118"/>
        <v/>
      </c>
      <c r="Q116" s="37" t="str">
        <f>IF($X116=0,"",NEC_UNIDAD($W116,$E116,$Y116,$Z116,N($AT116),$C$7,OCUPACION))</f>
        <v/>
      </c>
      <c r="R116" s="37" t="str">
        <f>IF($X116=0,"",BREAKER_SEL($BX$60,$BI116,$AT116,$C$7,$BX$58,$BX$69,$BJ116))</f>
        <v/>
      </c>
      <c r="S116" s="37"/>
      <c r="T116" s="37"/>
      <c r="U116" s="37"/>
      <c r="V116" s="37"/>
      <c r="W116" s="11" t="str">
        <f t="shared" si="119"/>
        <v/>
      </c>
      <c r="X116" s="39">
        <f t="shared" si="120"/>
        <v>0</v>
      </c>
      <c r="Y116" s="11">
        <f t="shared" si="121"/>
        <v>0</v>
      </c>
      <c r="Z116" s="11">
        <f t="shared" si="122"/>
        <v>0</v>
      </c>
      <c r="AA116" s="11">
        <f t="shared" si="123"/>
        <v>0</v>
      </c>
      <c r="AB116" s="11">
        <f t="shared" si="124"/>
        <v>1</v>
      </c>
      <c r="AC116" s="11">
        <f t="shared" si="125"/>
        <v>1</v>
      </c>
      <c r="AD116" s="11">
        <f t="shared" si="126"/>
        <v>1</v>
      </c>
      <c r="AE116" s="11" t="str">
        <f t="shared" si="127"/>
        <v/>
      </c>
      <c r="AF116" s="11">
        <f t="shared" si="128"/>
        <v>1.25</v>
      </c>
      <c r="AG116" s="11">
        <f t="shared" si="129"/>
        <v>2</v>
      </c>
      <c r="AH116" s="11">
        <f t="shared" si="130"/>
        <v>-1</v>
      </c>
      <c r="AI116" s="11">
        <f t="shared" si="131"/>
        <v>-1</v>
      </c>
      <c r="AJ116" s="39">
        <f t="shared" si="132"/>
        <v>0</v>
      </c>
      <c r="AK116" s="39">
        <f t="shared" si="133"/>
        <v>0</v>
      </c>
      <c r="AL116" s="39">
        <f t="shared" si="134"/>
        <v>0</v>
      </c>
      <c r="AM116" s="11">
        <f t="shared" si="135"/>
        <v>0</v>
      </c>
      <c r="AN116" s="11">
        <f t="shared" si="136"/>
        <v>0</v>
      </c>
      <c r="AO116" s="11">
        <f t="shared" si="137"/>
        <v>0</v>
      </c>
      <c r="AP116" s="40">
        <f t="shared" si="138"/>
        <v>0</v>
      </c>
      <c r="AQ116" s="40">
        <f t="shared" si="139"/>
        <v>0</v>
      </c>
      <c r="AR116" s="40">
        <f t="shared" si="140"/>
        <v>0</v>
      </c>
      <c r="AS116" s="40" t="str">
        <f t="shared" si="141"/>
        <v/>
      </c>
      <c r="AT116" s="11" t="str">
        <f t="shared" si="142"/>
        <v/>
      </c>
      <c r="AU116" s="11">
        <f t="shared" si="143"/>
        <v>1</v>
      </c>
      <c r="AV116" s="11">
        <f t="shared" si="144"/>
        <v>1</v>
      </c>
      <c r="AW116" s="11" t="str">
        <f t="shared" si="145"/>
        <v/>
      </c>
      <c r="AX116" s="11" t="str">
        <f t="shared" si="146"/>
        <v/>
      </c>
      <c r="AY116" s="11" t="str">
        <f t="shared" si="147"/>
        <v/>
      </c>
      <c r="AZ116" s="11" t="str">
        <f t="shared" si="148"/>
        <v/>
      </c>
      <c r="BA116" s="11" t="str">
        <f t="shared" si="149"/>
        <v/>
      </c>
      <c r="BB116" s="11" t="str">
        <f t="shared" si="150"/>
        <v/>
      </c>
      <c r="BC116" s="11" t="str">
        <f t="shared" si="151"/>
        <v/>
      </c>
      <c r="BD116" s="11" t="str">
        <f t="shared" si="152"/>
        <v/>
      </c>
      <c r="BE116" s="39" t="str">
        <f t="shared" si="153"/>
        <v/>
      </c>
      <c r="BF116" s="11" t="str">
        <f t="shared" si="154"/>
        <v/>
      </c>
      <c r="BG116" s="11" t="str">
        <f t="shared" si="155"/>
        <v/>
      </c>
      <c r="BH116" s="39" t="str">
        <f t="shared" si="156"/>
        <v/>
      </c>
      <c r="BI116" s="11" t="str">
        <f t="shared" si="157"/>
        <v/>
      </c>
      <c r="BJ116" s="11" t="str">
        <f>IF($X116=0,"",IF($Q116&lt;&gt;"",$Q116,NEC_UNIDAD($W116,$E116,$Y116,$Z116,N($AT116),$C$7,OCUPACION)))</f>
        <v/>
      </c>
      <c r="BK116" s="11" t="str">
        <f>IF($X116=0,"",IF(N($R116)&gt;0,$R116,BREAKER_SEL($BX$60,$BI116,$AT116,$C$7,$BX$58,$BX$69,$BJ116)))</f>
        <v/>
      </c>
      <c r="BL116" s="11" t="str">
        <f>IF($BK116="","",BREAKER_REF($BX$60,$BK116,$BI116,$AT116,FALSE))</f>
        <v/>
      </c>
      <c r="BM116" s="11" t="str">
        <f>IF($BK116="","",BREAKER_DATO($BX$60,$BK116,"sccr"))</f>
        <v/>
      </c>
      <c r="BN116" s="11" t="str">
        <f>IF(OR($BK116="",N($BM116)&gt;=$BX$58,$BX$71="",N($BX$74)&lt;$BX$58),"",SERIE_KA($BX$60,BREAKER_DATO($BX$60,$BK116,"modelo"),$BX$72,N($BX$24),$C$7,$BX$58))</f>
        <v/>
      </c>
      <c r="BO116" s="11" t="str">
        <f>IF($BK116="","",BREAKER_DATO($BX$60,$BK116,"unidad"))</f>
        <v/>
      </c>
      <c r="BP116" s="11" t="str">
        <f>IF($BK116="","",BREAKER_DATO($BX$60,$BK116,"marco"))</f>
        <v/>
      </c>
      <c r="BQ116" s="11" t="str">
        <f t="shared" si="158"/>
        <v/>
      </c>
      <c r="BR116" s="11" t="str">
        <f t="shared" si="159"/>
        <v/>
      </c>
      <c r="BS116" s="11" t="str">
        <f t="shared" si="160"/>
        <v/>
      </c>
      <c r="BT116" s="11" t="str">
        <f t="shared" si="161"/>
        <v/>
      </c>
      <c r="BU116" s="11" t="str">
        <f t="shared" si="162"/>
        <v/>
      </c>
      <c r="BW116" t="s">
        <v>827</v>
      </c>
      <c r="BX116" t="str">
        <f>IF(BX114="","",ATS_DATO(BX114,"amperios"))</f>
        <v/>
      </c>
      <c r="CA116" s="11" t="str">
        <f t="shared" si="163"/>
        <v/>
      </c>
      <c r="CB116" s="11" t="str">
        <f t="shared" si="164"/>
        <v/>
      </c>
    </row>
    <row r="117" spans="1:80" ht="14.65" x14ac:dyDescent="0.45">
      <c r="A117" s="37"/>
      <c r="B117" s="14">
        <v>86</v>
      </c>
      <c r="C117" s="37"/>
      <c r="D117" s="37"/>
      <c r="E117" s="37"/>
      <c r="F117" s="37" t="str">
        <f t="shared" si="110"/>
        <v/>
      </c>
      <c r="G117" s="38"/>
      <c r="H117" s="37"/>
      <c r="I117" s="37" t="str">
        <f t="shared" si="111"/>
        <v/>
      </c>
      <c r="J117" s="37" t="str">
        <f t="shared" si="112"/>
        <v/>
      </c>
      <c r="K117" s="37" t="str">
        <f t="shared" si="113"/>
        <v/>
      </c>
      <c r="L117" s="37" t="str">
        <f t="shared" si="114"/>
        <v/>
      </c>
      <c r="M117" s="37" t="str">
        <f t="shared" si="115"/>
        <v/>
      </c>
      <c r="N117" s="37" t="str">
        <f t="shared" si="116"/>
        <v/>
      </c>
      <c r="O117" s="37" t="str">
        <f t="shared" si="117"/>
        <v/>
      </c>
      <c r="P117" s="37" t="str">
        <f t="shared" si="118"/>
        <v/>
      </c>
      <c r="Q117" s="37" t="str">
        <f>IF($X117=0,"",NEC_UNIDAD($W117,$E117,$Y117,$Z117,N($AT117),$C$7,OCUPACION))</f>
        <v/>
      </c>
      <c r="R117" s="37" t="str">
        <f>IF($X117=0,"",BREAKER_SEL($BX$60,$BI117,$AT117,$C$7,$BX$58,$BX$69,$BJ117))</f>
        <v/>
      </c>
      <c r="S117" s="37"/>
      <c r="T117" s="37"/>
      <c r="U117" s="37"/>
      <c r="V117" s="37"/>
      <c r="W117" s="11" t="str">
        <f t="shared" si="119"/>
        <v/>
      </c>
      <c r="X117" s="39">
        <f t="shared" si="120"/>
        <v>0</v>
      </c>
      <c r="Y117" s="11">
        <f t="shared" si="121"/>
        <v>0</v>
      </c>
      <c r="Z117" s="11">
        <f t="shared" si="122"/>
        <v>0</v>
      </c>
      <c r="AA117" s="11">
        <f t="shared" si="123"/>
        <v>0</v>
      </c>
      <c r="AB117" s="11">
        <f t="shared" si="124"/>
        <v>1</v>
      </c>
      <c r="AC117" s="11">
        <f t="shared" si="125"/>
        <v>1</v>
      </c>
      <c r="AD117" s="11">
        <f t="shared" si="126"/>
        <v>1</v>
      </c>
      <c r="AE117" s="11" t="str">
        <f t="shared" si="127"/>
        <v/>
      </c>
      <c r="AF117" s="11">
        <f t="shared" si="128"/>
        <v>1.25</v>
      </c>
      <c r="AG117" s="11">
        <f t="shared" si="129"/>
        <v>0</v>
      </c>
      <c r="AH117" s="11">
        <f t="shared" si="130"/>
        <v>-1</v>
      </c>
      <c r="AI117" s="11">
        <f t="shared" si="131"/>
        <v>-1</v>
      </c>
      <c r="AJ117" s="39">
        <f t="shared" si="132"/>
        <v>0</v>
      </c>
      <c r="AK117" s="39">
        <f t="shared" si="133"/>
        <v>0</v>
      </c>
      <c r="AL117" s="39">
        <f t="shared" si="134"/>
        <v>0</v>
      </c>
      <c r="AM117" s="11">
        <f t="shared" si="135"/>
        <v>0</v>
      </c>
      <c r="AN117" s="11">
        <f t="shared" si="136"/>
        <v>0</v>
      </c>
      <c r="AO117" s="11">
        <f t="shared" si="137"/>
        <v>0</v>
      </c>
      <c r="AP117" s="40">
        <f t="shared" si="138"/>
        <v>0</v>
      </c>
      <c r="AQ117" s="40">
        <f t="shared" si="139"/>
        <v>0</v>
      </c>
      <c r="AR117" s="40">
        <f t="shared" si="140"/>
        <v>0</v>
      </c>
      <c r="AS117" s="40" t="str">
        <f t="shared" si="141"/>
        <v/>
      </c>
      <c r="AT117" s="11" t="str">
        <f t="shared" si="142"/>
        <v/>
      </c>
      <c r="AU117" s="11">
        <f t="shared" si="143"/>
        <v>1</v>
      </c>
      <c r="AV117" s="11">
        <f t="shared" si="144"/>
        <v>1</v>
      </c>
      <c r="AW117" s="11" t="str">
        <f t="shared" si="145"/>
        <v/>
      </c>
      <c r="AX117" s="11" t="str">
        <f t="shared" si="146"/>
        <v/>
      </c>
      <c r="AY117" s="11" t="str">
        <f t="shared" si="147"/>
        <v/>
      </c>
      <c r="AZ117" s="11" t="str">
        <f t="shared" si="148"/>
        <v/>
      </c>
      <c r="BA117" s="11" t="str">
        <f t="shared" si="149"/>
        <v/>
      </c>
      <c r="BB117" s="11" t="str">
        <f t="shared" si="150"/>
        <v/>
      </c>
      <c r="BC117" s="11" t="str">
        <f t="shared" si="151"/>
        <v/>
      </c>
      <c r="BD117" s="11" t="str">
        <f t="shared" si="152"/>
        <v/>
      </c>
      <c r="BE117" s="39" t="str">
        <f t="shared" si="153"/>
        <v/>
      </c>
      <c r="BF117" s="11" t="str">
        <f t="shared" si="154"/>
        <v/>
      </c>
      <c r="BG117" s="11" t="str">
        <f t="shared" si="155"/>
        <v/>
      </c>
      <c r="BH117" s="39" t="str">
        <f t="shared" si="156"/>
        <v/>
      </c>
      <c r="BI117" s="11" t="str">
        <f t="shared" si="157"/>
        <v/>
      </c>
      <c r="BJ117" s="11" t="str">
        <f>IF($X117=0,"",IF($Q117&lt;&gt;"",$Q117,NEC_UNIDAD($W117,$E117,$Y117,$Z117,N($AT117),$C$7,OCUPACION)))</f>
        <v/>
      </c>
      <c r="BK117" s="11" t="str">
        <f>IF($X117=0,"",IF(N($R117)&gt;0,$R117,BREAKER_SEL($BX$60,$BI117,$AT117,$C$7,$BX$58,$BX$69,$BJ117)))</f>
        <v/>
      </c>
      <c r="BL117" s="11" t="str">
        <f>IF($BK117="","",BREAKER_REF($BX$60,$BK117,$BI117,$AT117,FALSE))</f>
        <v/>
      </c>
      <c r="BM117" s="11" t="str">
        <f>IF($BK117="","",BREAKER_DATO($BX$60,$BK117,"sccr"))</f>
        <v/>
      </c>
      <c r="BN117" s="11" t="str">
        <f>IF(OR($BK117="",N($BM117)&gt;=$BX$58,$BX$71="",N($BX$74)&lt;$BX$58),"",SERIE_KA($BX$60,BREAKER_DATO($BX$60,$BK117,"modelo"),$BX$72,N($BX$24),$C$7,$BX$58))</f>
        <v/>
      </c>
      <c r="BO117" s="11" t="str">
        <f>IF($BK117="","",BREAKER_DATO($BX$60,$BK117,"unidad"))</f>
        <v/>
      </c>
      <c r="BP117" s="11" t="str">
        <f>IF($BK117="","",BREAKER_DATO($BX$60,$BK117,"marco"))</f>
        <v/>
      </c>
      <c r="BQ117" s="11" t="str">
        <f t="shared" si="158"/>
        <v/>
      </c>
      <c r="BR117" s="11" t="str">
        <f t="shared" si="159"/>
        <v/>
      </c>
      <c r="BS117" s="11" t="str">
        <f t="shared" si="160"/>
        <v/>
      </c>
      <c r="BT117" s="11" t="str">
        <f t="shared" si="161"/>
        <v/>
      </c>
      <c r="BU117" s="11" t="str">
        <f t="shared" si="162"/>
        <v/>
      </c>
      <c r="BW117" t="s">
        <v>828</v>
      </c>
      <c r="BX117" t="str">
        <f>IF(N($I$21)&gt;0,$I$21,IF(BX114="","",ATS_DATO(BX114,"wcr")))</f>
        <v/>
      </c>
      <c r="CA117" s="11" t="str">
        <f t="shared" si="163"/>
        <v/>
      </c>
      <c r="CB117" s="11" t="str">
        <f t="shared" si="164"/>
        <v/>
      </c>
    </row>
    <row r="118" spans="1:80" ht="14.65" x14ac:dyDescent="0.45">
      <c r="A118" s="37"/>
      <c r="B118" s="14">
        <v>88</v>
      </c>
      <c r="C118" s="37"/>
      <c r="D118" s="37"/>
      <c r="E118" s="37"/>
      <c r="F118" s="37" t="str">
        <f t="shared" si="110"/>
        <v/>
      </c>
      <c r="G118" s="38"/>
      <c r="H118" s="37"/>
      <c r="I118" s="37" t="str">
        <f t="shared" si="111"/>
        <v/>
      </c>
      <c r="J118" s="37" t="str">
        <f t="shared" si="112"/>
        <v/>
      </c>
      <c r="K118" s="37" t="str">
        <f t="shared" si="113"/>
        <v/>
      </c>
      <c r="L118" s="37" t="str">
        <f t="shared" si="114"/>
        <v/>
      </c>
      <c r="M118" s="37" t="str">
        <f t="shared" si="115"/>
        <v/>
      </c>
      <c r="N118" s="37" t="str">
        <f t="shared" si="116"/>
        <v/>
      </c>
      <c r="O118" s="37" t="str">
        <f t="shared" si="117"/>
        <v/>
      </c>
      <c r="P118" s="37" t="str">
        <f t="shared" si="118"/>
        <v/>
      </c>
      <c r="Q118" s="37" t="str">
        <f>IF($X118=0,"",NEC_UNIDAD($W118,$E118,$Y118,$Z118,N($AT118),$C$7,OCUPACION))</f>
        <v/>
      </c>
      <c r="R118" s="37" t="str">
        <f>IF($X118=0,"",BREAKER_SEL($BX$60,$BI118,$AT118,$C$7,$BX$58,$BX$69,$BJ118))</f>
        <v/>
      </c>
      <c r="S118" s="37"/>
      <c r="T118" s="37"/>
      <c r="U118" s="37"/>
      <c r="V118" s="37"/>
      <c r="W118" s="11" t="str">
        <f t="shared" si="119"/>
        <v/>
      </c>
      <c r="X118" s="39">
        <f t="shared" si="120"/>
        <v>0</v>
      </c>
      <c r="Y118" s="11">
        <f t="shared" si="121"/>
        <v>0</v>
      </c>
      <c r="Z118" s="11">
        <f t="shared" si="122"/>
        <v>0</v>
      </c>
      <c r="AA118" s="11">
        <f t="shared" si="123"/>
        <v>0</v>
      </c>
      <c r="AB118" s="11">
        <f t="shared" si="124"/>
        <v>1</v>
      </c>
      <c r="AC118" s="11">
        <f t="shared" si="125"/>
        <v>1</v>
      </c>
      <c r="AD118" s="11">
        <f t="shared" si="126"/>
        <v>1</v>
      </c>
      <c r="AE118" s="11" t="str">
        <f t="shared" si="127"/>
        <v/>
      </c>
      <c r="AF118" s="11">
        <f t="shared" si="128"/>
        <v>1.25</v>
      </c>
      <c r="AG118" s="11">
        <f t="shared" si="129"/>
        <v>1</v>
      </c>
      <c r="AH118" s="11">
        <f t="shared" si="130"/>
        <v>-1</v>
      </c>
      <c r="AI118" s="11">
        <f t="shared" si="131"/>
        <v>-1</v>
      </c>
      <c r="AJ118" s="39">
        <f t="shared" si="132"/>
        <v>0</v>
      </c>
      <c r="AK118" s="39">
        <f t="shared" si="133"/>
        <v>0</v>
      </c>
      <c r="AL118" s="39">
        <f t="shared" si="134"/>
        <v>0</v>
      </c>
      <c r="AM118" s="11">
        <f t="shared" si="135"/>
        <v>0</v>
      </c>
      <c r="AN118" s="11">
        <f t="shared" si="136"/>
        <v>0</v>
      </c>
      <c r="AO118" s="11">
        <f t="shared" si="137"/>
        <v>0</v>
      </c>
      <c r="AP118" s="40">
        <f t="shared" si="138"/>
        <v>0</v>
      </c>
      <c r="AQ118" s="40">
        <f t="shared" si="139"/>
        <v>0</v>
      </c>
      <c r="AR118" s="40">
        <f t="shared" si="140"/>
        <v>0</v>
      </c>
      <c r="AS118" s="40" t="str">
        <f t="shared" si="141"/>
        <v/>
      </c>
      <c r="AT118" s="11" t="str">
        <f t="shared" si="142"/>
        <v/>
      </c>
      <c r="AU118" s="11">
        <f t="shared" si="143"/>
        <v>1</v>
      </c>
      <c r="AV118" s="11">
        <f t="shared" si="144"/>
        <v>1</v>
      </c>
      <c r="AW118" s="11" t="str">
        <f t="shared" si="145"/>
        <v/>
      </c>
      <c r="AX118" s="11" t="str">
        <f t="shared" si="146"/>
        <v/>
      </c>
      <c r="AY118" s="11" t="str">
        <f t="shared" si="147"/>
        <v/>
      </c>
      <c r="AZ118" s="11" t="str">
        <f t="shared" si="148"/>
        <v/>
      </c>
      <c r="BA118" s="11" t="str">
        <f t="shared" si="149"/>
        <v/>
      </c>
      <c r="BB118" s="11" t="str">
        <f t="shared" si="150"/>
        <v/>
      </c>
      <c r="BC118" s="11" t="str">
        <f t="shared" si="151"/>
        <v/>
      </c>
      <c r="BD118" s="11" t="str">
        <f t="shared" si="152"/>
        <v/>
      </c>
      <c r="BE118" s="39" t="str">
        <f t="shared" si="153"/>
        <v/>
      </c>
      <c r="BF118" s="11" t="str">
        <f t="shared" si="154"/>
        <v/>
      </c>
      <c r="BG118" s="11" t="str">
        <f t="shared" si="155"/>
        <v/>
      </c>
      <c r="BH118" s="39" t="str">
        <f t="shared" si="156"/>
        <v/>
      </c>
      <c r="BI118" s="11" t="str">
        <f t="shared" si="157"/>
        <v/>
      </c>
      <c r="BJ118" s="11" t="str">
        <f>IF($X118=0,"",IF($Q118&lt;&gt;"",$Q118,NEC_UNIDAD($W118,$E118,$Y118,$Z118,N($AT118),$C$7,OCUPACION)))</f>
        <v/>
      </c>
      <c r="BK118" s="11" t="str">
        <f>IF($X118=0,"",IF(N($R118)&gt;0,$R118,BREAKER_SEL($BX$60,$BI118,$AT118,$C$7,$BX$58,$BX$69,$BJ118)))</f>
        <v/>
      </c>
      <c r="BL118" s="11" t="str">
        <f>IF($BK118="","",BREAKER_REF($BX$60,$BK118,$BI118,$AT118,FALSE))</f>
        <v/>
      </c>
      <c r="BM118" s="11" t="str">
        <f>IF($BK118="","",BREAKER_DATO($BX$60,$BK118,"sccr"))</f>
        <v/>
      </c>
      <c r="BN118" s="11" t="str">
        <f>IF(OR($BK118="",N($BM118)&gt;=$BX$58,$BX$71="",N($BX$74)&lt;$BX$58),"",SERIE_KA($BX$60,BREAKER_DATO($BX$60,$BK118,"modelo"),$BX$72,N($BX$24),$C$7,$BX$58))</f>
        <v/>
      </c>
      <c r="BO118" s="11" t="str">
        <f>IF($BK118="","",BREAKER_DATO($BX$60,$BK118,"unidad"))</f>
        <v/>
      </c>
      <c r="BP118" s="11" t="str">
        <f>IF($BK118="","",BREAKER_DATO($BX$60,$BK118,"marco"))</f>
        <v/>
      </c>
      <c r="BQ118" s="11" t="str">
        <f t="shared" si="158"/>
        <v/>
      </c>
      <c r="BR118" s="11" t="str">
        <f t="shared" si="159"/>
        <v/>
      </c>
      <c r="BS118" s="11" t="str">
        <f t="shared" si="160"/>
        <v/>
      </c>
      <c r="BT118" s="11" t="str">
        <f t="shared" si="161"/>
        <v/>
      </c>
      <c r="BU118" s="11" t="str">
        <f t="shared" si="162"/>
        <v/>
      </c>
      <c r="CA118" s="11" t="str">
        <f t="shared" si="163"/>
        <v/>
      </c>
      <c r="CB118" s="11" t="str">
        <f t="shared" si="164"/>
        <v/>
      </c>
    </row>
    <row r="119" spans="1:80" ht="14.65" x14ac:dyDescent="0.45">
      <c r="A119" s="37"/>
      <c r="B119" s="14">
        <v>90</v>
      </c>
      <c r="C119" s="37"/>
      <c r="D119" s="37"/>
      <c r="E119" s="37"/>
      <c r="F119" s="37" t="str">
        <f t="shared" si="110"/>
        <v/>
      </c>
      <c r="G119" s="38"/>
      <c r="H119" s="37"/>
      <c r="I119" s="37" t="str">
        <f t="shared" si="111"/>
        <v/>
      </c>
      <c r="J119" s="37" t="str">
        <f t="shared" si="112"/>
        <v/>
      </c>
      <c r="K119" s="37" t="str">
        <f t="shared" si="113"/>
        <v/>
      </c>
      <c r="L119" s="37" t="str">
        <f t="shared" si="114"/>
        <v/>
      </c>
      <c r="M119" s="37" t="str">
        <f t="shared" si="115"/>
        <v/>
      </c>
      <c r="N119" s="37" t="str">
        <f t="shared" si="116"/>
        <v/>
      </c>
      <c r="O119" s="37" t="str">
        <f t="shared" si="117"/>
        <v/>
      </c>
      <c r="P119" s="37" t="str">
        <f t="shared" si="118"/>
        <v/>
      </c>
      <c r="Q119" s="37" t="str">
        <f>IF($X119=0,"",NEC_UNIDAD($W119,$E119,$Y119,$Z119,N($AT119),$C$7,OCUPACION))</f>
        <v/>
      </c>
      <c r="R119" s="37" t="str">
        <f>IF($X119=0,"",BREAKER_SEL($BX$60,$BI119,$AT119,$C$7,$BX$58,$BX$69,$BJ119))</f>
        <v/>
      </c>
      <c r="S119" s="37"/>
      <c r="T119" s="37"/>
      <c r="U119" s="37"/>
      <c r="V119" s="37"/>
      <c r="W119" s="11" t="str">
        <f t="shared" si="119"/>
        <v/>
      </c>
      <c r="X119" s="39">
        <f t="shared" si="120"/>
        <v>0</v>
      </c>
      <c r="Y119" s="11">
        <f t="shared" si="121"/>
        <v>0</v>
      </c>
      <c r="Z119" s="11">
        <f t="shared" si="122"/>
        <v>0</v>
      </c>
      <c r="AA119" s="11">
        <f t="shared" si="123"/>
        <v>0</v>
      </c>
      <c r="AB119" s="11">
        <f t="shared" si="124"/>
        <v>1</v>
      </c>
      <c r="AC119" s="11">
        <f t="shared" si="125"/>
        <v>1</v>
      </c>
      <c r="AD119" s="11">
        <f t="shared" si="126"/>
        <v>1</v>
      </c>
      <c r="AE119" s="11" t="str">
        <f t="shared" si="127"/>
        <v/>
      </c>
      <c r="AF119" s="11">
        <f t="shared" si="128"/>
        <v>1.25</v>
      </c>
      <c r="AG119" s="11">
        <f t="shared" si="129"/>
        <v>2</v>
      </c>
      <c r="AH119" s="11">
        <f t="shared" si="130"/>
        <v>-1</v>
      </c>
      <c r="AI119" s="11">
        <f t="shared" si="131"/>
        <v>-1</v>
      </c>
      <c r="AJ119" s="39">
        <f t="shared" si="132"/>
        <v>0</v>
      </c>
      <c r="AK119" s="39">
        <f t="shared" si="133"/>
        <v>0</v>
      </c>
      <c r="AL119" s="39">
        <f t="shared" si="134"/>
        <v>0</v>
      </c>
      <c r="AM119" s="11">
        <f t="shared" si="135"/>
        <v>0</v>
      </c>
      <c r="AN119" s="11">
        <f t="shared" si="136"/>
        <v>0</v>
      </c>
      <c r="AO119" s="11">
        <f t="shared" si="137"/>
        <v>0</v>
      </c>
      <c r="AP119" s="40">
        <f t="shared" si="138"/>
        <v>0</v>
      </c>
      <c r="AQ119" s="40">
        <f t="shared" si="139"/>
        <v>0</v>
      </c>
      <c r="AR119" s="40">
        <f t="shared" si="140"/>
        <v>0</v>
      </c>
      <c r="AS119" s="40" t="str">
        <f t="shared" si="141"/>
        <v/>
      </c>
      <c r="AT119" s="11" t="str">
        <f t="shared" si="142"/>
        <v/>
      </c>
      <c r="AU119" s="11">
        <f t="shared" si="143"/>
        <v>1</v>
      </c>
      <c r="AV119" s="11">
        <f t="shared" si="144"/>
        <v>1</v>
      </c>
      <c r="AW119" s="11" t="str">
        <f t="shared" si="145"/>
        <v/>
      </c>
      <c r="AX119" s="11" t="str">
        <f t="shared" si="146"/>
        <v/>
      </c>
      <c r="AY119" s="11" t="str">
        <f t="shared" si="147"/>
        <v/>
      </c>
      <c r="AZ119" s="11" t="str">
        <f t="shared" si="148"/>
        <v/>
      </c>
      <c r="BA119" s="11" t="str">
        <f t="shared" si="149"/>
        <v/>
      </c>
      <c r="BB119" s="11" t="str">
        <f t="shared" si="150"/>
        <v/>
      </c>
      <c r="BC119" s="11" t="str">
        <f t="shared" si="151"/>
        <v/>
      </c>
      <c r="BD119" s="11" t="str">
        <f t="shared" si="152"/>
        <v/>
      </c>
      <c r="BE119" s="39" t="str">
        <f t="shared" si="153"/>
        <v/>
      </c>
      <c r="BF119" s="11" t="str">
        <f t="shared" si="154"/>
        <v/>
      </c>
      <c r="BG119" s="11" t="str">
        <f t="shared" si="155"/>
        <v/>
      </c>
      <c r="BH119" s="39" t="str">
        <f t="shared" si="156"/>
        <v/>
      </c>
      <c r="BI119" s="11" t="str">
        <f t="shared" si="157"/>
        <v/>
      </c>
      <c r="BJ119" s="11" t="str">
        <f>IF($X119=0,"",IF($Q119&lt;&gt;"",$Q119,NEC_UNIDAD($W119,$E119,$Y119,$Z119,N($AT119),$C$7,OCUPACION)))</f>
        <v/>
      </c>
      <c r="BK119" s="11" t="str">
        <f>IF($X119=0,"",IF(N($R119)&gt;0,$R119,BREAKER_SEL($BX$60,$BI119,$AT119,$C$7,$BX$58,$BX$69,$BJ119)))</f>
        <v/>
      </c>
      <c r="BL119" s="11" t="str">
        <f>IF($BK119="","",BREAKER_REF($BX$60,$BK119,$BI119,$AT119,FALSE))</f>
        <v/>
      </c>
      <c r="BM119" s="11" t="str">
        <f>IF($BK119="","",BREAKER_DATO($BX$60,$BK119,"sccr"))</f>
        <v/>
      </c>
      <c r="BN119" s="11" t="str">
        <f>IF(OR($BK119="",N($BM119)&gt;=$BX$58,$BX$71="",N($BX$74)&lt;$BX$58),"",SERIE_KA($BX$60,BREAKER_DATO($BX$60,$BK119,"modelo"),$BX$72,N($BX$24),$C$7,$BX$58))</f>
        <v/>
      </c>
      <c r="BO119" s="11" t="str">
        <f>IF($BK119="","",BREAKER_DATO($BX$60,$BK119,"unidad"))</f>
        <v/>
      </c>
      <c r="BP119" s="11" t="str">
        <f>IF($BK119="","",BREAKER_DATO($BX$60,$BK119,"marco"))</f>
        <v/>
      </c>
      <c r="BQ119" s="11" t="str">
        <f t="shared" si="158"/>
        <v/>
      </c>
      <c r="BR119" s="11" t="str">
        <f t="shared" si="159"/>
        <v/>
      </c>
      <c r="BS119" s="11" t="str">
        <f t="shared" si="160"/>
        <v/>
      </c>
      <c r="BT119" s="11" t="str">
        <f t="shared" si="161"/>
        <v/>
      </c>
      <c r="BU119" s="11" t="str">
        <f t="shared" si="162"/>
        <v/>
      </c>
      <c r="CA119" s="11" t="str">
        <f t="shared" si="163"/>
        <v/>
      </c>
      <c r="CB119" s="11" t="str">
        <f t="shared" si="164"/>
        <v/>
      </c>
    </row>
    <row r="120" spans="1:80" ht="14.65" x14ac:dyDescent="0.45">
      <c r="A120" s="37"/>
      <c r="B120" s="14">
        <v>92</v>
      </c>
      <c r="C120" s="37"/>
      <c r="D120" s="37"/>
      <c r="E120" s="37"/>
      <c r="F120" s="37" t="str">
        <f t="shared" si="110"/>
        <v/>
      </c>
      <c r="G120" s="38"/>
      <c r="H120" s="37"/>
      <c r="I120" s="37" t="str">
        <f t="shared" si="111"/>
        <v/>
      </c>
      <c r="J120" s="37" t="str">
        <f t="shared" si="112"/>
        <v/>
      </c>
      <c r="K120" s="37" t="str">
        <f t="shared" si="113"/>
        <v/>
      </c>
      <c r="L120" s="37" t="str">
        <f t="shared" si="114"/>
        <v/>
      </c>
      <c r="M120" s="37" t="str">
        <f t="shared" si="115"/>
        <v/>
      </c>
      <c r="N120" s="37" t="str">
        <f t="shared" si="116"/>
        <v/>
      </c>
      <c r="O120" s="37" t="str">
        <f t="shared" si="117"/>
        <v/>
      </c>
      <c r="P120" s="37" t="str">
        <f t="shared" si="118"/>
        <v/>
      </c>
      <c r="Q120" s="37" t="str">
        <f>IF($X120=0,"",NEC_UNIDAD($W120,$E120,$Y120,$Z120,N($AT120),$C$7,OCUPACION))</f>
        <v/>
      </c>
      <c r="R120" s="37" t="str">
        <f>IF($X120=0,"",BREAKER_SEL($BX$60,$BI120,$AT120,$C$7,$BX$58,$BX$69,$BJ120))</f>
        <v/>
      </c>
      <c r="S120" s="37"/>
      <c r="T120" s="37"/>
      <c r="U120" s="37"/>
      <c r="V120" s="37"/>
      <c r="W120" s="11" t="str">
        <f t="shared" si="119"/>
        <v/>
      </c>
      <c r="X120" s="39">
        <f t="shared" si="120"/>
        <v>0</v>
      </c>
      <c r="Y120" s="11">
        <f t="shared" si="121"/>
        <v>0</v>
      </c>
      <c r="Z120" s="11">
        <f t="shared" si="122"/>
        <v>0</v>
      </c>
      <c r="AA120" s="11">
        <f t="shared" si="123"/>
        <v>0</v>
      </c>
      <c r="AB120" s="11">
        <f t="shared" si="124"/>
        <v>1</v>
      </c>
      <c r="AC120" s="11">
        <f t="shared" si="125"/>
        <v>1</v>
      </c>
      <c r="AD120" s="11">
        <f t="shared" si="126"/>
        <v>1</v>
      </c>
      <c r="AE120" s="11" t="str">
        <f t="shared" si="127"/>
        <v/>
      </c>
      <c r="AF120" s="11">
        <f t="shared" si="128"/>
        <v>1.25</v>
      </c>
      <c r="AG120" s="11">
        <f t="shared" si="129"/>
        <v>0</v>
      </c>
      <c r="AH120" s="11">
        <f t="shared" si="130"/>
        <v>-1</v>
      </c>
      <c r="AI120" s="11">
        <f t="shared" si="131"/>
        <v>-1</v>
      </c>
      <c r="AJ120" s="39">
        <f t="shared" si="132"/>
        <v>0</v>
      </c>
      <c r="AK120" s="39">
        <f t="shared" si="133"/>
        <v>0</v>
      </c>
      <c r="AL120" s="39">
        <f t="shared" si="134"/>
        <v>0</v>
      </c>
      <c r="AM120" s="11">
        <f t="shared" si="135"/>
        <v>0</v>
      </c>
      <c r="AN120" s="11">
        <f t="shared" si="136"/>
        <v>0</v>
      </c>
      <c r="AO120" s="11">
        <f t="shared" si="137"/>
        <v>0</v>
      </c>
      <c r="AP120" s="40">
        <f t="shared" si="138"/>
        <v>0</v>
      </c>
      <c r="AQ120" s="40">
        <f t="shared" si="139"/>
        <v>0</v>
      </c>
      <c r="AR120" s="40">
        <f t="shared" si="140"/>
        <v>0</v>
      </c>
      <c r="AS120" s="40" t="str">
        <f t="shared" si="141"/>
        <v/>
      </c>
      <c r="AT120" s="11" t="str">
        <f t="shared" si="142"/>
        <v/>
      </c>
      <c r="AU120" s="11">
        <f t="shared" si="143"/>
        <v>1</v>
      </c>
      <c r="AV120" s="11">
        <f t="shared" si="144"/>
        <v>1</v>
      </c>
      <c r="AW120" s="11" t="str">
        <f t="shared" si="145"/>
        <v/>
      </c>
      <c r="AX120" s="11" t="str">
        <f t="shared" si="146"/>
        <v/>
      </c>
      <c r="AY120" s="11" t="str">
        <f t="shared" si="147"/>
        <v/>
      </c>
      <c r="AZ120" s="11" t="str">
        <f t="shared" si="148"/>
        <v/>
      </c>
      <c r="BA120" s="11" t="str">
        <f t="shared" si="149"/>
        <v/>
      </c>
      <c r="BB120" s="11" t="str">
        <f t="shared" si="150"/>
        <v/>
      </c>
      <c r="BC120" s="11" t="str">
        <f t="shared" si="151"/>
        <v/>
      </c>
      <c r="BD120" s="11" t="str">
        <f t="shared" si="152"/>
        <v/>
      </c>
      <c r="BE120" s="39" t="str">
        <f t="shared" si="153"/>
        <v/>
      </c>
      <c r="BF120" s="11" t="str">
        <f t="shared" si="154"/>
        <v/>
      </c>
      <c r="BG120" s="11" t="str">
        <f t="shared" si="155"/>
        <v/>
      </c>
      <c r="BH120" s="39" t="str">
        <f t="shared" si="156"/>
        <v/>
      </c>
      <c r="BI120" s="11" t="str">
        <f t="shared" si="157"/>
        <v/>
      </c>
      <c r="BJ120" s="11" t="str">
        <f>IF($X120=0,"",IF($Q120&lt;&gt;"",$Q120,NEC_UNIDAD($W120,$E120,$Y120,$Z120,N($AT120),$C$7,OCUPACION)))</f>
        <v/>
      </c>
      <c r="BK120" s="11" t="str">
        <f>IF($X120=0,"",IF(N($R120)&gt;0,$R120,BREAKER_SEL($BX$60,$BI120,$AT120,$C$7,$BX$58,$BX$69,$BJ120)))</f>
        <v/>
      </c>
      <c r="BL120" s="11" t="str">
        <f>IF($BK120="","",BREAKER_REF($BX$60,$BK120,$BI120,$AT120,FALSE))</f>
        <v/>
      </c>
      <c r="BM120" s="11" t="str">
        <f>IF($BK120="","",BREAKER_DATO($BX$60,$BK120,"sccr"))</f>
        <v/>
      </c>
      <c r="BN120" s="11" t="str">
        <f>IF(OR($BK120="",N($BM120)&gt;=$BX$58,$BX$71="",N($BX$74)&lt;$BX$58),"",SERIE_KA($BX$60,BREAKER_DATO($BX$60,$BK120,"modelo"),$BX$72,N($BX$24),$C$7,$BX$58))</f>
        <v/>
      </c>
      <c r="BO120" s="11" t="str">
        <f>IF($BK120="","",BREAKER_DATO($BX$60,$BK120,"unidad"))</f>
        <v/>
      </c>
      <c r="BP120" s="11" t="str">
        <f>IF($BK120="","",BREAKER_DATO($BX$60,$BK120,"marco"))</f>
        <v/>
      </c>
      <c r="BQ120" s="11" t="str">
        <f t="shared" si="158"/>
        <v/>
      </c>
      <c r="BR120" s="11" t="str">
        <f t="shared" si="159"/>
        <v/>
      </c>
      <c r="BS120" s="11" t="str">
        <f t="shared" si="160"/>
        <v/>
      </c>
      <c r="BT120" s="11" t="str">
        <f t="shared" si="161"/>
        <v/>
      </c>
      <c r="BU120" s="11" t="str">
        <f t="shared" si="162"/>
        <v/>
      </c>
      <c r="CA120" s="11" t="str">
        <f t="shared" si="163"/>
        <v/>
      </c>
      <c r="CB120" s="11" t="str">
        <f t="shared" si="164"/>
        <v/>
      </c>
    </row>
    <row r="121" spans="1:80" ht="14.65" x14ac:dyDescent="0.45">
      <c r="A121" s="37"/>
      <c r="B121" s="14">
        <v>94</v>
      </c>
      <c r="C121" s="37"/>
      <c r="D121" s="37"/>
      <c r="E121" s="37"/>
      <c r="F121" s="37" t="str">
        <f t="shared" si="110"/>
        <v/>
      </c>
      <c r="G121" s="38"/>
      <c r="H121" s="37"/>
      <c r="I121" s="37" t="str">
        <f t="shared" si="111"/>
        <v/>
      </c>
      <c r="J121" s="37" t="str">
        <f t="shared" si="112"/>
        <v/>
      </c>
      <c r="K121" s="37" t="str">
        <f t="shared" si="113"/>
        <v/>
      </c>
      <c r="L121" s="37" t="str">
        <f t="shared" si="114"/>
        <v/>
      </c>
      <c r="M121" s="37" t="str">
        <f t="shared" si="115"/>
        <v/>
      </c>
      <c r="N121" s="37" t="str">
        <f t="shared" si="116"/>
        <v/>
      </c>
      <c r="O121" s="37" t="str">
        <f t="shared" si="117"/>
        <v/>
      </c>
      <c r="P121" s="37" t="str">
        <f t="shared" si="118"/>
        <v/>
      </c>
      <c r="Q121" s="37" t="str">
        <f>IF($X121=0,"",NEC_UNIDAD($W121,$E121,$Y121,$Z121,N($AT121),$C$7,OCUPACION))</f>
        <v/>
      </c>
      <c r="R121" s="37" t="str">
        <f>IF($X121=0,"",BREAKER_SEL($BX$60,$BI121,$AT121,$C$7,$BX$58,$BX$69,$BJ121))</f>
        <v/>
      </c>
      <c r="S121" s="37"/>
      <c r="T121" s="37"/>
      <c r="U121" s="37"/>
      <c r="V121" s="37"/>
      <c r="W121" s="11" t="str">
        <f t="shared" si="119"/>
        <v/>
      </c>
      <c r="X121" s="39">
        <f t="shared" si="120"/>
        <v>0</v>
      </c>
      <c r="Y121" s="11">
        <f t="shared" si="121"/>
        <v>0</v>
      </c>
      <c r="Z121" s="11">
        <f t="shared" si="122"/>
        <v>0</v>
      </c>
      <c r="AA121" s="11">
        <f t="shared" si="123"/>
        <v>0</v>
      </c>
      <c r="AB121" s="11">
        <f t="shared" si="124"/>
        <v>1</v>
      </c>
      <c r="AC121" s="11">
        <f t="shared" si="125"/>
        <v>1</v>
      </c>
      <c r="AD121" s="11">
        <f t="shared" si="126"/>
        <v>1</v>
      </c>
      <c r="AE121" s="11" t="str">
        <f t="shared" si="127"/>
        <v/>
      </c>
      <c r="AF121" s="11">
        <f t="shared" si="128"/>
        <v>1.25</v>
      </c>
      <c r="AG121" s="11">
        <f t="shared" si="129"/>
        <v>1</v>
      </c>
      <c r="AH121" s="11">
        <f t="shared" si="130"/>
        <v>-1</v>
      </c>
      <c r="AI121" s="11">
        <f t="shared" si="131"/>
        <v>-1</v>
      </c>
      <c r="AJ121" s="39">
        <f t="shared" si="132"/>
        <v>0</v>
      </c>
      <c r="AK121" s="39">
        <f t="shared" si="133"/>
        <v>0</v>
      </c>
      <c r="AL121" s="39">
        <f t="shared" si="134"/>
        <v>0</v>
      </c>
      <c r="AM121" s="11">
        <f t="shared" si="135"/>
        <v>0</v>
      </c>
      <c r="AN121" s="11">
        <f t="shared" si="136"/>
        <v>0</v>
      </c>
      <c r="AO121" s="11">
        <f t="shared" si="137"/>
        <v>0</v>
      </c>
      <c r="AP121" s="40">
        <f t="shared" si="138"/>
        <v>0</v>
      </c>
      <c r="AQ121" s="40">
        <f t="shared" si="139"/>
        <v>0</v>
      </c>
      <c r="AR121" s="40">
        <f t="shared" si="140"/>
        <v>0</v>
      </c>
      <c r="AS121" s="40" t="str">
        <f t="shared" si="141"/>
        <v/>
      </c>
      <c r="AT121" s="11" t="str">
        <f t="shared" si="142"/>
        <v/>
      </c>
      <c r="AU121" s="11">
        <f t="shared" si="143"/>
        <v>1</v>
      </c>
      <c r="AV121" s="11">
        <f t="shared" si="144"/>
        <v>1</v>
      </c>
      <c r="AW121" s="11" t="str">
        <f t="shared" si="145"/>
        <v/>
      </c>
      <c r="AX121" s="11" t="str">
        <f t="shared" si="146"/>
        <v/>
      </c>
      <c r="AY121" s="11" t="str">
        <f t="shared" si="147"/>
        <v/>
      </c>
      <c r="AZ121" s="11" t="str">
        <f t="shared" si="148"/>
        <v/>
      </c>
      <c r="BA121" s="11" t="str">
        <f t="shared" si="149"/>
        <v/>
      </c>
      <c r="BB121" s="11" t="str">
        <f t="shared" si="150"/>
        <v/>
      </c>
      <c r="BC121" s="11" t="str">
        <f t="shared" si="151"/>
        <v/>
      </c>
      <c r="BD121" s="11" t="str">
        <f t="shared" si="152"/>
        <v/>
      </c>
      <c r="BE121" s="39" t="str">
        <f t="shared" si="153"/>
        <v/>
      </c>
      <c r="BF121" s="11" t="str">
        <f t="shared" si="154"/>
        <v/>
      </c>
      <c r="BG121" s="11" t="str">
        <f t="shared" si="155"/>
        <v/>
      </c>
      <c r="BH121" s="39" t="str">
        <f t="shared" si="156"/>
        <v/>
      </c>
      <c r="BI121" s="11" t="str">
        <f t="shared" si="157"/>
        <v/>
      </c>
      <c r="BJ121" s="11" t="str">
        <f>IF($X121=0,"",IF($Q121&lt;&gt;"",$Q121,NEC_UNIDAD($W121,$E121,$Y121,$Z121,N($AT121),$C$7,OCUPACION)))</f>
        <v/>
      </c>
      <c r="BK121" s="11" t="str">
        <f>IF($X121=0,"",IF(N($R121)&gt;0,$R121,BREAKER_SEL($BX$60,$BI121,$AT121,$C$7,$BX$58,$BX$69,$BJ121)))</f>
        <v/>
      </c>
      <c r="BL121" s="11" t="str">
        <f>IF($BK121="","",BREAKER_REF($BX$60,$BK121,$BI121,$AT121,FALSE))</f>
        <v/>
      </c>
      <c r="BM121" s="11" t="str">
        <f>IF($BK121="","",BREAKER_DATO($BX$60,$BK121,"sccr"))</f>
        <v/>
      </c>
      <c r="BN121" s="11" t="str">
        <f>IF(OR($BK121="",N($BM121)&gt;=$BX$58,$BX$71="",N($BX$74)&lt;$BX$58),"",SERIE_KA($BX$60,BREAKER_DATO($BX$60,$BK121,"modelo"),$BX$72,N($BX$24),$C$7,$BX$58))</f>
        <v/>
      </c>
      <c r="BO121" s="11" t="str">
        <f>IF($BK121="","",BREAKER_DATO($BX$60,$BK121,"unidad"))</f>
        <v/>
      </c>
      <c r="BP121" s="11" t="str">
        <f>IF($BK121="","",BREAKER_DATO($BX$60,$BK121,"marco"))</f>
        <v/>
      </c>
      <c r="BQ121" s="11" t="str">
        <f t="shared" si="158"/>
        <v/>
      </c>
      <c r="BR121" s="11" t="str">
        <f t="shared" si="159"/>
        <v/>
      </c>
      <c r="BS121" s="11" t="str">
        <f t="shared" si="160"/>
        <v/>
      </c>
      <c r="BT121" s="11" t="str">
        <f t="shared" si="161"/>
        <v/>
      </c>
      <c r="BU121" s="11" t="str">
        <f t="shared" si="162"/>
        <v/>
      </c>
      <c r="CA121" s="11" t="str">
        <f t="shared" si="163"/>
        <v/>
      </c>
      <c r="CB121" s="11" t="str">
        <f t="shared" si="164"/>
        <v/>
      </c>
    </row>
    <row r="122" spans="1:80" ht="14.65" x14ac:dyDescent="0.45">
      <c r="A122" s="37"/>
      <c r="B122" s="14">
        <v>96</v>
      </c>
      <c r="C122" s="37"/>
      <c r="D122" s="37"/>
      <c r="E122" s="37"/>
      <c r="F122" s="37" t="str">
        <f t="shared" si="110"/>
        <v/>
      </c>
      <c r="G122" s="38"/>
      <c r="H122" s="37"/>
      <c r="I122" s="37" t="str">
        <f t="shared" si="111"/>
        <v/>
      </c>
      <c r="J122" s="37" t="str">
        <f t="shared" si="112"/>
        <v/>
      </c>
      <c r="K122" s="37" t="str">
        <f t="shared" si="113"/>
        <v/>
      </c>
      <c r="L122" s="37" t="str">
        <f t="shared" si="114"/>
        <v/>
      </c>
      <c r="M122" s="37" t="str">
        <f t="shared" si="115"/>
        <v/>
      </c>
      <c r="N122" s="37" t="str">
        <f t="shared" si="116"/>
        <v/>
      </c>
      <c r="O122" s="37" t="str">
        <f t="shared" si="117"/>
        <v/>
      </c>
      <c r="P122" s="37" t="str">
        <f t="shared" si="118"/>
        <v/>
      </c>
      <c r="Q122" s="37" t="str">
        <f>IF($X122=0,"",NEC_UNIDAD($W122,$E122,$Y122,$Z122,N($AT122),$C$7,OCUPACION))</f>
        <v/>
      </c>
      <c r="R122" s="37" t="str">
        <f>IF($X122=0,"",BREAKER_SEL($BX$60,$BI122,$AT122,$C$7,$BX$58,$BX$69,$BJ122))</f>
        <v/>
      </c>
      <c r="S122" s="37"/>
      <c r="T122" s="37"/>
      <c r="U122" s="37"/>
      <c r="V122" s="37"/>
      <c r="W122" s="11" t="str">
        <f t="shared" si="119"/>
        <v/>
      </c>
      <c r="X122" s="39">
        <f t="shared" si="120"/>
        <v>0</v>
      </c>
      <c r="Y122" s="11">
        <f t="shared" si="121"/>
        <v>0</v>
      </c>
      <c r="Z122" s="11">
        <f t="shared" si="122"/>
        <v>0</v>
      </c>
      <c r="AA122" s="11">
        <f t="shared" si="123"/>
        <v>0</v>
      </c>
      <c r="AB122" s="11">
        <f t="shared" si="124"/>
        <v>1</v>
      </c>
      <c r="AC122" s="11">
        <f t="shared" si="125"/>
        <v>1</v>
      </c>
      <c r="AD122" s="11">
        <f t="shared" si="126"/>
        <v>1</v>
      </c>
      <c r="AE122" s="11" t="str">
        <f t="shared" si="127"/>
        <v/>
      </c>
      <c r="AF122" s="11">
        <f t="shared" si="128"/>
        <v>1.25</v>
      </c>
      <c r="AG122" s="11">
        <f t="shared" si="129"/>
        <v>2</v>
      </c>
      <c r="AH122" s="11">
        <f t="shared" si="130"/>
        <v>-1</v>
      </c>
      <c r="AI122" s="11">
        <f t="shared" si="131"/>
        <v>-1</v>
      </c>
      <c r="AJ122" s="39">
        <f t="shared" si="132"/>
        <v>0</v>
      </c>
      <c r="AK122" s="39">
        <f t="shared" si="133"/>
        <v>0</v>
      </c>
      <c r="AL122" s="39">
        <f t="shared" si="134"/>
        <v>0</v>
      </c>
      <c r="AM122" s="11">
        <f t="shared" si="135"/>
        <v>0</v>
      </c>
      <c r="AN122" s="11">
        <f t="shared" si="136"/>
        <v>0</v>
      </c>
      <c r="AO122" s="11">
        <f t="shared" si="137"/>
        <v>0</v>
      </c>
      <c r="AP122" s="40">
        <f t="shared" si="138"/>
        <v>0</v>
      </c>
      <c r="AQ122" s="40">
        <f t="shared" si="139"/>
        <v>0</v>
      </c>
      <c r="AR122" s="40">
        <f t="shared" si="140"/>
        <v>0</v>
      </c>
      <c r="AS122" s="40" t="str">
        <f t="shared" si="141"/>
        <v/>
      </c>
      <c r="AT122" s="11" t="str">
        <f t="shared" si="142"/>
        <v/>
      </c>
      <c r="AU122" s="11">
        <f t="shared" si="143"/>
        <v>1</v>
      </c>
      <c r="AV122" s="11">
        <f t="shared" si="144"/>
        <v>1</v>
      </c>
      <c r="AW122" s="11" t="str">
        <f t="shared" si="145"/>
        <v/>
      </c>
      <c r="AX122" s="11" t="str">
        <f t="shared" si="146"/>
        <v/>
      </c>
      <c r="AY122" s="11" t="str">
        <f t="shared" si="147"/>
        <v/>
      </c>
      <c r="AZ122" s="11" t="str">
        <f t="shared" si="148"/>
        <v/>
      </c>
      <c r="BA122" s="11" t="str">
        <f t="shared" si="149"/>
        <v/>
      </c>
      <c r="BB122" s="11" t="str">
        <f t="shared" si="150"/>
        <v/>
      </c>
      <c r="BC122" s="11" t="str">
        <f t="shared" si="151"/>
        <v/>
      </c>
      <c r="BD122" s="11" t="str">
        <f t="shared" si="152"/>
        <v/>
      </c>
      <c r="BE122" s="39" t="str">
        <f t="shared" si="153"/>
        <v/>
      </c>
      <c r="BF122" s="11" t="str">
        <f t="shared" si="154"/>
        <v/>
      </c>
      <c r="BG122" s="11" t="str">
        <f t="shared" si="155"/>
        <v/>
      </c>
      <c r="BH122" s="39" t="str">
        <f t="shared" si="156"/>
        <v/>
      </c>
      <c r="BI122" s="11" t="str">
        <f t="shared" si="157"/>
        <v/>
      </c>
      <c r="BJ122" s="11" t="str">
        <f>IF($X122=0,"",IF($Q122&lt;&gt;"",$Q122,NEC_UNIDAD($W122,$E122,$Y122,$Z122,N($AT122),$C$7,OCUPACION)))</f>
        <v/>
      </c>
      <c r="BK122" s="11" t="str">
        <f>IF($X122=0,"",IF(N($R122)&gt;0,$R122,BREAKER_SEL($BX$60,$BI122,$AT122,$C$7,$BX$58,$BX$69,$BJ122)))</f>
        <v/>
      </c>
      <c r="BL122" s="11" t="str">
        <f>IF($BK122="","",BREAKER_REF($BX$60,$BK122,$BI122,$AT122,FALSE))</f>
        <v/>
      </c>
      <c r="BM122" s="11" t="str">
        <f>IF($BK122="","",BREAKER_DATO($BX$60,$BK122,"sccr"))</f>
        <v/>
      </c>
      <c r="BN122" s="11" t="str">
        <f>IF(OR($BK122="",N($BM122)&gt;=$BX$58,$BX$71="",N($BX$74)&lt;$BX$58),"",SERIE_KA($BX$60,BREAKER_DATO($BX$60,$BK122,"modelo"),$BX$72,N($BX$24),$C$7,$BX$58))</f>
        <v/>
      </c>
      <c r="BO122" s="11" t="str">
        <f>IF($BK122="","",BREAKER_DATO($BX$60,$BK122,"unidad"))</f>
        <v/>
      </c>
      <c r="BP122" s="11" t="str">
        <f>IF($BK122="","",BREAKER_DATO($BX$60,$BK122,"marco"))</f>
        <v/>
      </c>
      <c r="BQ122" s="11" t="str">
        <f t="shared" si="158"/>
        <v/>
      </c>
      <c r="BR122" s="11" t="str">
        <f t="shared" si="159"/>
        <v/>
      </c>
      <c r="BS122" s="11" t="str">
        <f t="shared" si="160"/>
        <v/>
      </c>
      <c r="BT122" s="11" t="str">
        <f t="shared" si="161"/>
        <v/>
      </c>
      <c r="BU122" s="11" t="str">
        <f t="shared" si="162"/>
        <v/>
      </c>
      <c r="CA122" s="11" t="str">
        <f t="shared" si="163"/>
        <v/>
      </c>
      <c r="CB122" s="11" t="str">
        <f t="shared" si="164"/>
        <v/>
      </c>
    </row>
    <row r="123" spans="1:80" ht="14.65" x14ac:dyDescent="0.45">
      <c r="A123" s="37"/>
      <c r="B123" s="14">
        <v>98</v>
      </c>
      <c r="C123" s="37"/>
      <c r="D123" s="37"/>
      <c r="E123" s="37"/>
      <c r="F123" s="37" t="str">
        <f t="shared" si="110"/>
        <v/>
      </c>
      <c r="G123" s="38"/>
      <c r="H123" s="37"/>
      <c r="I123" s="37" t="str">
        <f t="shared" si="111"/>
        <v/>
      </c>
      <c r="J123" s="37" t="str">
        <f t="shared" si="112"/>
        <v/>
      </c>
      <c r="K123" s="37" t="str">
        <f t="shared" si="113"/>
        <v/>
      </c>
      <c r="L123" s="37" t="str">
        <f t="shared" si="114"/>
        <v/>
      </c>
      <c r="M123" s="37" t="str">
        <f t="shared" si="115"/>
        <v/>
      </c>
      <c r="N123" s="37" t="str">
        <f t="shared" si="116"/>
        <v/>
      </c>
      <c r="O123" s="37" t="str">
        <f t="shared" si="117"/>
        <v/>
      </c>
      <c r="P123" s="37" t="str">
        <f t="shared" si="118"/>
        <v/>
      </c>
      <c r="Q123" s="37" t="str">
        <f>IF($X123=0,"",NEC_UNIDAD($W123,$E123,$Y123,$Z123,N($AT123),$C$7,OCUPACION))</f>
        <v/>
      </c>
      <c r="R123" s="37" t="str">
        <f>IF($X123=0,"",BREAKER_SEL($BX$60,$BI123,$AT123,$C$7,$BX$58,$BX$69,$BJ123))</f>
        <v/>
      </c>
      <c r="S123" s="37"/>
      <c r="T123" s="37"/>
      <c r="U123" s="37"/>
      <c r="V123" s="37"/>
      <c r="W123" s="11" t="str">
        <f t="shared" si="119"/>
        <v/>
      </c>
      <c r="X123" s="39">
        <f t="shared" si="120"/>
        <v>0</v>
      </c>
      <c r="Y123" s="11">
        <f t="shared" si="121"/>
        <v>0</v>
      </c>
      <c r="Z123" s="11">
        <f t="shared" si="122"/>
        <v>0</v>
      </c>
      <c r="AA123" s="11">
        <f t="shared" si="123"/>
        <v>0</v>
      </c>
      <c r="AB123" s="11">
        <f t="shared" si="124"/>
        <v>1</v>
      </c>
      <c r="AC123" s="11">
        <f t="shared" si="125"/>
        <v>1</v>
      </c>
      <c r="AD123" s="11">
        <f t="shared" si="126"/>
        <v>1</v>
      </c>
      <c r="AE123" s="11" t="str">
        <f t="shared" si="127"/>
        <v/>
      </c>
      <c r="AF123" s="11">
        <f t="shared" si="128"/>
        <v>1.25</v>
      </c>
      <c r="AG123" s="11">
        <f t="shared" si="129"/>
        <v>0</v>
      </c>
      <c r="AH123" s="11">
        <f t="shared" si="130"/>
        <v>-1</v>
      </c>
      <c r="AI123" s="11">
        <f t="shared" si="131"/>
        <v>-1</v>
      </c>
      <c r="AJ123" s="39">
        <f t="shared" si="132"/>
        <v>0</v>
      </c>
      <c r="AK123" s="39">
        <f t="shared" si="133"/>
        <v>0</v>
      </c>
      <c r="AL123" s="39">
        <f t="shared" si="134"/>
        <v>0</v>
      </c>
      <c r="AM123" s="11">
        <f t="shared" si="135"/>
        <v>0</v>
      </c>
      <c r="AN123" s="11">
        <f t="shared" si="136"/>
        <v>0</v>
      </c>
      <c r="AO123" s="11">
        <f t="shared" si="137"/>
        <v>0</v>
      </c>
      <c r="AP123" s="40">
        <f t="shared" si="138"/>
        <v>0</v>
      </c>
      <c r="AQ123" s="40">
        <f t="shared" si="139"/>
        <v>0</v>
      </c>
      <c r="AR123" s="40">
        <f t="shared" si="140"/>
        <v>0</v>
      </c>
      <c r="AS123" s="40" t="str">
        <f t="shared" si="141"/>
        <v/>
      </c>
      <c r="AT123" s="11" t="str">
        <f t="shared" si="142"/>
        <v/>
      </c>
      <c r="AU123" s="11">
        <f t="shared" si="143"/>
        <v>1</v>
      </c>
      <c r="AV123" s="11">
        <f t="shared" si="144"/>
        <v>1</v>
      </c>
      <c r="AW123" s="11" t="str">
        <f t="shared" si="145"/>
        <v/>
      </c>
      <c r="AX123" s="11" t="str">
        <f t="shared" si="146"/>
        <v/>
      </c>
      <c r="AY123" s="11" t="str">
        <f t="shared" si="147"/>
        <v/>
      </c>
      <c r="AZ123" s="11" t="str">
        <f t="shared" si="148"/>
        <v/>
      </c>
      <c r="BA123" s="11" t="str">
        <f t="shared" si="149"/>
        <v/>
      </c>
      <c r="BB123" s="11" t="str">
        <f t="shared" si="150"/>
        <v/>
      </c>
      <c r="BC123" s="11" t="str">
        <f t="shared" si="151"/>
        <v/>
      </c>
      <c r="BD123" s="11" t="str">
        <f t="shared" si="152"/>
        <v/>
      </c>
      <c r="BE123" s="39" t="str">
        <f t="shared" si="153"/>
        <v/>
      </c>
      <c r="BF123" s="11" t="str">
        <f t="shared" si="154"/>
        <v/>
      </c>
      <c r="BG123" s="11" t="str">
        <f t="shared" si="155"/>
        <v/>
      </c>
      <c r="BH123" s="39" t="str">
        <f t="shared" si="156"/>
        <v/>
      </c>
      <c r="BI123" s="11" t="str">
        <f t="shared" si="157"/>
        <v/>
      </c>
      <c r="BJ123" s="11" t="str">
        <f>IF($X123=0,"",IF($Q123&lt;&gt;"",$Q123,NEC_UNIDAD($W123,$E123,$Y123,$Z123,N($AT123),$C$7,OCUPACION)))</f>
        <v/>
      </c>
      <c r="BK123" s="11" t="str">
        <f>IF($X123=0,"",IF(N($R123)&gt;0,$R123,BREAKER_SEL($BX$60,$BI123,$AT123,$C$7,$BX$58,$BX$69,$BJ123)))</f>
        <v/>
      </c>
      <c r="BL123" s="11" t="str">
        <f>IF($BK123="","",BREAKER_REF($BX$60,$BK123,$BI123,$AT123,FALSE))</f>
        <v/>
      </c>
      <c r="BM123" s="11" t="str">
        <f>IF($BK123="","",BREAKER_DATO($BX$60,$BK123,"sccr"))</f>
        <v/>
      </c>
      <c r="BN123" s="11" t="str">
        <f>IF(OR($BK123="",N($BM123)&gt;=$BX$58,$BX$71="",N($BX$74)&lt;$BX$58),"",SERIE_KA($BX$60,BREAKER_DATO($BX$60,$BK123,"modelo"),$BX$72,N($BX$24),$C$7,$BX$58))</f>
        <v/>
      </c>
      <c r="BO123" s="11" t="str">
        <f>IF($BK123="","",BREAKER_DATO($BX$60,$BK123,"unidad"))</f>
        <v/>
      </c>
      <c r="BP123" s="11" t="str">
        <f>IF($BK123="","",BREAKER_DATO($BX$60,$BK123,"marco"))</f>
        <v/>
      </c>
      <c r="BQ123" s="11" t="str">
        <f t="shared" si="158"/>
        <v/>
      </c>
      <c r="BR123" s="11" t="str">
        <f t="shared" si="159"/>
        <v/>
      </c>
      <c r="BS123" s="11" t="str">
        <f t="shared" si="160"/>
        <v/>
      </c>
      <c r="BT123" s="11" t="str">
        <f t="shared" si="161"/>
        <v/>
      </c>
      <c r="BU123" s="11" t="str">
        <f t="shared" si="162"/>
        <v/>
      </c>
      <c r="CA123" s="11" t="str">
        <f t="shared" si="163"/>
        <v/>
      </c>
      <c r="CB123" s="11" t="str">
        <f t="shared" si="164"/>
        <v/>
      </c>
    </row>
    <row r="124" spans="1:80" ht="14.65" x14ac:dyDescent="0.45">
      <c r="A124" s="37"/>
      <c r="B124" s="14">
        <v>100</v>
      </c>
      <c r="C124" s="37"/>
      <c r="D124" s="37"/>
      <c r="E124" s="37"/>
      <c r="F124" s="37" t="str">
        <f t="shared" si="110"/>
        <v/>
      </c>
      <c r="G124" s="38"/>
      <c r="H124" s="37"/>
      <c r="I124" s="37" t="str">
        <f t="shared" si="111"/>
        <v/>
      </c>
      <c r="J124" s="37" t="str">
        <f t="shared" si="112"/>
        <v/>
      </c>
      <c r="K124" s="37" t="str">
        <f t="shared" si="113"/>
        <v/>
      </c>
      <c r="L124" s="37" t="str">
        <f t="shared" si="114"/>
        <v/>
      </c>
      <c r="M124" s="37" t="str">
        <f t="shared" si="115"/>
        <v/>
      </c>
      <c r="N124" s="37" t="str">
        <f t="shared" si="116"/>
        <v/>
      </c>
      <c r="O124" s="37" t="str">
        <f t="shared" si="117"/>
        <v/>
      </c>
      <c r="P124" s="37" t="str">
        <f t="shared" si="118"/>
        <v/>
      </c>
      <c r="Q124" s="37" t="str">
        <f>IF($X124=0,"",NEC_UNIDAD($W124,$E124,$Y124,$Z124,N($AT124),$C$7,OCUPACION))</f>
        <v/>
      </c>
      <c r="R124" s="37" t="str">
        <f>IF($X124=0,"",BREAKER_SEL($BX$60,$BI124,$AT124,$C$7,$BX$58,$BX$69,$BJ124))</f>
        <v/>
      </c>
      <c r="S124" s="37"/>
      <c r="T124" s="37"/>
      <c r="U124" s="37"/>
      <c r="V124" s="37"/>
      <c r="W124" s="11" t="str">
        <f t="shared" si="119"/>
        <v/>
      </c>
      <c r="X124" s="39">
        <f t="shared" si="120"/>
        <v>0</v>
      </c>
      <c r="Y124" s="11">
        <f t="shared" si="121"/>
        <v>0</v>
      </c>
      <c r="Z124" s="11">
        <f t="shared" si="122"/>
        <v>0</v>
      </c>
      <c r="AA124" s="11">
        <f t="shared" si="123"/>
        <v>0</v>
      </c>
      <c r="AB124" s="11">
        <f t="shared" si="124"/>
        <v>1</v>
      </c>
      <c r="AC124" s="11">
        <f t="shared" si="125"/>
        <v>1</v>
      </c>
      <c r="AD124" s="11">
        <f t="shared" si="126"/>
        <v>1</v>
      </c>
      <c r="AE124" s="11" t="str">
        <f t="shared" si="127"/>
        <v/>
      </c>
      <c r="AF124" s="11">
        <f t="shared" si="128"/>
        <v>1.25</v>
      </c>
      <c r="AG124" s="11">
        <f t="shared" si="129"/>
        <v>1</v>
      </c>
      <c r="AH124" s="11">
        <f t="shared" si="130"/>
        <v>-1</v>
      </c>
      <c r="AI124" s="11">
        <f t="shared" si="131"/>
        <v>-1</v>
      </c>
      <c r="AJ124" s="39">
        <f t="shared" si="132"/>
        <v>0</v>
      </c>
      <c r="AK124" s="39">
        <f t="shared" si="133"/>
        <v>0</v>
      </c>
      <c r="AL124" s="39">
        <f t="shared" si="134"/>
        <v>0</v>
      </c>
      <c r="AM124" s="11">
        <f t="shared" si="135"/>
        <v>0</v>
      </c>
      <c r="AN124" s="11">
        <f t="shared" si="136"/>
        <v>0</v>
      </c>
      <c r="AO124" s="11">
        <f t="shared" si="137"/>
        <v>0</v>
      </c>
      <c r="AP124" s="40">
        <f t="shared" si="138"/>
        <v>0</v>
      </c>
      <c r="AQ124" s="40">
        <f t="shared" si="139"/>
        <v>0</v>
      </c>
      <c r="AR124" s="40">
        <f t="shared" si="140"/>
        <v>0</v>
      </c>
      <c r="AS124" s="40" t="str">
        <f t="shared" si="141"/>
        <v/>
      </c>
      <c r="AT124" s="11" t="str">
        <f t="shared" si="142"/>
        <v/>
      </c>
      <c r="AU124" s="11">
        <f t="shared" si="143"/>
        <v>1</v>
      </c>
      <c r="AV124" s="11">
        <f t="shared" si="144"/>
        <v>1</v>
      </c>
      <c r="AW124" s="11" t="str">
        <f t="shared" si="145"/>
        <v/>
      </c>
      <c r="AX124" s="11" t="str">
        <f t="shared" si="146"/>
        <v/>
      </c>
      <c r="AY124" s="11" t="str">
        <f t="shared" si="147"/>
        <v/>
      </c>
      <c r="AZ124" s="11" t="str">
        <f t="shared" si="148"/>
        <v/>
      </c>
      <c r="BA124" s="11" t="str">
        <f t="shared" si="149"/>
        <v/>
      </c>
      <c r="BB124" s="11" t="str">
        <f t="shared" si="150"/>
        <v/>
      </c>
      <c r="BC124" s="11" t="str">
        <f t="shared" si="151"/>
        <v/>
      </c>
      <c r="BD124" s="11" t="str">
        <f t="shared" si="152"/>
        <v/>
      </c>
      <c r="BE124" s="39" t="str">
        <f t="shared" si="153"/>
        <v/>
      </c>
      <c r="BF124" s="11" t="str">
        <f t="shared" si="154"/>
        <v/>
      </c>
      <c r="BG124" s="11" t="str">
        <f t="shared" si="155"/>
        <v/>
      </c>
      <c r="BH124" s="39" t="str">
        <f t="shared" si="156"/>
        <v/>
      </c>
      <c r="BI124" s="11" t="str">
        <f t="shared" si="157"/>
        <v/>
      </c>
      <c r="BJ124" s="11" t="str">
        <f>IF($X124=0,"",IF($Q124&lt;&gt;"",$Q124,NEC_UNIDAD($W124,$E124,$Y124,$Z124,N($AT124),$C$7,OCUPACION)))</f>
        <v/>
      </c>
      <c r="BK124" s="11" t="str">
        <f>IF($X124=0,"",IF(N($R124)&gt;0,$R124,BREAKER_SEL($BX$60,$BI124,$AT124,$C$7,$BX$58,$BX$69,$BJ124)))</f>
        <v/>
      </c>
      <c r="BL124" s="11" t="str">
        <f>IF($BK124="","",BREAKER_REF($BX$60,$BK124,$BI124,$AT124,FALSE))</f>
        <v/>
      </c>
      <c r="BM124" s="11" t="str">
        <f>IF($BK124="","",BREAKER_DATO($BX$60,$BK124,"sccr"))</f>
        <v/>
      </c>
      <c r="BN124" s="11" t="str">
        <f>IF(OR($BK124="",N($BM124)&gt;=$BX$58,$BX$71="",N($BX$74)&lt;$BX$58),"",SERIE_KA($BX$60,BREAKER_DATO($BX$60,$BK124,"modelo"),$BX$72,N($BX$24),$C$7,$BX$58))</f>
        <v/>
      </c>
      <c r="BO124" s="11" t="str">
        <f>IF($BK124="","",BREAKER_DATO($BX$60,$BK124,"unidad"))</f>
        <v/>
      </c>
      <c r="BP124" s="11" t="str">
        <f>IF($BK124="","",BREAKER_DATO($BX$60,$BK124,"marco"))</f>
        <v/>
      </c>
      <c r="BQ124" s="11" t="str">
        <f t="shared" si="158"/>
        <v/>
      </c>
      <c r="BR124" s="11" t="str">
        <f t="shared" si="159"/>
        <v/>
      </c>
      <c r="BS124" s="11" t="str">
        <f t="shared" si="160"/>
        <v/>
      </c>
      <c r="BT124" s="11" t="str">
        <f t="shared" si="161"/>
        <v/>
      </c>
      <c r="BU124" s="11" t="str">
        <f t="shared" si="162"/>
        <v/>
      </c>
      <c r="CA124" s="11" t="str">
        <f t="shared" si="163"/>
        <v/>
      </c>
      <c r="CB124" s="11" t="str">
        <f t="shared" si="164"/>
        <v/>
      </c>
    </row>
    <row r="126" spans="1:80" x14ac:dyDescent="0.45">
      <c r="B126" s="33" t="s">
        <v>829</v>
      </c>
    </row>
    <row r="127" spans="1:80" ht="33.75" x14ac:dyDescent="0.45">
      <c r="B127" s="7" t="s">
        <v>830</v>
      </c>
      <c r="C127" s="7" t="s">
        <v>831</v>
      </c>
      <c r="D127" s="7" t="s">
        <v>832</v>
      </c>
      <c r="E127" s="7" t="s">
        <v>833</v>
      </c>
      <c r="F127" s="7" t="s">
        <v>610</v>
      </c>
      <c r="G127" s="7" t="s">
        <v>834</v>
      </c>
      <c r="H127" s="7" t="s">
        <v>39</v>
      </c>
      <c r="I127" s="7" t="s">
        <v>835</v>
      </c>
      <c r="J127" s="7" t="s">
        <v>125</v>
      </c>
      <c r="K127" s="7" t="s">
        <v>126</v>
      </c>
      <c r="L127" s="7" t="s">
        <v>40</v>
      </c>
    </row>
    <row r="128" spans="1:80" x14ac:dyDescent="0.45">
      <c r="B128">
        <f>IFERROR(IF(INDEX(T_TIPOS,1,1)="","",INDEX(T_TIPOS,1,1)),"")</f>
        <v>1</v>
      </c>
      <c r="C128" t="str">
        <f>IF($B128="","",INDEX(T_TIPOS,1,2))</f>
        <v>ILUMINACIÓN</v>
      </c>
      <c r="D128" t="str">
        <f>IF($B128="","",INDEX(T_TIPOS,1,3))</f>
        <v>fijo</v>
      </c>
      <c r="E128">
        <f t="shared" ref="E128:E143" si="165">IF($B128="",0,IF(CARGA_DERIV="demandada",COUNTIFS($AE$25:$AE$124,$B128,$X$25:$X$124,"&gt;0",$T$25:$T$124,"",$S$25:$S$124,""),COUNTIFS($AE$25:$AE$124,$B128,$X$25:$X$124,"&gt;0",$T$25:$T$124,"")))</f>
        <v>0</v>
      </c>
      <c r="F128" s="13">
        <f t="shared" ref="F128:F143" si="166">IF($B128="",0,IF(CARGA_DERIV="demandada",SUMIFS($X$25:$X$124,$AE$25:$AE$124,$B128,$T$25:$T$124,"",$S$25:$S$124,""),SUMIFS($X$25:$X$124,$AE$25:$AE$124,$B128,$T$25:$T$124,"")))</f>
        <v>0</v>
      </c>
      <c r="G128" s="13">
        <f t="shared" ref="G128:G144" si="167">F128*N($C$13)</f>
        <v>0</v>
      </c>
      <c r="H128" s="13">
        <f t="shared" ref="H128:H144" si="168">F128+G128</f>
        <v>0</v>
      </c>
      <c r="I128" s="41"/>
      <c r="J128" s="13">
        <f>IF($B128="",1,IF(ISNUMBER($I128),$I128,IF($D128="tomas",IF($H128&gt;0,IF($H128&gt;10,($H128-10)*0.5+10,$H128)/$H128,1),IF($D128="cocina",LOOKUP($E128,{0,1,2,3,4,5,6},{1,1,1,0.9,0.8,0.7,0.65}),IF($D128="220.53",IF($E128&gt;=4,0.75,1),N(INDEX(T_TIPOS,1,4)))))))</f>
        <v>1</v>
      </c>
      <c r="K128">
        <f>IF($B128="",1,IF(N(INDEX(T_TIPOS,1,5))&gt;0,INDEX(T_TIPOS,1,5),1))</f>
        <v>1</v>
      </c>
      <c r="L128" s="13">
        <f t="shared" ref="L128:L143" si="169">IF(AND($D128="tomas",NOT(ISNUMBER($I128))),IF($H128&gt;10,($H128-10)*0.5+10,$H128),$H128*$J128*$K128)</f>
        <v>0</v>
      </c>
    </row>
    <row r="129" spans="2:12" x14ac:dyDescent="0.45">
      <c r="B129">
        <f>IFERROR(IF(INDEX(T_TIPOS,2,1)="","",INDEX(T_TIPOS,2,1)),"")</f>
        <v>2</v>
      </c>
      <c r="C129" t="str">
        <f>IF($B129="","",INDEX(T_TIPOS,2,2))</f>
        <v>TOMAS</v>
      </c>
      <c r="D129" t="str">
        <f>IF($B129="","",INDEX(T_TIPOS,2,3))</f>
        <v>tomas</v>
      </c>
      <c r="E129">
        <f t="shared" si="165"/>
        <v>0</v>
      </c>
      <c r="F129" s="13">
        <f t="shared" si="166"/>
        <v>0</v>
      </c>
      <c r="G129" s="13">
        <f t="shared" si="167"/>
        <v>0</v>
      </c>
      <c r="H129" s="13">
        <f t="shared" si="168"/>
        <v>0</v>
      </c>
      <c r="I129" s="41"/>
      <c r="J129" s="13">
        <f>IF($B129="",1,IF(ISNUMBER($I129),$I129,IF($D129="tomas",IF($H129&gt;0,IF($H129&gt;10,($H129-10)*0.5+10,$H129)/$H129,1),IF($D129="cocina",LOOKUP($E129,{0,1,2,3,4,5,6},{1,1,1,0.9,0.8,0.7,0.65}),IF($D129="220.53",IF($E129&gt;=4,0.75,1),N(INDEX(T_TIPOS,2,4)))))))</f>
        <v>1</v>
      </c>
      <c r="K129">
        <f>IF($B129="",1,IF(N(INDEX(T_TIPOS,2,5))&gt;0,INDEX(T_TIPOS,2,5),1))</f>
        <v>1</v>
      </c>
      <c r="L129" s="13">
        <f t="shared" si="169"/>
        <v>0</v>
      </c>
    </row>
    <row r="130" spans="2:12" x14ac:dyDescent="0.45">
      <c r="B130">
        <f>IFERROR(IF(INDEX(T_TIPOS,3,1)="","",INDEX(T_TIPOS,3,1)),"")</f>
        <v>3</v>
      </c>
      <c r="C130" t="str">
        <f>IF($B130="","",INDEX(T_TIPOS,3,2))</f>
        <v>TOMAS UPS</v>
      </c>
      <c r="D130" t="str">
        <f>IF($B130="","",INDEX(T_TIPOS,3,3))</f>
        <v>tomas</v>
      </c>
      <c r="E130">
        <f t="shared" si="165"/>
        <v>0</v>
      </c>
      <c r="F130" s="13">
        <f t="shared" si="166"/>
        <v>0</v>
      </c>
      <c r="G130" s="13">
        <f t="shared" si="167"/>
        <v>0</v>
      </c>
      <c r="H130" s="13">
        <f t="shared" si="168"/>
        <v>0</v>
      </c>
      <c r="I130" s="41"/>
      <c r="J130" s="13">
        <f>IF($B130="",1,IF(ISNUMBER($I130),$I130,IF($D130="tomas",IF($H130&gt;0,IF($H130&gt;10,($H130-10)*0.5+10,$H130)/$H130,1),IF($D130="cocina",LOOKUP($E130,{0,1,2,3,4,5,6},{1,1,1,0.9,0.8,0.7,0.65}),IF($D130="220.53",IF($E130&gt;=4,0.75,1),N(INDEX(T_TIPOS,3,4)))))))</f>
        <v>1</v>
      </c>
      <c r="K130">
        <f>IF($B130="",1,IF(N(INDEX(T_TIPOS,3,5))&gt;0,INDEX(T_TIPOS,3,5),1))</f>
        <v>1</v>
      </c>
      <c r="L130" s="13">
        <f t="shared" si="169"/>
        <v>0</v>
      </c>
    </row>
    <row r="131" spans="2:12" x14ac:dyDescent="0.45">
      <c r="B131">
        <f>IFERROR(IF(INDEX(T_TIPOS,4,1)="","",INDEX(T_TIPOS,4,1)),"")</f>
        <v>4</v>
      </c>
      <c r="C131" t="str">
        <f>IF($B131="","",INDEX(T_TIPOS,4,2))</f>
        <v>ASCENSOR 5HP</v>
      </c>
      <c r="D131" t="str">
        <f>IF($B131="","",INDEX(T_TIPOS,4,3))</f>
        <v>fijo</v>
      </c>
      <c r="E131">
        <f t="shared" si="165"/>
        <v>0</v>
      </c>
      <c r="F131" s="13">
        <f t="shared" si="166"/>
        <v>0</v>
      </c>
      <c r="G131" s="13">
        <f t="shared" si="167"/>
        <v>0</v>
      </c>
      <c r="H131" s="13">
        <f t="shared" si="168"/>
        <v>0</v>
      </c>
      <c r="I131" s="41"/>
      <c r="J131" s="13">
        <f>IF($B131="",1,IF(ISNUMBER($I131),$I131,IF($D131="tomas",IF($H131&gt;0,IF($H131&gt;10,($H131-10)*0.5+10,$H131)/$H131,1),IF($D131="cocina",LOOKUP($E131,{0,1,2,3,4,5,6},{1,1,1,0.9,0.8,0.7,0.65}),IF($D131="220.53",IF($E131&gt;=4,0.75,1),N(INDEX(T_TIPOS,4,4)))))))</f>
        <v>0.8</v>
      </c>
      <c r="K131">
        <f>IF($B131="",1,IF(N(INDEX(T_TIPOS,4,5))&gt;0,INDEX(T_TIPOS,4,5),1))</f>
        <v>1</v>
      </c>
      <c r="L131" s="13">
        <f t="shared" si="169"/>
        <v>0</v>
      </c>
    </row>
    <row r="132" spans="2:12" x14ac:dyDescent="0.45">
      <c r="B132">
        <f>IFERROR(IF(INDEX(T_TIPOS,5,1)="","",INDEX(T_TIPOS,5,1)),"")</f>
        <v>5</v>
      </c>
      <c r="C132" t="str">
        <f>IF($B132="","",INDEX(T_TIPOS,5,2))</f>
        <v>EQUIPOS MECÁNICOS</v>
      </c>
      <c r="D132" t="str">
        <f>IF($B132="","",INDEX(T_TIPOS,5,3))</f>
        <v>fijo</v>
      </c>
      <c r="E132">
        <f t="shared" si="165"/>
        <v>0</v>
      </c>
      <c r="F132" s="13">
        <f t="shared" si="166"/>
        <v>0</v>
      </c>
      <c r="G132" s="13">
        <f t="shared" si="167"/>
        <v>0</v>
      </c>
      <c r="H132" s="13">
        <f t="shared" si="168"/>
        <v>0</v>
      </c>
      <c r="I132" s="41"/>
      <c r="J132" s="13">
        <f>IF($B132="",1,IF(ISNUMBER($I132),$I132,IF($D132="tomas",IF($H132&gt;0,IF($H132&gt;10,($H132-10)*0.5+10,$H132)/$H132,1),IF($D132="cocina",LOOKUP($E132,{0,1,2,3,4,5,6},{1,1,1,0.9,0.8,0.7,0.65}),IF($D132="220.53",IF($E132&gt;=4,0.75,1),N(INDEX(T_TIPOS,5,4)))))))</f>
        <v>0.8</v>
      </c>
      <c r="K132">
        <f>IF($B132="",1,IF(N(INDEX(T_TIPOS,5,5))&gt;0,INDEX(T_TIPOS,5,5),1))</f>
        <v>1</v>
      </c>
      <c r="L132" s="13">
        <f t="shared" si="169"/>
        <v>0</v>
      </c>
    </row>
    <row r="133" spans="2:12" x14ac:dyDescent="0.45">
      <c r="B133">
        <f>IFERROR(IF(INDEX(T_TIPOS,6,1)="","",INDEX(T_TIPOS,6,1)),"")</f>
        <v>6</v>
      </c>
      <c r="C133" t="str">
        <f>IF($B133="","",INDEX(T_TIPOS,6,2))</f>
        <v>CHILLER</v>
      </c>
      <c r="D133" t="str">
        <f>IF($B133="","",INDEX(T_TIPOS,6,3))</f>
        <v>fijo</v>
      </c>
      <c r="E133">
        <f t="shared" si="165"/>
        <v>0</v>
      </c>
      <c r="F133" s="13">
        <f t="shared" si="166"/>
        <v>0</v>
      </c>
      <c r="G133" s="13">
        <f t="shared" si="167"/>
        <v>0</v>
      </c>
      <c r="H133" s="13">
        <f t="shared" si="168"/>
        <v>0</v>
      </c>
      <c r="I133" s="41"/>
      <c r="J133" s="13">
        <f>IF($B133="",1,IF(ISNUMBER($I133),$I133,IF($D133="tomas",IF($H133&gt;0,IF($H133&gt;10,($H133-10)*0.5+10,$H133)/$H133,1),IF($D133="cocina",LOOKUP($E133,{0,1,2,3,4,5,6},{1,1,1,0.9,0.8,0.7,0.65}),IF($D133="220.53",IF($E133&gt;=4,0.75,1),N(INDEX(T_TIPOS,6,4)))))))</f>
        <v>0.8</v>
      </c>
      <c r="K133">
        <f>IF($B133="",1,IF(N(INDEX(T_TIPOS,6,5))&gt;0,INDEX(T_TIPOS,6,5),1))</f>
        <v>1</v>
      </c>
      <c r="L133" s="13">
        <f t="shared" si="169"/>
        <v>0</v>
      </c>
    </row>
    <row r="134" spans="2:12" x14ac:dyDescent="0.45">
      <c r="B134">
        <f>IFERROR(IF(INDEX(T_TIPOS,7,1)="","",INDEX(T_TIPOS,7,1)),"")</f>
        <v>7</v>
      </c>
      <c r="C134" t="str">
        <f>IF($B134="","",INDEX(T_TIPOS,7,2))</f>
        <v>UNIDAD AH-XX</v>
      </c>
      <c r="D134" t="str">
        <f>IF($B134="","",INDEX(T_TIPOS,7,3))</f>
        <v>fijo</v>
      </c>
      <c r="E134">
        <f t="shared" si="165"/>
        <v>0</v>
      </c>
      <c r="F134" s="13">
        <f t="shared" si="166"/>
        <v>0</v>
      </c>
      <c r="G134" s="13">
        <f t="shared" si="167"/>
        <v>0</v>
      </c>
      <c r="H134" s="13">
        <f t="shared" si="168"/>
        <v>0</v>
      </c>
      <c r="I134" s="41"/>
      <c r="J134" s="13">
        <f>IF($B134="",1,IF(ISNUMBER($I134),$I134,IF($D134="tomas",IF($H134&gt;0,IF($H134&gt;10,($H134-10)*0.5+10,$H134)/$H134,1),IF($D134="cocina",LOOKUP($E134,{0,1,2,3,4,5,6},{1,1,1,0.9,0.8,0.7,0.65}),IF($D134="220.53",IF($E134&gt;=4,0.75,1),N(INDEX(T_TIPOS,7,4)))))))</f>
        <v>0.8</v>
      </c>
      <c r="K134">
        <f>IF($B134="",1,IF(N(INDEX(T_TIPOS,7,5))&gt;0,INDEX(T_TIPOS,7,5),1))</f>
        <v>1</v>
      </c>
      <c r="L134" s="13">
        <f t="shared" si="169"/>
        <v>0</v>
      </c>
    </row>
    <row r="135" spans="2:12" x14ac:dyDescent="0.45">
      <c r="B135">
        <f>IFERROR(IF(INDEX(T_TIPOS,8,1)="","",INDEX(T_TIPOS,8,1)),"")</f>
        <v>8</v>
      </c>
      <c r="C135" t="str">
        <f>IF($B135="","",INDEX(T_TIPOS,8,2))</f>
        <v>UNIDAD CU-XX</v>
      </c>
      <c r="D135" t="str">
        <f>IF($B135="","",INDEX(T_TIPOS,8,3))</f>
        <v>fijo</v>
      </c>
      <c r="E135">
        <f t="shared" si="165"/>
        <v>0</v>
      </c>
      <c r="F135" s="13">
        <f t="shared" si="166"/>
        <v>0</v>
      </c>
      <c r="G135" s="13">
        <f t="shared" si="167"/>
        <v>0</v>
      </c>
      <c r="H135" s="13">
        <f t="shared" si="168"/>
        <v>0</v>
      </c>
      <c r="I135" s="41"/>
      <c r="J135" s="13">
        <f>IF($B135="",1,IF(ISNUMBER($I135),$I135,IF($D135="tomas",IF($H135&gt;0,IF($H135&gt;10,($H135-10)*0.5+10,$H135)/$H135,1),IF($D135="cocina",LOOKUP($E135,{0,1,2,3,4,5,6},{1,1,1,0.9,0.8,0.7,0.65}),IF($D135="220.53",IF($E135&gt;=4,0.75,1),N(INDEX(T_TIPOS,8,4)))))))</f>
        <v>0.8</v>
      </c>
      <c r="K135">
        <f>IF($B135="",1,IF(N(INDEX(T_TIPOS,8,5))&gt;0,INDEX(T_TIPOS,8,5),1))</f>
        <v>1</v>
      </c>
      <c r="L135" s="13">
        <f t="shared" si="169"/>
        <v>0</v>
      </c>
    </row>
    <row r="136" spans="2:12" x14ac:dyDescent="0.45">
      <c r="B136">
        <f>IFERROR(IF(INDEX(T_TIPOS,9,1)="","",INDEX(T_TIPOS,9,1)),"")</f>
        <v>9</v>
      </c>
      <c r="C136" t="str">
        <f>IF($B136="","",INDEX(T_TIPOS,9,2))</f>
        <v>INYECTOR INY-XX</v>
      </c>
      <c r="D136" t="str">
        <f>IF($B136="","",INDEX(T_TIPOS,9,3))</f>
        <v>fijo</v>
      </c>
      <c r="E136">
        <f t="shared" si="165"/>
        <v>0</v>
      </c>
      <c r="F136" s="13">
        <f t="shared" si="166"/>
        <v>0</v>
      </c>
      <c r="G136" s="13">
        <f t="shared" si="167"/>
        <v>0</v>
      </c>
      <c r="H136" s="13">
        <f t="shared" si="168"/>
        <v>0</v>
      </c>
      <c r="I136" s="41"/>
      <c r="J136" s="13">
        <f>IF($B136="",1,IF(ISNUMBER($I136),$I136,IF($D136="tomas",IF($H136&gt;0,IF($H136&gt;10,($H136-10)*0.5+10,$H136)/$H136,1),IF($D136="cocina",LOOKUP($E136,{0,1,2,3,4,5,6},{1,1,1,0.9,0.8,0.7,0.65}),IF($D136="220.53",IF($E136&gt;=4,0.75,1),N(INDEX(T_TIPOS,9,4)))))))</f>
        <v>0.8</v>
      </c>
      <c r="K136">
        <f>IF($B136="",1,IF(N(INDEX(T_TIPOS,9,5))&gt;0,INDEX(T_TIPOS,9,5),1))</f>
        <v>1</v>
      </c>
      <c r="L136" s="13">
        <f t="shared" si="169"/>
        <v>0</v>
      </c>
    </row>
    <row r="137" spans="2:12" x14ac:dyDescent="0.45">
      <c r="B137">
        <f>IFERROR(IF(INDEX(T_TIPOS,10,1)="","",INDEX(T_TIPOS,10,1)),"")</f>
        <v>10</v>
      </c>
      <c r="C137" t="str">
        <f>IF($B137="","",INDEX(T_TIPOS,10,2))</f>
        <v>EXTRACTOR EXT-XX</v>
      </c>
      <c r="D137" t="str">
        <f>IF($B137="","",INDEX(T_TIPOS,10,3))</f>
        <v>fijo</v>
      </c>
      <c r="E137">
        <f t="shared" si="165"/>
        <v>0</v>
      </c>
      <c r="F137" s="13">
        <f t="shared" si="166"/>
        <v>0</v>
      </c>
      <c r="G137" s="13">
        <f t="shared" si="167"/>
        <v>0</v>
      </c>
      <c r="H137" s="13">
        <f t="shared" si="168"/>
        <v>0</v>
      </c>
      <c r="I137" s="41"/>
      <c r="J137" s="13">
        <f>IF($B137="",1,IF(ISNUMBER($I137),$I137,IF($D137="tomas",IF($H137&gt;0,IF($H137&gt;10,($H137-10)*0.5+10,$H137)/$H137,1),IF($D137="cocina",LOOKUP($E137,{0,1,2,3,4,5,6},{1,1,1,0.9,0.8,0.7,0.65}),IF($D137="220.53",IF($E137&gt;=4,0.75,1),N(INDEX(T_TIPOS,10,4)))))))</f>
        <v>0.8</v>
      </c>
      <c r="K137">
        <f>IF($B137="",1,IF(N(INDEX(T_TIPOS,10,5))&gt;0,INDEX(T_TIPOS,10,5),1))</f>
        <v>1</v>
      </c>
      <c r="L137" s="13">
        <f t="shared" si="169"/>
        <v>0</v>
      </c>
    </row>
    <row r="138" spans="2:12" x14ac:dyDescent="0.45">
      <c r="B138">
        <f>IFERROR(IF(INDEX(T_TIPOS,11,1)="","",INDEX(T_TIPOS,11,1)),"")</f>
        <v>11</v>
      </c>
      <c r="C138" t="str">
        <f>IF($B138="","",INDEX(T_TIPOS,11,2))</f>
        <v>EQUIPOS 220.53 NEC</v>
      </c>
      <c r="D138" t="str">
        <f>IF($B138="","",INDEX(T_TIPOS,11,3))</f>
        <v>fijo</v>
      </c>
      <c r="E138">
        <f t="shared" si="165"/>
        <v>0</v>
      </c>
      <c r="F138" s="13">
        <f t="shared" si="166"/>
        <v>0</v>
      </c>
      <c r="G138" s="13">
        <f t="shared" si="167"/>
        <v>0</v>
      </c>
      <c r="H138" s="13">
        <f t="shared" si="168"/>
        <v>0</v>
      </c>
      <c r="I138" s="41"/>
      <c r="J138" s="13">
        <f>IF($B138="",1,IF(ISNUMBER($I138),$I138,IF($D138="tomas",IF($H138&gt;0,IF($H138&gt;10,($H138-10)*0.5+10,$H138)/$H138,1),IF($D138="cocina",LOOKUP($E138,{0,1,2,3,4,5,6},{1,1,1,0.9,0.8,0.7,0.65}),IF($D138="220.53",IF($E138&gt;=4,0.75,1),N(INDEX(T_TIPOS,11,4)))))))</f>
        <v>0.75</v>
      </c>
      <c r="K138">
        <f>IF($B138="",1,IF(N(INDEX(T_TIPOS,11,5))&gt;0,INDEX(T_TIPOS,11,5),1))</f>
        <v>1</v>
      </c>
      <c r="L138" s="13">
        <f t="shared" si="169"/>
        <v>0</v>
      </c>
    </row>
    <row r="139" spans="2:12" x14ac:dyDescent="0.45">
      <c r="B139">
        <f>IFERROR(IF(INDEX(T_TIPOS,12,1)="","",INDEX(T_TIPOS,12,1)),"")</f>
        <v>12</v>
      </c>
      <c r="C139" t="str">
        <f>IF($B139="","",INDEX(T_TIPOS,12,2))</f>
        <v>EQUIPOS COCINA</v>
      </c>
      <c r="D139" t="str">
        <f>IF($B139="","",INDEX(T_TIPOS,12,3))</f>
        <v>fijo</v>
      </c>
      <c r="E139">
        <f t="shared" si="165"/>
        <v>0</v>
      </c>
      <c r="F139" s="13">
        <f t="shared" si="166"/>
        <v>0</v>
      </c>
      <c r="G139" s="13">
        <f t="shared" si="167"/>
        <v>0</v>
      </c>
      <c r="H139" s="13">
        <f t="shared" si="168"/>
        <v>0</v>
      </c>
      <c r="I139" s="41"/>
      <c r="J139" s="13">
        <f>IF($B139="",1,IF(ISNUMBER($I139),$I139,IF($D139="tomas",IF($H139&gt;0,IF($H139&gt;10,($H139-10)*0.5+10,$H139)/$H139,1),IF($D139="cocina",LOOKUP($E139,{0,1,2,3,4,5,6},{1,1,1,0.9,0.8,0.7,0.65}),IF($D139="220.53",IF($E139&gt;=4,0.75,1),N(INDEX(T_TIPOS,12,4)))))))</f>
        <v>0.65</v>
      </c>
      <c r="K139">
        <f>IF($B139="",1,IF(N(INDEX(T_TIPOS,12,5))&gt;0,INDEX(T_TIPOS,12,5),1))</f>
        <v>1</v>
      </c>
      <c r="L139" s="13">
        <f t="shared" si="169"/>
        <v>0</v>
      </c>
    </row>
    <row r="140" spans="2:12" x14ac:dyDescent="0.45">
      <c r="B140">
        <f>IFERROR(IF(INDEX(T_TIPOS,13,1)="","",INDEX(T_TIPOS,13,1)),"")</f>
        <v>13</v>
      </c>
      <c r="C140" t="str">
        <f>IF($B140="","",INDEX(T_TIPOS,13,2))</f>
        <v>TABLEROS</v>
      </c>
      <c r="D140" t="str">
        <f>IF($B140="","",INDEX(T_TIPOS,13,3))</f>
        <v>fijo</v>
      </c>
      <c r="E140">
        <f t="shared" si="165"/>
        <v>0</v>
      </c>
      <c r="F140" s="13">
        <f t="shared" si="166"/>
        <v>0</v>
      </c>
      <c r="G140" s="13">
        <f t="shared" si="167"/>
        <v>0</v>
      </c>
      <c r="H140" s="13">
        <f t="shared" si="168"/>
        <v>0</v>
      </c>
      <c r="I140" s="41"/>
      <c r="J140" s="13">
        <f>IF($B140="",1,IF(ISNUMBER($I140),$I140,IF($D140="tomas",IF($H140&gt;0,IF($H140&gt;10,($H140-10)*0.5+10,$H140)/$H140,1),IF($D140="cocina",LOOKUP($E140,{0,1,2,3,4,5,6},{1,1,1,0.9,0.8,0.7,0.65}),IF($D140="220.53",IF($E140&gt;=4,0.75,1),N(INDEX(T_TIPOS,13,4)))))))</f>
        <v>0.8</v>
      </c>
      <c r="K140">
        <f>IF($B140="",1,IF(N(INDEX(T_TIPOS,13,5))&gt;0,INDEX(T_TIPOS,13,5),1))</f>
        <v>1</v>
      </c>
      <c r="L140" s="13">
        <f t="shared" si="169"/>
        <v>0</v>
      </c>
    </row>
    <row r="141" spans="2:12" x14ac:dyDescent="0.45">
      <c r="B141" t="str">
        <f>IFERROR(IF(INDEX(T_TIPOS,14,1)="","",INDEX(T_TIPOS,14,1)),"")</f>
        <v/>
      </c>
      <c r="C141" t="str">
        <f>IF($B141="","",INDEX(T_TIPOS,14,2))</f>
        <v/>
      </c>
      <c r="D141" t="str">
        <f>IF($B141="","",INDEX(T_TIPOS,14,3))</f>
        <v/>
      </c>
      <c r="E141">
        <f t="shared" si="165"/>
        <v>0</v>
      </c>
      <c r="F141" s="13">
        <f t="shared" si="166"/>
        <v>0</v>
      </c>
      <c r="G141" s="13">
        <f t="shared" si="167"/>
        <v>0</v>
      </c>
      <c r="H141" s="13">
        <f t="shared" si="168"/>
        <v>0</v>
      </c>
      <c r="I141" s="41"/>
      <c r="J141" s="13">
        <f>IF($B141="",1,IF(ISNUMBER($I141),$I141,IF($D141="tomas",IF($H141&gt;0,IF($H141&gt;10,($H141-10)*0.5+10,$H141)/$H141,1),IF($D141="cocina",LOOKUP($E141,{0,1,2,3,4,5,6},{1,1,1,0.9,0.8,0.7,0.65}),IF($D141="220.53",IF($E141&gt;=4,0.75,1),N(INDEX(T_TIPOS,14,4)))))))</f>
        <v>1</v>
      </c>
      <c r="K141">
        <f>IF($B141="",1,IF(N(INDEX(T_TIPOS,14,5))&gt;0,INDEX(T_TIPOS,14,5),1))</f>
        <v>1</v>
      </c>
      <c r="L141" s="13">
        <f t="shared" si="169"/>
        <v>0</v>
      </c>
    </row>
    <row r="142" spans="2:12" x14ac:dyDescent="0.45">
      <c r="B142" t="str">
        <f>IFERROR(IF(INDEX(T_TIPOS,15,1)="","",INDEX(T_TIPOS,15,1)),"")</f>
        <v/>
      </c>
      <c r="C142" t="str">
        <f>IF($B142="","",INDEX(T_TIPOS,15,2))</f>
        <v/>
      </c>
      <c r="D142" t="str">
        <f>IF($B142="","",INDEX(T_TIPOS,15,3))</f>
        <v/>
      </c>
      <c r="E142">
        <f t="shared" si="165"/>
        <v>0</v>
      </c>
      <c r="F142" s="13">
        <f t="shared" si="166"/>
        <v>0</v>
      </c>
      <c r="G142" s="13">
        <f t="shared" si="167"/>
        <v>0</v>
      </c>
      <c r="H142" s="13">
        <f t="shared" si="168"/>
        <v>0</v>
      </c>
      <c r="I142" s="41"/>
      <c r="J142" s="13">
        <f>IF($B142="",1,IF(ISNUMBER($I142),$I142,IF($D142="tomas",IF($H142&gt;0,IF($H142&gt;10,($H142-10)*0.5+10,$H142)/$H142,1),IF($D142="cocina",LOOKUP($E142,{0,1,2,3,4,5,6},{1,1,1,0.9,0.8,0.7,0.65}),IF($D142="220.53",IF($E142&gt;=4,0.75,1),N(INDEX(T_TIPOS,15,4)))))))</f>
        <v>1</v>
      </c>
      <c r="K142">
        <f>IF($B142="",1,IF(N(INDEX(T_TIPOS,15,5))&gt;0,INDEX(T_TIPOS,15,5),1))</f>
        <v>1</v>
      </c>
      <c r="L142" s="13">
        <f t="shared" si="169"/>
        <v>0</v>
      </c>
    </row>
    <row r="143" spans="2:12" x14ac:dyDescent="0.45">
      <c r="B143" t="str">
        <f>IFERROR(IF(INDEX(T_TIPOS,16,1)="","",INDEX(T_TIPOS,16,1)),"")</f>
        <v/>
      </c>
      <c r="C143" t="str">
        <f>IF($B143="","",INDEX(T_TIPOS,16,2))</f>
        <v/>
      </c>
      <c r="D143" t="str">
        <f>IF($B143="","",INDEX(T_TIPOS,16,3))</f>
        <v/>
      </c>
      <c r="E143">
        <f t="shared" si="165"/>
        <v>0</v>
      </c>
      <c r="F143" s="13">
        <f t="shared" si="166"/>
        <v>0</v>
      </c>
      <c r="G143" s="13">
        <f t="shared" si="167"/>
        <v>0</v>
      </c>
      <c r="H143" s="13">
        <f t="shared" si="168"/>
        <v>0</v>
      </c>
      <c r="I143" s="41"/>
      <c r="J143" s="13">
        <f>IF($B143="",1,IF(ISNUMBER($I143),$I143,IF($D143="tomas",IF($H143&gt;0,IF($H143&gt;10,($H143-10)*0.5+10,$H143)/$H143,1),IF($D143="cocina",LOOKUP($E143,{0,1,2,3,4,5,6},{1,1,1,0.9,0.8,0.7,0.65}),IF($D143="220.53",IF($E143&gt;=4,0.75,1),N(INDEX(T_TIPOS,16,4)))))))</f>
        <v>1</v>
      </c>
      <c r="K143">
        <f>IF($B143="",1,IF(N(INDEX(T_TIPOS,16,5))&gt;0,INDEX(T_TIPOS,16,5),1))</f>
        <v>1</v>
      </c>
      <c r="L143" s="13">
        <f t="shared" si="169"/>
        <v>0</v>
      </c>
    </row>
    <row r="144" spans="2:12" x14ac:dyDescent="0.45">
      <c r="C144" t="s">
        <v>836</v>
      </c>
      <c r="E144">
        <f>IF(CARGA_DERIV="demandada",COUNTIFS($S$25:$S$124,"&lt;&gt;",$X$25:$X$124,"&gt;0",$T$25:$T$124,""),0)</f>
        <v>0</v>
      </c>
      <c r="F144" s="13">
        <f>IF(CARGA_DERIV="demandada",SUMIFS($X$25:$X$124,$S$25:$S$124,"&lt;&gt;",$T$25:$T$124,""),0)</f>
        <v>0</v>
      </c>
      <c r="G144" s="13">
        <f t="shared" si="167"/>
        <v>0</v>
      </c>
      <c r="H144" s="13">
        <f t="shared" si="168"/>
        <v>0</v>
      </c>
      <c r="J144" s="13">
        <v>1</v>
      </c>
      <c r="K144">
        <v>1</v>
      </c>
      <c r="L144" s="13">
        <f>H144</f>
        <v>0</v>
      </c>
    </row>
    <row r="145" spans="3:12" x14ac:dyDescent="0.45">
      <c r="F145" s="13"/>
      <c r="G145" s="13"/>
      <c r="H145" s="13"/>
      <c r="J145" s="13"/>
      <c r="L145" s="13"/>
    </row>
    <row r="146" spans="3:12" ht="14.65" x14ac:dyDescent="0.45">
      <c r="C146" s="14" t="s">
        <v>837</v>
      </c>
      <c r="F146" s="15">
        <f>SUM(F128:F144)</f>
        <v>0</v>
      </c>
      <c r="G146" s="15">
        <f>SUM(G128:G144)</f>
        <v>0</v>
      </c>
      <c r="H146" s="15">
        <f>SUM(H128:H144)</f>
        <v>0</v>
      </c>
      <c r="J146" s="13">
        <f>BX12</f>
        <v>1</v>
      </c>
      <c r="L146" s="15">
        <f>SUM(L128:L144)</f>
        <v>0</v>
      </c>
    </row>
  </sheetData>
  <mergeCells count="18">
    <mergeCell ref="L4:R4"/>
    <mergeCell ref="L3:R3"/>
    <mergeCell ref="L17:R17"/>
    <mergeCell ref="L12:R12"/>
    <mergeCell ref="L7:R7"/>
    <mergeCell ref="L6:R6"/>
    <mergeCell ref="L15:R15"/>
    <mergeCell ref="L16:R16"/>
    <mergeCell ref="L10:R10"/>
    <mergeCell ref="L11:R11"/>
    <mergeCell ref="L5:R5"/>
    <mergeCell ref="L19:R19"/>
    <mergeCell ref="L20:R20"/>
    <mergeCell ref="L8:R8"/>
    <mergeCell ref="L14:R14"/>
    <mergeCell ref="L13:R13"/>
    <mergeCell ref="L9:R9"/>
    <mergeCell ref="L18:R18"/>
  </mergeCells>
  <conditionalFormatting sqref="C15">
    <cfRule type="expression" dxfId="8" priority="1">
      <formula>_xlfn.ISFORMULA(C15)</formula>
    </cfRule>
  </conditionalFormatting>
  <conditionalFormatting sqref="F6:F18">
    <cfRule type="expression" dxfId="7" priority="2">
      <formula>_xlfn.ISFORMULA(F6)</formula>
    </cfRule>
  </conditionalFormatting>
  <conditionalFormatting sqref="F25:F124">
    <cfRule type="expression" dxfId="6" priority="4">
      <formula>_xlfn.ISFORMULA(F25)</formula>
    </cfRule>
  </conditionalFormatting>
  <conditionalFormatting sqref="I7">
    <cfRule type="expression" dxfId="5" priority="3">
      <formula>_xlfn.ISFORMULA(I7)</formula>
    </cfRule>
  </conditionalFormatting>
  <conditionalFormatting sqref="I25:R124">
    <cfRule type="expression" dxfId="4" priority="5">
      <formula>_xlfn.ISFORMULA(I25)</formula>
    </cfRule>
  </conditionalFormatting>
  <dataValidations count="24">
    <dataValidation type="list" allowBlank="1" sqref="C5" xr:uid="{00000000-0002-0000-0A00-000000000000}">
      <formula1>L_TIPO</formula1>
    </dataValidation>
    <dataValidation type="list" allowBlank="1" sqref="C6" xr:uid="{00000000-0002-0000-0A00-000001000000}">
      <formula1>L_SISTEMAS</formula1>
    </dataValidation>
    <dataValidation type="list" allowBlank="1" sqref="C10 I17" xr:uid="{00000000-0002-0000-0A00-000002000000}">
      <formula1>LISTA_TABLEROS</formula1>
    </dataValidation>
    <dataValidation type="list" allowBlank="1" sqref="C15" xr:uid="{00000000-0002-0000-0A00-000003000000}">
      <formula1>L_MARCAS</formula1>
    </dataValidation>
    <dataValidation type="list" allowBlank="1" sqref="C16" xr:uid="{00000000-0002-0000-0A00-000004000000}">
      <formula1>L_PRINCIPAL</formula1>
    </dataValidation>
    <dataValidation type="list" allowBlank="1" sqref="C18" xr:uid="{00000000-0002-0000-0A00-000005000000}">
      <formula1>L_MONTAJES</formula1>
    </dataValidation>
    <dataValidation type="list" allowBlank="1" sqref="C20" xr:uid="{00000000-0002-0000-0A00-000006000000}">
      <formula1>L_CLASE</formula1>
    </dataValidation>
    <dataValidation type="list" allowBlank="1" sqref="F3 L25:L124" xr:uid="{00000000-0002-0000-0A00-000007000000}">
      <formula1>L_MATERIALES</formula1>
    </dataValidation>
    <dataValidation type="list" allowBlank="1" sqref="F4 M25:M124" xr:uid="{00000000-0002-0000-0A00-000008000000}">
      <formula1>L_AISLAMIENTOS</formula1>
    </dataValidation>
    <dataValidation type="list" allowBlank="1" sqref="F5" xr:uid="{00000000-0002-0000-0A00-000009000000}">
      <formula1>L_TUBERIAS</formula1>
    </dataValidation>
    <dataValidation type="list" allowBlank="1" sqref="F11" xr:uid="{00000000-0002-0000-0A00-00000A000000}">
      <formula1>L_TEMPS</formula1>
    </dataValidation>
    <dataValidation type="list" allowBlank="1" sqref="F13" xr:uid="{00000000-0002-0000-0A00-00000B000000}">
      <formula1>L_AGRUP</formula1>
    </dataValidation>
    <dataValidation type="list" allowBlank="1" sqref="F14" xr:uid="{00000000-0002-0000-0A00-00000C000000}">
      <formula1>L_DISPARO</formula1>
    </dataValidation>
    <dataValidation type="list" allowBlank="1" sqref="F15 F19 I3 I10 I14" xr:uid="{00000000-0002-0000-0A00-00000D000000}">
      <formula1>L_SINO</formula1>
    </dataValidation>
    <dataValidation type="list" allowBlank="1" sqref="I15" xr:uid="{00000000-0002-0000-0A00-00000E000000}">
      <formula1>L_TRANSF</formula1>
    </dataValidation>
    <dataValidation type="list" allowBlank="1" sqref="I16" xr:uid="{00000000-0002-0000-0A00-00000F000000}">
      <formula1>L_FUENTE</formula1>
    </dataValidation>
    <dataValidation type="list" allowBlank="1" sqref="I22" xr:uid="{00000000-0002-0000-0A00-000010000000}">
      <formula1>L_TRANSICION</formula1>
    </dataValidation>
    <dataValidation type="decimal" allowBlank="1" showErrorMessage="1" errorTitle="Factor de diversidad" error="El factor de diversidad va de 0 a 1 (por ejemplo 0,8)." sqref="C19 K25:K124" xr:uid="{00000000-0002-0000-0A00-000012000000}">
      <formula1>0.0001</formula1>
      <formula2>1</formula2>
    </dataValidation>
    <dataValidation type="list" allowBlank="1" sqref="Q25:Q124" xr:uid="{00000000-0002-0000-0A00-000014000000}">
      <formula1>L_UNIDADES</formula1>
    </dataValidation>
    <dataValidation type="list" allowBlank="1" sqref="A25:A124" xr:uid="{00000000-0002-0000-0A00-000015000000}">
      <formula1>"SI"</formula1>
    </dataValidation>
    <dataValidation type="list" allowBlank="1" sqref="E25:E124" xr:uid="{00000000-0002-0000-0A00-000016000000}">
      <formula1>L_DET_TXT</formula1>
    </dataValidation>
    <dataValidation type="list" allowBlank="1" sqref="R25:R124 F16" xr:uid="{00000000-0002-0000-0A00-000017000000}">
      <formula1>L_BK_TXT</formula1>
    </dataValidation>
    <dataValidation type="list" allowBlank="1" sqref="F17" xr:uid="{00000000-0002-0000-0A00-000019000000}">
      <formula1>L_TAB_TXT</formula1>
    </dataValidation>
    <dataValidation type="list" allowBlank="1" sqref="F18" xr:uid="{00000000-0002-0000-0A00-00001A000000}">
      <formula1>L_SPD_TXT</formula1>
    </dataValidation>
  </dataValidations>
  <pageMargins left="0.75" right="0.75" top="1" bottom="1" header="0.5" footer="0.5"/>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B1:AM114"/>
  <sheetViews>
    <sheetView showGridLines="0" zoomScale="60" workbookViewId="0"/>
  </sheetViews>
  <sheetFormatPr defaultRowHeight="14.25" x14ac:dyDescent="0.45"/>
  <cols>
    <col min="1" max="1" width="1.46484375" customWidth="1"/>
    <col min="2" max="2" width="22.796875" customWidth="1"/>
    <col min="3" max="3" width="2.796875" customWidth="1"/>
    <col min="4" max="4" width="6.19921875" customWidth="1"/>
    <col min="5" max="5" width="5" customWidth="1"/>
    <col min="6" max="6" width="4.796875" customWidth="1"/>
    <col min="7" max="7" width="21.06640625" customWidth="1"/>
    <col min="8" max="8" width="32.06640625" customWidth="1"/>
    <col min="9" max="9" width="18.06640625" customWidth="1"/>
    <col min="10" max="10" width="15.796875" customWidth="1"/>
    <col min="11" max="11" width="13.796875" customWidth="1"/>
    <col min="12" max="12" width="13.86328125" customWidth="1"/>
    <col min="13" max="13" width="13.46484375" customWidth="1"/>
    <col min="14" max="14" width="16.06640625" customWidth="1"/>
    <col min="15" max="15" width="22.19921875" customWidth="1"/>
    <col min="16" max="16" width="13.86328125" customWidth="1"/>
    <col min="17" max="17" width="12" customWidth="1"/>
    <col min="18" max="18" width="13" customWidth="1"/>
    <col min="19" max="19" width="18.06640625" customWidth="1"/>
    <col min="20" max="20" width="16.19921875" customWidth="1"/>
    <col min="21" max="21" width="13.19921875" customWidth="1"/>
    <col min="22" max="22" width="15.796875" customWidth="1"/>
    <col min="23" max="23" width="15.19921875" customWidth="1"/>
    <col min="24" max="24" width="18.06640625" customWidth="1"/>
    <col min="25" max="25" width="2.796875" customWidth="1"/>
    <col min="26" max="26" width="6.06640625" customWidth="1"/>
    <col min="27" max="27" width="5.06640625" customWidth="1"/>
    <col min="28" max="28" width="5.46484375" customWidth="1"/>
    <col min="29" max="29" width="7" customWidth="1"/>
    <col min="30" max="30" width="7.46484375" customWidth="1"/>
    <col min="31" max="31" width="6" customWidth="1"/>
    <col min="32" max="32" width="5.796875" customWidth="1"/>
    <col min="33" max="33" width="7.46484375" customWidth="1"/>
    <col min="34" max="34" width="5.796875" customWidth="1"/>
    <col min="35" max="35" width="12.46484375" customWidth="1"/>
    <col min="36" max="36" width="4.46484375" customWidth="1"/>
    <col min="38" max="39" width="13" hidden="1" customWidth="1"/>
  </cols>
  <sheetData>
    <row r="1" spans="2:39" ht="61.05" customHeight="1" x14ac:dyDescent="0.45">
      <c r="B1" s="80" t="str">
        <f>MC_MACHOTE!$BX$2</f>
        <v>TABLERO MACHOTE</v>
      </c>
      <c r="C1" s="53"/>
      <c r="D1" s="53"/>
      <c r="E1" s="53"/>
      <c r="F1" s="53"/>
      <c r="G1" s="53"/>
      <c r="H1" s="53"/>
      <c r="I1" s="53"/>
      <c r="J1" s="53"/>
      <c r="K1" s="53"/>
      <c r="L1" s="54"/>
      <c r="M1" s="67" t="s">
        <v>838</v>
      </c>
      <c r="N1" s="61"/>
      <c r="O1" s="51"/>
      <c r="P1" s="76"/>
      <c r="Q1" s="53"/>
      <c r="R1" s="53"/>
      <c r="S1" s="53"/>
      <c r="T1" s="53"/>
      <c r="U1" s="53"/>
      <c r="V1" s="53"/>
      <c r="W1" s="53"/>
      <c r="X1" s="53"/>
      <c r="Y1" s="53"/>
      <c r="Z1" s="53"/>
      <c r="AA1" s="53"/>
      <c r="AB1" s="53"/>
      <c r="AC1" s="53"/>
      <c r="AD1" s="53"/>
      <c r="AE1" s="53"/>
      <c r="AF1" s="53"/>
      <c r="AG1" s="53"/>
      <c r="AH1" s="53"/>
      <c r="AI1" s="53"/>
      <c r="AJ1" s="54"/>
    </row>
    <row r="2" spans="2:39" ht="56" customHeight="1" x14ac:dyDescent="0.45">
      <c r="B2" s="58"/>
      <c r="C2" s="59"/>
      <c r="D2" s="59"/>
      <c r="E2" s="59"/>
      <c r="F2" s="59"/>
      <c r="G2" s="59"/>
      <c r="H2" s="59"/>
      <c r="I2" s="59"/>
      <c r="J2" s="59"/>
      <c r="K2" s="59"/>
      <c r="L2" s="60"/>
      <c r="M2" s="76" t="str">
        <f>MC_MACHOTE!$BX$98</f>
        <v/>
      </c>
      <c r="N2" s="77"/>
      <c r="O2" s="78"/>
      <c r="P2" s="58"/>
      <c r="Q2" s="59"/>
      <c r="R2" s="59"/>
      <c r="S2" s="59"/>
      <c r="T2" s="59"/>
      <c r="U2" s="59"/>
      <c r="V2" s="59"/>
      <c r="W2" s="59"/>
      <c r="X2" s="59"/>
      <c r="Y2" s="59"/>
      <c r="Z2" s="59"/>
      <c r="AA2" s="59"/>
      <c r="AB2" s="59"/>
      <c r="AC2" s="59"/>
      <c r="AD2" s="59"/>
      <c r="AE2" s="59"/>
      <c r="AF2" s="59"/>
      <c r="AG2" s="59"/>
      <c r="AH2" s="59"/>
      <c r="AI2" s="59"/>
      <c r="AJ2" s="60"/>
    </row>
    <row r="3" spans="2:39" ht="48" customHeight="1" x14ac:dyDescent="0.45">
      <c r="B3" s="67" t="s">
        <v>839</v>
      </c>
      <c r="C3" s="61"/>
      <c r="D3" s="61"/>
      <c r="E3" s="61"/>
      <c r="F3" s="61"/>
      <c r="G3" s="61"/>
      <c r="H3" s="61"/>
      <c r="I3" s="61"/>
      <c r="J3" s="61"/>
      <c r="K3" s="61"/>
      <c r="L3" s="61"/>
      <c r="M3" s="61"/>
      <c r="N3" s="61"/>
      <c r="O3" s="51"/>
      <c r="P3" s="67" t="s">
        <v>840</v>
      </c>
      <c r="Q3" s="61"/>
      <c r="R3" s="61"/>
      <c r="S3" s="61"/>
      <c r="T3" s="61"/>
      <c r="U3" s="61"/>
      <c r="V3" s="61"/>
      <c r="W3" s="61"/>
      <c r="X3" s="61"/>
      <c r="Y3" s="61"/>
      <c r="Z3" s="61"/>
      <c r="AA3" s="61"/>
      <c r="AB3" s="61"/>
      <c r="AC3" s="61"/>
      <c r="AD3" s="61"/>
      <c r="AE3" s="61"/>
      <c r="AF3" s="61"/>
      <c r="AG3" s="61"/>
      <c r="AH3" s="61"/>
      <c r="AI3" s="61"/>
      <c r="AJ3" s="51"/>
    </row>
    <row r="4" spans="2:39" ht="23" customHeight="1" x14ac:dyDescent="0.45">
      <c r="B4" s="70" t="s">
        <v>841</v>
      </c>
      <c r="C4" s="71"/>
      <c r="D4" s="71"/>
      <c r="E4" s="71"/>
      <c r="F4" s="72"/>
      <c r="G4" s="70" t="s">
        <v>842</v>
      </c>
      <c r="H4" s="70" t="s">
        <v>843</v>
      </c>
      <c r="I4" s="70" t="s">
        <v>56</v>
      </c>
      <c r="J4" s="70" t="s">
        <v>57</v>
      </c>
      <c r="K4" s="70" t="s">
        <v>844</v>
      </c>
      <c r="L4" s="70" t="s">
        <v>845</v>
      </c>
      <c r="M4" s="61"/>
      <c r="N4" s="51"/>
      <c r="O4" s="70" t="s">
        <v>846</v>
      </c>
      <c r="P4" s="70" t="s">
        <v>847</v>
      </c>
      <c r="Q4" s="72"/>
      <c r="R4" s="70" t="s">
        <v>74</v>
      </c>
      <c r="S4" s="70" t="s">
        <v>124</v>
      </c>
      <c r="T4" s="70" t="s">
        <v>67</v>
      </c>
      <c r="U4" s="72"/>
      <c r="V4" s="70" t="s">
        <v>68</v>
      </c>
      <c r="W4" s="70" t="s">
        <v>71</v>
      </c>
      <c r="X4" s="70" t="s">
        <v>848</v>
      </c>
      <c r="Y4" s="61"/>
      <c r="Z4" s="61"/>
      <c r="AA4" s="61"/>
      <c r="AB4" s="61"/>
      <c r="AC4" s="61"/>
      <c r="AD4" s="61"/>
      <c r="AE4" s="51"/>
      <c r="AF4" s="70" t="s">
        <v>70</v>
      </c>
      <c r="AG4" s="72"/>
      <c r="AH4" s="70" t="s">
        <v>849</v>
      </c>
      <c r="AI4" s="71"/>
      <c r="AJ4" s="72"/>
    </row>
    <row r="5" spans="2:39" ht="23" customHeight="1" x14ac:dyDescent="0.45">
      <c r="B5" s="73"/>
      <c r="C5" s="74"/>
      <c r="D5" s="74"/>
      <c r="E5" s="74"/>
      <c r="F5" s="75"/>
      <c r="G5" s="50"/>
      <c r="H5" s="50"/>
      <c r="I5" s="50"/>
      <c r="J5" s="50"/>
      <c r="K5" s="50"/>
      <c r="L5" s="42" t="s">
        <v>850</v>
      </c>
      <c r="M5" s="42" t="s">
        <v>851</v>
      </c>
      <c r="N5" s="42" t="s">
        <v>852</v>
      </c>
      <c r="O5" s="50"/>
      <c r="P5" s="73"/>
      <c r="Q5" s="75"/>
      <c r="R5" s="50"/>
      <c r="S5" s="50"/>
      <c r="T5" s="73"/>
      <c r="U5" s="75"/>
      <c r="V5" s="50"/>
      <c r="W5" s="50"/>
      <c r="X5" s="70" t="s">
        <v>74</v>
      </c>
      <c r="Y5" s="61"/>
      <c r="Z5" s="61"/>
      <c r="AA5" s="51"/>
      <c r="AB5" s="70" t="s">
        <v>88</v>
      </c>
      <c r="AC5" s="51"/>
      <c r="AD5" s="70" t="s">
        <v>89</v>
      </c>
      <c r="AE5" s="51"/>
      <c r="AF5" s="73"/>
      <c r="AG5" s="75"/>
      <c r="AH5" s="73"/>
      <c r="AI5" s="74"/>
      <c r="AJ5" s="75"/>
    </row>
    <row r="6" spans="2:39" ht="38" customHeight="1" x14ac:dyDescent="0.45">
      <c r="B6" s="68">
        <f>MC_MACHOTE!$BX$10</f>
        <v>0</v>
      </c>
      <c r="C6" s="61"/>
      <c r="D6" s="61"/>
      <c r="E6" s="61"/>
      <c r="F6" s="51"/>
      <c r="G6" s="43">
        <f>MC_MACHOTE!$BX$14</f>
        <v>0</v>
      </c>
      <c r="H6" s="44">
        <f>MC_MACHOTE!$C$13</f>
        <v>0.1</v>
      </c>
      <c r="I6" s="43">
        <f>MC_MACHOTE!$BX$12</f>
        <v>1</v>
      </c>
      <c r="J6" s="43">
        <f>MC_MACHOTE!$BX$13</f>
        <v>1</v>
      </c>
      <c r="K6" s="43">
        <f>MC_MACHOTE!$BX$15</f>
        <v>0.9</v>
      </c>
      <c r="L6" s="45">
        <f>MC_MACHOTE!$BX$19</f>
        <v>0</v>
      </c>
      <c r="M6" s="45">
        <f>MC_MACHOTE!$BX$20</f>
        <v>0</v>
      </c>
      <c r="N6" s="45">
        <f>MC_MACHOTE!$BX$21</f>
        <v>0</v>
      </c>
      <c r="O6" s="43">
        <f>MC_MACHOTE!$BX$58</f>
        <v>0</v>
      </c>
      <c r="P6" s="69" t="str">
        <f>MC_MACHOTE!$C$6</f>
        <v>120/208</v>
      </c>
      <c r="Q6" s="51"/>
      <c r="R6" s="46">
        <f>MC_MACHOTE!$C$8</f>
        <v>3</v>
      </c>
      <c r="S6" s="46">
        <f>MC_MACHOTE!$C$9</f>
        <v>4</v>
      </c>
      <c r="T6" s="69" t="str">
        <f>MC_MACHOTE!$BX$63</f>
        <v>CH30B3150L</v>
      </c>
      <c r="U6" s="51"/>
      <c r="V6" s="46" t="str">
        <f>MC_MACHOTE!$BX$60</f>
        <v>Eaton</v>
      </c>
      <c r="W6" s="46" t="str">
        <f>MC_MACHOTE!$C$18</f>
        <v>Superficial</v>
      </c>
      <c r="X6" s="69">
        <f>MC_MACHOTE!$BX$64</f>
        <v>150</v>
      </c>
      <c r="Y6" s="61"/>
      <c r="Z6" s="61"/>
      <c r="AA6" s="51"/>
      <c r="AB6" s="69">
        <f>MC_MACHOTE!$BX$65</f>
        <v>150</v>
      </c>
      <c r="AC6" s="51"/>
      <c r="AD6" s="69">
        <f>MC_MACHOTE!$BX$66</f>
        <v>150</v>
      </c>
      <c r="AE6" s="51"/>
      <c r="AF6" s="69">
        <f>MC_MACHOTE!$BX$67</f>
        <v>30</v>
      </c>
      <c r="AG6" s="51"/>
      <c r="AH6" s="68">
        <f>MC_MACHOTE!$BX$7</f>
        <v>0</v>
      </c>
      <c r="AI6" s="61"/>
      <c r="AJ6" s="51"/>
    </row>
    <row r="7" spans="2:39" ht="38" customHeight="1" x14ac:dyDescent="0.45">
      <c r="B7" s="67" t="s">
        <v>853</v>
      </c>
      <c r="C7" s="61"/>
      <c r="D7" s="61"/>
      <c r="E7" s="61"/>
      <c r="F7" s="61"/>
      <c r="G7" s="61"/>
      <c r="H7" s="61"/>
      <c r="I7" s="61"/>
      <c r="J7" s="61"/>
      <c r="K7" s="61"/>
      <c r="L7" s="61"/>
      <c r="M7" s="61"/>
      <c r="N7" s="61"/>
      <c r="O7" s="51"/>
      <c r="P7" s="67" t="s">
        <v>854</v>
      </c>
      <c r="Q7" s="61"/>
      <c r="R7" s="61"/>
      <c r="S7" s="61"/>
      <c r="T7" s="61"/>
      <c r="U7" s="61"/>
      <c r="V7" s="61"/>
      <c r="W7" s="51"/>
      <c r="X7" s="67" t="s">
        <v>855</v>
      </c>
      <c r="Y7" s="61"/>
      <c r="Z7" s="61"/>
      <c r="AA7" s="61"/>
      <c r="AB7" s="61"/>
      <c r="AC7" s="61"/>
      <c r="AD7" s="61"/>
      <c r="AE7" s="61"/>
      <c r="AF7" s="61"/>
      <c r="AG7" s="61"/>
      <c r="AH7" s="61"/>
      <c r="AI7" s="61"/>
      <c r="AJ7" s="51"/>
    </row>
    <row r="8" spans="2:39" ht="38" customHeight="1" x14ac:dyDescent="0.45">
      <c r="B8" s="70" t="s">
        <v>80</v>
      </c>
      <c r="C8" s="61"/>
      <c r="D8" s="61"/>
      <c r="E8" s="61"/>
      <c r="F8" s="51"/>
      <c r="G8" s="42" t="s">
        <v>81</v>
      </c>
      <c r="H8" s="42" t="s">
        <v>82</v>
      </c>
      <c r="I8" s="42" t="s">
        <v>83</v>
      </c>
      <c r="J8" s="42" t="s">
        <v>84</v>
      </c>
      <c r="K8" s="42" t="s">
        <v>856</v>
      </c>
      <c r="L8" s="42" t="s">
        <v>61</v>
      </c>
      <c r="M8" s="42" t="s">
        <v>73</v>
      </c>
      <c r="N8" s="42" t="s">
        <v>857</v>
      </c>
      <c r="O8" s="42" t="s">
        <v>858</v>
      </c>
      <c r="P8" s="70" t="s">
        <v>67</v>
      </c>
      <c r="Q8" s="61"/>
      <c r="R8" s="51"/>
      <c r="S8" s="42" t="s">
        <v>859</v>
      </c>
      <c r="T8" s="42" t="s">
        <v>75</v>
      </c>
      <c r="U8" s="42" t="s">
        <v>35</v>
      </c>
      <c r="V8" s="42" t="s">
        <v>436</v>
      </c>
      <c r="W8" s="42" t="s">
        <v>79</v>
      </c>
      <c r="X8" s="70" t="s">
        <v>67</v>
      </c>
      <c r="Y8" s="61"/>
      <c r="Z8" s="61"/>
      <c r="AA8" s="61"/>
      <c r="AB8" s="61"/>
      <c r="AC8" s="51"/>
      <c r="AD8" s="70" t="s">
        <v>72</v>
      </c>
      <c r="AE8" s="61"/>
      <c r="AF8" s="51"/>
      <c r="AG8" s="70"/>
      <c r="AH8" s="72"/>
      <c r="AI8" s="70" t="s">
        <v>71</v>
      </c>
      <c r="AJ8" s="51"/>
    </row>
    <row r="9" spans="2:39" ht="38" customHeight="1" x14ac:dyDescent="0.45">
      <c r="B9" s="69" t="str">
        <f>MC_MACHOTE!$BX$99</f>
        <v/>
      </c>
      <c r="C9" s="61"/>
      <c r="D9" s="61"/>
      <c r="E9" s="61"/>
      <c r="F9" s="51"/>
      <c r="G9" s="46" t="str">
        <f>MC_MACHOTE!$BX$100</f>
        <v/>
      </c>
      <c r="H9" s="46" t="str">
        <f>MC_MACHOTE!$BX$101</f>
        <v/>
      </c>
      <c r="I9" s="46" t="str">
        <f>MC_MACHOTE!$F$3</f>
        <v>CU</v>
      </c>
      <c r="J9" s="46" t="str">
        <f>MC_MACHOTE!$F$4</f>
        <v>XHHW-2</v>
      </c>
      <c r="K9" s="46" t="str">
        <f>MC_MACHOTE!$BX$102</f>
        <v/>
      </c>
      <c r="L9" s="45">
        <f>MC_MACHOTE!$BX$40</f>
        <v>10</v>
      </c>
      <c r="M9" s="43">
        <f>MC_MACHOTE!$BX$49</f>
        <v>208</v>
      </c>
      <c r="N9" s="43">
        <f>MC_MACHOTE!$BX$50</f>
        <v>0</v>
      </c>
      <c r="O9" s="43">
        <f>MC_MACHOTE!$BX$51</f>
        <v>0</v>
      </c>
      <c r="P9" s="69" t="str">
        <f>MC_MACHOTE!$BX$72</f>
        <v/>
      </c>
      <c r="Q9" s="61"/>
      <c r="R9" s="51"/>
      <c r="S9" s="46" t="str">
        <f>MC_MACHOTE!$BX$24</f>
        <v/>
      </c>
      <c r="T9" s="46" t="str">
        <f>MC_MACHOTE!$BX$75</f>
        <v/>
      </c>
      <c r="U9" s="46" t="str">
        <f>MC_MACHOTE!$BX$73</f>
        <v/>
      </c>
      <c r="V9" s="46" t="str">
        <f>MC_MACHOTE!$BX$76</f>
        <v/>
      </c>
      <c r="W9" s="46" t="str">
        <f>MC_MACHOTE!$BX$74</f>
        <v/>
      </c>
      <c r="X9" s="69" t="str">
        <f>MC_MACHOTE!$BX$79</f>
        <v>SPD 250 208Y 3 C</v>
      </c>
      <c r="Y9" s="61"/>
      <c r="Z9" s="61"/>
      <c r="AA9" s="61"/>
      <c r="AB9" s="61"/>
      <c r="AC9" s="51"/>
      <c r="AD9" s="69">
        <f>MC_MACHOTE!$BX$80</f>
        <v>250</v>
      </c>
      <c r="AE9" s="61"/>
      <c r="AF9" s="51"/>
      <c r="AG9" s="73"/>
      <c r="AH9" s="75"/>
      <c r="AI9" s="69" t="str">
        <f>MC_MACHOTE!$BX$82</f>
        <v>Interno</v>
      </c>
      <c r="AJ9" s="51"/>
    </row>
    <row r="10" spans="2:39" ht="38" customHeight="1" x14ac:dyDescent="0.45">
      <c r="B10" s="67" t="s">
        <v>860</v>
      </c>
      <c r="C10" s="61"/>
      <c r="D10" s="61"/>
      <c r="E10" s="61"/>
      <c r="F10" s="61"/>
      <c r="G10" s="61"/>
      <c r="H10" s="61"/>
      <c r="I10" s="61"/>
      <c r="J10" s="61"/>
      <c r="K10" s="61"/>
      <c r="L10" s="61"/>
      <c r="M10" s="61"/>
      <c r="N10" s="61"/>
      <c r="O10" s="61"/>
      <c r="P10" s="61"/>
      <c r="Q10" s="61"/>
      <c r="R10" s="61"/>
      <c r="S10" s="61"/>
      <c r="T10" s="61"/>
      <c r="U10" s="61"/>
      <c r="V10" s="61"/>
      <c r="W10" s="51"/>
      <c r="X10" s="67" t="s">
        <v>861</v>
      </c>
      <c r="Y10" s="61"/>
      <c r="Z10" s="61"/>
      <c r="AA10" s="61"/>
      <c r="AB10" s="61"/>
      <c r="AC10" s="61"/>
      <c r="AD10" s="61"/>
      <c r="AE10" s="61"/>
      <c r="AF10" s="61"/>
      <c r="AG10" s="61"/>
      <c r="AH10" s="61"/>
      <c r="AI10" s="61"/>
      <c r="AJ10" s="51"/>
    </row>
    <row r="11" spans="2:39" ht="22.05" customHeight="1" x14ac:dyDescent="0.45">
      <c r="B11" s="70" t="s">
        <v>862</v>
      </c>
      <c r="C11" s="71"/>
      <c r="D11" s="71"/>
      <c r="E11" s="71"/>
      <c r="F11" s="72"/>
      <c r="G11" s="70" t="s">
        <v>863</v>
      </c>
      <c r="H11" s="72"/>
      <c r="I11" s="70" t="s">
        <v>864</v>
      </c>
      <c r="J11" s="70" t="s">
        <v>858</v>
      </c>
      <c r="K11" s="70" t="s">
        <v>865</v>
      </c>
      <c r="L11" s="61"/>
      <c r="M11" s="61"/>
      <c r="N11" s="61"/>
      <c r="O11" s="61"/>
      <c r="P11" s="61"/>
      <c r="Q11" s="51"/>
      <c r="R11" s="70" t="s">
        <v>866</v>
      </c>
      <c r="S11" s="61"/>
      <c r="T11" s="61"/>
      <c r="U11" s="61"/>
      <c r="V11" s="51"/>
      <c r="W11" s="42" t="s">
        <v>867</v>
      </c>
      <c r="X11" s="70" t="s">
        <v>862</v>
      </c>
      <c r="Y11" s="71"/>
      <c r="Z11" s="71"/>
      <c r="AA11" s="71"/>
      <c r="AB11" s="72"/>
      <c r="AC11" s="70" t="s">
        <v>868</v>
      </c>
      <c r="AD11" s="61"/>
      <c r="AE11" s="51"/>
      <c r="AF11" s="70" t="s">
        <v>868</v>
      </c>
      <c r="AG11" s="61"/>
      <c r="AH11" s="51"/>
      <c r="AI11" s="70" t="s">
        <v>868</v>
      </c>
      <c r="AJ11" s="51"/>
    </row>
    <row r="12" spans="2:39" ht="45" customHeight="1" x14ac:dyDescent="0.45">
      <c r="B12" s="73"/>
      <c r="C12" s="74"/>
      <c r="D12" s="74"/>
      <c r="E12" s="74"/>
      <c r="F12" s="75"/>
      <c r="G12" s="73"/>
      <c r="H12" s="75"/>
      <c r="I12" s="50"/>
      <c r="J12" s="50"/>
      <c r="K12" s="70" t="s">
        <v>67</v>
      </c>
      <c r="L12" s="51"/>
      <c r="M12" s="42" t="s">
        <v>75</v>
      </c>
      <c r="N12" s="42" t="s">
        <v>76</v>
      </c>
      <c r="O12" s="42" t="s">
        <v>77</v>
      </c>
      <c r="P12" s="42" t="s">
        <v>436</v>
      </c>
      <c r="Q12" s="42" t="s">
        <v>79</v>
      </c>
      <c r="R12" s="42" t="s">
        <v>74</v>
      </c>
      <c r="S12" s="42" t="s">
        <v>88</v>
      </c>
      <c r="T12" s="42" t="s">
        <v>89</v>
      </c>
      <c r="U12" s="42" t="s">
        <v>35</v>
      </c>
      <c r="V12" s="42" t="s">
        <v>84</v>
      </c>
      <c r="W12" s="42" t="s">
        <v>86</v>
      </c>
      <c r="X12" s="73"/>
      <c r="Y12" s="74"/>
      <c r="Z12" s="74"/>
      <c r="AA12" s="74"/>
      <c r="AB12" s="75"/>
      <c r="AC12" s="70" t="s">
        <v>869</v>
      </c>
      <c r="AD12" s="61"/>
      <c r="AE12" s="51"/>
      <c r="AF12" s="70" t="s">
        <v>870</v>
      </c>
      <c r="AG12" s="61"/>
      <c r="AH12" s="51"/>
      <c r="AI12" s="70" t="s">
        <v>871</v>
      </c>
      <c r="AJ12" s="51"/>
    </row>
    <row r="13" spans="2:39" ht="23.45" customHeight="1" x14ac:dyDescent="0.45">
      <c r="B13" s="47" t="str">
        <f>MC_MACHOTE!$C$3</f>
        <v>MACHOTE</v>
      </c>
      <c r="C13" s="46" t="s">
        <v>872</v>
      </c>
      <c r="D13" s="47">
        <v>1</v>
      </c>
      <c r="E13" s="47" t="str">
        <f>IF(MC_MACHOTE!$X$25&gt;0,MC_MACHOTE!$CA$25,"")</f>
        <v/>
      </c>
      <c r="F13" s="47" t="str">
        <f>IF(MC_MACHOTE!$X$25&gt;0,MC_MACHOTE!$CB$25,"")</f>
        <v/>
      </c>
      <c r="G13" s="69" t="str">
        <f>IF(MC_MACHOTE!$X$25&gt;0,MC_MACHOTE!$W$25,"")</f>
        <v/>
      </c>
      <c r="H13" s="51"/>
      <c r="I13" s="43" t="str">
        <f>IF(MC_MACHOTE!$X$25&gt;0,MC_MACHOTE!$X$25,"")</f>
        <v/>
      </c>
      <c r="J13" s="43" t="str">
        <f>IF(MC_MACHOTE!$X$25&gt;0,MC_MACHOTE!$BH$25,"")</f>
        <v/>
      </c>
      <c r="K13" s="69" t="str">
        <f>IF(MC_MACHOTE!$X$25&gt;0,MC_MACHOTE!$BL$25,"")</f>
        <v/>
      </c>
      <c r="L13" s="51"/>
      <c r="M13" s="46" t="str">
        <f>IF(MC_MACHOTE!$X$25&gt;0,IF(N(MC_MACHOTE!$BP$25)&gt;0,MC_MACHOTE!$BP$25,""),"")</f>
        <v/>
      </c>
      <c r="N13" s="46" t="str">
        <f>IF(MC_MACHOTE!$X$25&gt;0,MC_MACHOTE!$AT$25,"")</f>
        <v/>
      </c>
      <c r="O13" s="46" t="str">
        <f>IF(MC_MACHOTE!$X$25&gt;0,MC_MACHOTE!$BO$25,"")</f>
        <v/>
      </c>
      <c r="P13" s="46" t="str">
        <f>IF(MC_MACHOTE!$X$25&gt;0,MC_MACHOTE!$BI$25,"")</f>
        <v/>
      </c>
      <c r="Q13" s="46" t="str">
        <f>IF(MC_MACHOTE!$X$25&gt;0,MC_MACHOTE!$BM$25,"")</f>
        <v/>
      </c>
      <c r="R13" s="46" t="str">
        <f>IF(MC_MACHOTE!$X$25&gt;0,MC_MACHOTE!$BQ$25,"")</f>
        <v/>
      </c>
      <c r="S13" s="46" t="str">
        <f>IF(MC_MACHOTE!$X$25&gt;0,MC_MACHOTE!$BR$25,"")</f>
        <v/>
      </c>
      <c r="T13" s="46" t="str">
        <f>IF(MC_MACHOTE!$X$25&gt;0,MC_MACHOTE!$BS$25,"")</f>
        <v/>
      </c>
      <c r="U13" s="46" t="str">
        <f>IF(MC_MACHOTE!$X$25&gt;0,IF(MC_MACHOTE!$L$25="","CU",IF(MC_MACHOTE!$L$25="AL-MC","AL",MC_MACHOTE!$L$25)),"")</f>
        <v/>
      </c>
      <c r="V13" s="46" t="str">
        <f>IF(MC_MACHOTE!$X$25&gt;0,IF(MC_MACHOTE!$M$25="","THHN",MC_MACHOTE!$M$25),"")</f>
        <v/>
      </c>
      <c r="W13" s="46" t="str">
        <f>IF(MC_MACHOTE!$X$25&gt;0,MC_MACHOTE!$BT$25,"")</f>
        <v/>
      </c>
      <c r="X13" s="47" t="str">
        <f>MC_MACHOTE!$C$3</f>
        <v>MACHOTE</v>
      </c>
      <c r="Y13" s="46" t="s">
        <v>872</v>
      </c>
      <c r="Z13" s="47">
        <v>1</v>
      </c>
      <c r="AA13" s="47" t="str">
        <f t="shared" ref="AA13:AA44" si="0">E13</f>
        <v/>
      </c>
      <c r="AB13" s="47" t="str">
        <f t="shared" ref="AB13:AB44" si="1">F13</f>
        <v/>
      </c>
      <c r="AC13" s="68" t="str">
        <f>IF(MC_MACHOTE!$X$25&gt;0,IF(MC_MACHOTE!$AJ$25&gt;0,MC_MACHOTE!$AJ$25,""),"")</f>
        <v/>
      </c>
      <c r="AD13" s="61"/>
      <c r="AE13" s="51"/>
      <c r="AF13" s="68" t="str">
        <f>IF(MC_MACHOTE!$X$25&gt;0,IF(MC_MACHOTE!$AK$25&gt;0,MC_MACHOTE!$AK$25,""),"")</f>
        <v/>
      </c>
      <c r="AG13" s="61"/>
      <c r="AH13" s="51"/>
      <c r="AI13" s="68" t="str">
        <f>IF(MC_MACHOTE!$X$25&gt;0,IF(MC_MACHOTE!$AL$25&gt;0,MC_MACHOTE!$AL$25,""),"")</f>
        <v/>
      </c>
      <c r="AJ13" s="51"/>
      <c r="AL13" t="b">
        <f>COUNTIF(MC_MACHOTE!$CA$25:$CB$124,1)&gt;0</f>
        <v>0</v>
      </c>
      <c r="AM13">
        <v>1</v>
      </c>
    </row>
    <row r="14" spans="2:39" ht="23.45" customHeight="1" x14ac:dyDescent="0.45">
      <c r="B14" s="47" t="str">
        <f>MC_MACHOTE!$C$3</f>
        <v>MACHOTE</v>
      </c>
      <c r="C14" s="46" t="s">
        <v>872</v>
      </c>
      <c r="D14" s="47">
        <v>3</v>
      </c>
      <c r="E14" s="47" t="str">
        <f>IF(MC_MACHOTE!$X$26&gt;0,MC_MACHOTE!$CA$26,"")</f>
        <v/>
      </c>
      <c r="F14" s="47" t="str">
        <f>IF(MC_MACHOTE!$X$26&gt;0,MC_MACHOTE!$CB$26,"")</f>
        <v/>
      </c>
      <c r="G14" s="69" t="str">
        <f>IF(MC_MACHOTE!$X$26&gt;0,MC_MACHOTE!$W$26,"")</f>
        <v/>
      </c>
      <c r="H14" s="51"/>
      <c r="I14" s="43" t="str">
        <f>IF(MC_MACHOTE!$X$26&gt;0,MC_MACHOTE!$X$26,"")</f>
        <v/>
      </c>
      <c r="J14" s="43" t="str">
        <f>IF(MC_MACHOTE!$X$26&gt;0,MC_MACHOTE!$BH$26,"")</f>
        <v/>
      </c>
      <c r="K14" s="69" t="str">
        <f>IF(MC_MACHOTE!$X$26&gt;0,MC_MACHOTE!$BL$26,"")</f>
        <v/>
      </c>
      <c r="L14" s="51"/>
      <c r="M14" s="46" t="str">
        <f>IF(MC_MACHOTE!$X$26&gt;0,IF(N(MC_MACHOTE!$BP$26)&gt;0,MC_MACHOTE!$BP$26,""),"")</f>
        <v/>
      </c>
      <c r="N14" s="46" t="str">
        <f>IF(MC_MACHOTE!$X$26&gt;0,MC_MACHOTE!$AT$26,"")</f>
        <v/>
      </c>
      <c r="O14" s="46" t="str">
        <f>IF(MC_MACHOTE!$X$26&gt;0,MC_MACHOTE!$BO$26,"")</f>
        <v/>
      </c>
      <c r="P14" s="46" t="str">
        <f>IF(MC_MACHOTE!$X$26&gt;0,MC_MACHOTE!$BI$26,"")</f>
        <v/>
      </c>
      <c r="Q14" s="46" t="str">
        <f>IF(MC_MACHOTE!$X$26&gt;0,MC_MACHOTE!$BM$26,"")</f>
        <v/>
      </c>
      <c r="R14" s="46" t="str">
        <f>IF(MC_MACHOTE!$X$26&gt;0,MC_MACHOTE!$BQ$26,"")</f>
        <v/>
      </c>
      <c r="S14" s="46" t="str">
        <f>IF(MC_MACHOTE!$X$26&gt;0,MC_MACHOTE!$BR$26,"")</f>
        <v/>
      </c>
      <c r="T14" s="46" t="str">
        <f>IF(MC_MACHOTE!$X$26&gt;0,MC_MACHOTE!$BS$26,"")</f>
        <v/>
      </c>
      <c r="U14" s="46" t="str">
        <f>IF(MC_MACHOTE!$X$26&gt;0,IF(MC_MACHOTE!$L$26="","CU",IF(MC_MACHOTE!$L$26="AL-MC","AL",MC_MACHOTE!$L$26)),"")</f>
        <v/>
      </c>
      <c r="V14" s="46" t="str">
        <f>IF(MC_MACHOTE!$X$26&gt;0,IF(MC_MACHOTE!$M$26="","THHN",MC_MACHOTE!$M$26),"")</f>
        <v/>
      </c>
      <c r="W14" s="46" t="str">
        <f>IF(MC_MACHOTE!$X$26&gt;0,MC_MACHOTE!$BT$26,"")</f>
        <v/>
      </c>
      <c r="X14" s="47" t="str">
        <f>MC_MACHOTE!$C$3</f>
        <v>MACHOTE</v>
      </c>
      <c r="Y14" s="46" t="s">
        <v>872</v>
      </c>
      <c r="Z14" s="47">
        <v>3</v>
      </c>
      <c r="AA14" s="47" t="str">
        <f t="shared" si="0"/>
        <v/>
      </c>
      <c r="AB14" s="47" t="str">
        <f t="shared" si="1"/>
        <v/>
      </c>
      <c r="AC14" s="68" t="str">
        <f>IF(MC_MACHOTE!$X$26&gt;0,IF(MC_MACHOTE!$AJ$26&gt;0,MC_MACHOTE!$AJ$26,""),"")</f>
        <v/>
      </c>
      <c r="AD14" s="61"/>
      <c r="AE14" s="51"/>
      <c r="AF14" s="68" t="str">
        <f>IF(MC_MACHOTE!$X$26&gt;0,IF(MC_MACHOTE!$AK$26&gt;0,MC_MACHOTE!$AK$26,""),"")</f>
        <v/>
      </c>
      <c r="AG14" s="61"/>
      <c r="AH14" s="51"/>
      <c r="AI14" s="68" t="str">
        <f>IF(MC_MACHOTE!$X$26&gt;0,IF(MC_MACHOTE!$AL$26&gt;0,MC_MACHOTE!$AL$26,""),"")</f>
        <v/>
      </c>
      <c r="AJ14" s="51"/>
      <c r="AL14" t="b">
        <f>COUNTIF(MC_MACHOTE!$CA$25:$CB$124,3)&gt;0</f>
        <v>0</v>
      </c>
      <c r="AM14">
        <v>3</v>
      </c>
    </row>
    <row r="15" spans="2:39" ht="23.45" customHeight="1" x14ac:dyDescent="0.45">
      <c r="B15" s="47" t="str">
        <f>MC_MACHOTE!$C$3</f>
        <v>MACHOTE</v>
      </c>
      <c r="C15" s="46" t="s">
        <v>872</v>
      </c>
      <c r="D15" s="47">
        <v>5</v>
      </c>
      <c r="E15" s="47" t="str">
        <f>IF(MC_MACHOTE!$X$27&gt;0,MC_MACHOTE!$CA$27,"")</f>
        <v/>
      </c>
      <c r="F15" s="47" t="str">
        <f>IF(MC_MACHOTE!$X$27&gt;0,MC_MACHOTE!$CB$27,"")</f>
        <v/>
      </c>
      <c r="G15" s="69" t="str">
        <f>IF(MC_MACHOTE!$X$27&gt;0,MC_MACHOTE!$W$27,"")</f>
        <v/>
      </c>
      <c r="H15" s="51"/>
      <c r="I15" s="43" t="str">
        <f>IF(MC_MACHOTE!$X$27&gt;0,MC_MACHOTE!$X$27,"")</f>
        <v/>
      </c>
      <c r="J15" s="43" t="str">
        <f>IF(MC_MACHOTE!$X$27&gt;0,MC_MACHOTE!$BH$27,"")</f>
        <v/>
      </c>
      <c r="K15" s="69" t="str">
        <f>IF(MC_MACHOTE!$X$27&gt;0,MC_MACHOTE!$BL$27,"")</f>
        <v/>
      </c>
      <c r="L15" s="51"/>
      <c r="M15" s="46" t="str">
        <f>IF(MC_MACHOTE!$X$27&gt;0,IF(N(MC_MACHOTE!$BP$27)&gt;0,MC_MACHOTE!$BP$27,""),"")</f>
        <v/>
      </c>
      <c r="N15" s="46" t="str">
        <f>IF(MC_MACHOTE!$X$27&gt;0,MC_MACHOTE!$AT$27,"")</f>
        <v/>
      </c>
      <c r="O15" s="46" t="str">
        <f>IF(MC_MACHOTE!$X$27&gt;0,MC_MACHOTE!$BO$27,"")</f>
        <v/>
      </c>
      <c r="P15" s="46" t="str">
        <f>IF(MC_MACHOTE!$X$27&gt;0,MC_MACHOTE!$BI$27,"")</f>
        <v/>
      </c>
      <c r="Q15" s="46" t="str">
        <f>IF(MC_MACHOTE!$X$27&gt;0,MC_MACHOTE!$BM$27,"")</f>
        <v/>
      </c>
      <c r="R15" s="46" t="str">
        <f>IF(MC_MACHOTE!$X$27&gt;0,MC_MACHOTE!$BQ$27,"")</f>
        <v/>
      </c>
      <c r="S15" s="46" t="str">
        <f>IF(MC_MACHOTE!$X$27&gt;0,MC_MACHOTE!$BR$27,"")</f>
        <v/>
      </c>
      <c r="T15" s="46" t="str">
        <f>IF(MC_MACHOTE!$X$27&gt;0,MC_MACHOTE!$BS$27,"")</f>
        <v/>
      </c>
      <c r="U15" s="46" t="str">
        <f>IF(MC_MACHOTE!$X$27&gt;0,IF(MC_MACHOTE!$L$27="","CU",IF(MC_MACHOTE!$L$27="AL-MC","AL",MC_MACHOTE!$L$27)),"")</f>
        <v/>
      </c>
      <c r="V15" s="46" t="str">
        <f>IF(MC_MACHOTE!$X$27&gt;0,IF(MC_MACHOTE!$M$27="","THHN",MC_MACHOTE!$M$27),"")</f>
        <v/>
      </c>
      <c r="W15" s="46" t="str">
        <f>IF(MC_MACHOTE!$X$27&gt;0,MC_MACHOTE!$BT$27,"")</f>
        <v/>
      </c>
      <c r="X15" s="47" t="str">
        <f>MC_MACHOTE!$C$3</f>
        <v>MACHOTE</v>
      </c>
      <c r="Y15" s="46" t="s">
        <v>872</v>
      </c>
      <c r="Z15" s="47">
        <v>5</v>
      </c>
      <c r="AA15" s="47" t="str">
        <f t="shared" si="0"/>
        <v/>
      </c>
      <c r="AB15" s="47" t="str">
        <f t="shared" si="1"/>
        <v/>
      </c>
      <c r="AC15" s="68" t="str">
        <f>IF(MC_MACHOTE!$X$27&gt;0,IF(MC_MACHOTE!$AJ$27&gt;0,MC_MACHOTE!$AJ$27,""),"")</f>
        <v/>
      </c>
      <c r="AD15" s="61"/>
      <c r="AE15" s="51"/>
      <c r="AF15" s="68" t="str">
        <f>IF(MC_MACHOTE!$X$27&gt;0,IF(MC_MACHOTE!$AK$27&gt;0,MC_MACHOTE!$AK$27,""),"")</f>
        <v/>
      </c>
      <c r="AG15" s="61"/>
      <c r="AH15" s="51"/>
      <c r="AI15" s="68" t="str">
        <f>IF(MC_MACHOTE!$X$27&gt;0,IF(MC_MACHOTE!$AL$27&gt;0,MC_MACHOTE!$AL$27,""),"")</f>
        <v/>
      </c>
      <c r="AJ15" s="51"/>
      <c r="AL15" t="b">
        <f>COUNTIF(MC_MACHOTE!$CA$25:$CB$124,5)&gt;0</f>
        <v>0</v>
      </c>
      <c r="AM15">
        <v>5</v>
      </c>
    </row>
    <row r="16" spans="2:39" ht="23.45" customHeight="1" x14ac:dyDescent="0.45">
      <c r="B16" s="47" t="str">
        <f>MC_MACHOTE!$C$3</f>
        <v>MACHOTE</v>
      </c>
      <c r="C16" s="46" t="s">
        <v>872</v>
      </c>
      <c r="D16" s="47">
        <v>7</v>
      </c>
      <c r="E16" s="47" t="str">
        <f>IF(MC_MACHOTE!$X$28&gt;0,MC_MACHOTE!$CA$28,"")</f>
        <v/>
      </c>
      <c r="F16" s="47" t="str">
        <f>IF(MC_MACHOTE!$X$28&gt;0,MC_MACHOTE!$CB$28,"")</f>
        <v/>
      </c>
      <c r="G16" s="69" t="str">
        <f>IF(MC_MACHOTE!$X$28&gt;0,MC_MACHOTE!$W$28,"")</f>
        <v/>
      </c>
      <c r="H16" s="51"/>
      <c r="I16" s="43" t="str">
        <f>IF(MC_MACHOTE!$X$28&gt;0,MC_MACHOTE!$X$28,"")</f>
        <v/>
      </c>
      <c r="J16" s="43" t="str">
        <f>IF(MC_MACHOTE!$X$28&gt;0,MC_MACHOTE!$BH$28,"")</f>
        <v/>
      </c>
      <c r="K16" s="69" t="str">
        <f>IF(MC_MACHOTE!$X$28&gt;0,MC_MACHOTE!$BL$28,"")</f>
        <v/>
      </c>
      <c r="L16" s="51"/>
      <c r="M16" s="46" t="str">
        <f>IF(MC_MACHOTE!$X$28&gt;0,IF(N(MC_MACHOTE!$BP$28)&gt;0,MC_MACHOTE!$BP$28,""),"")</f>
        <v/>
      </c>
      <c r="N16" s="46" t="str">
        <f>IF(MC_MACHOTE!$X$28&gt;0,MC_MACHOTE!$AT$28,"")</f>
        <v/>
      </c>
      <c r="O16" s="46" t="str">
        <f>IF(MC_MACHOTE!$X$28&gt;0,MC_MACHOTE!$BO$28,"")</f>
        <v/>
      </c>
      <c r="P16" s="46" t="str">
        <f>IF(MC_MACHOTE!$X$28&gt;0,MC_MACHOTE!$BI$28,"")</f>
        <v/>
      </c>
      <c r="Q16" s="46" t="str">
        <f>IF(MC_MACHOTE!$X$28&gt;0,MC_MACHOTE!$BM$28,"")</f>
        <v/>
      </c>
      <c r="R16" s="46" t="str">
        <f>IF(MC_MACHOTE!$X$28&gt;0,MC_MACHOTE!$BQ$28,"")</f>
        <v/>
      </c>
      <c r="S16" s="46" t="str">
        <f>IF(MC_MACHOTE!$X$28&gt;0,MC_MACHOTE!$BR$28,"")</f>
        <v/>
      </c>
      <c r="T16" s="46" t="str">
        <f>IF(MC_MACHOTE!$X$28&gt;0,MC_MACHOTE!$BS$28,"")</f>
        <v/>
      </c>
      <c r="U16" s="46" t="str">
        <f>IF(MC_MACHOTE!$X$28&gt;0,IF(MC_MACHOTE!$L$28="","CU",IF(MC_MACHOTE!$L$28="AL-MC","AL",MC_MACHOTE!$L$28)),"")</f>
        <v/>
      </c>
      <c r="V16" s="46" t="str">
        <f>IF(MC_MACHOTE!$X$28&gt;0,IF(MC_MACHOTE!$M$28="","THHN",MC_MACHOTE!$M$28),"")</f>
        <v/>
      </c>
      <c r="W16" s="46" t="str">
        <f>IF(MC_MACHOTE!$X$28&gt;0,MC_MACHOTE!$BT$28,"")</f>
        <v/>
      </c>
      <c r="X16" s="47" t="str">
        <f>MC_MACHOTE!$C$3</f>
        <v>MACHOTE</v>
      </c>
      <c r="Y16" s="46" t="s">
        <v>872</v>
      </c>
      <c r="Z16" s="47">
        <v>7</v>
      </c>
      <c r="AA16" s="47" t="str">
        <f t="shared" si="0"/>
        <v/>
      </c>
      <c r="AB16" s="47" t="str">
        <f t="shared" si="1"/>
        <v/>
      </c>
      <c r="AC16" s="68" t="str">
        <f>IF(MC_MACHOTE!$X$28&gt;0,IF(MC_MACHOTE!$AJ$28&gt;0,MC_MACHOTE!$AJ$28,""),"")</f>
        <v/>
      </c>
      <c r="AD16" s="61"/>
      <c r="AE16" s="51"/>
      <c r="AF16" s="68" t="str">
        <f>IF(MC_MACHOTE!$X$28&gt;0,IF(MC_MACHOTE!$AK$28&gt;0,MC_MACHOTE!$AK$28,""),"")</f>
        <v/>
      </c>
      <c r="AG16" s="61"/>
      <c r="AH16" s="51"/>
      <c r="AI16" s="68" t="str">
        <f>IF(MC_MACHOTE!$X$28&gt;0,IF(MC_MACHOTE!$AL$28&gt;0,MC_MACHOTE!$AL$28,""),"")</f>
        <v/>
      </c>
      <c r="AJ16" s="51"/>
      <c r="AL16" t="b">
        <f>COUNTIF(MC_MACHOTE!$CA$25:$CB$124,7)&gt;0</f>
        <v>0</v>
      </c>
      <c r="AM16">
        <v>7</v>
      </c>
    </row>
    <row r="17" spans="2:39" ht="23.45" customHeight="1" x14ac:dyDescent="0.45">
      <c r="B17" s="47" t="str">
        <f>MC_MACHOTE!$C$3</f>
        <v>MACHOTE</v>
      </c>
      <c r="C17" s="46" t="s">
        <v>872</v>
      </c>
      <c r="D17" s="47">
        <v>9</v>
      </c>
      <c r="E17" s="47" t="str">
        <f>IF(MC_MACHOTE!$X$29&gt;0,MC_MACHOTE!$CA$29,"")</f>
        <v/>
      </c>
      <c r="F17" s="47" t="str">
        <f>IF(MC_MACHOTE!$X$29&gt;0,MC_MACHOTE!$CB$29,"")</f>
        <v/>
      </c>
      <c r="G17" s="69" t="str">
        <f>IF(MC_MACHOTE!$X$29&gt;0,MC_MACHOTE!$W$29,"")</f>
        <v/>
      </c>
      <c r="H17" s="51"/>
      <c r="I17" s="43" t="str">
        <f>IF(MC_MACHOTE!$X$29&gt;0,MC_MACHOTE!$X$29,"")</f>
        <v/>
      </c>
      <c r="J17" s="43" t="str">
        <f>IF(MC_MACHOTE!$X$29&gt;0,MC_MACHOTE!$BH$29,"")</f>
        <v/>
      </c>
      <c r="K17" s="69" t="str">
        <f>IF(MC_MACHOTE!$X$29&gt;0,MC_MACHOTE!$BL$29,"")</f>
        <v/>
      </c>
      <c r="L17" s="51"/>
      <c r="M17" s="46" t="str">
        <f>IF(MC_MACHOTE!$X$29&gt;0,IF(N(MC_MACHOTE!$BP$29)&gt;0,MC_MACHOTE!$BP$29,""),"")</f>
        <v/>
      </c>
      <c r="N17" s="46" t="str">
        <f>IF(MC_MACHOTE!$X$29&gt;0,MC_MACHOTE!$AT$29,"")</f>
        <v/>
      </c>
      <c r="O17" s="46" t="str">
        <f>IF(MC_MACHOTE!$X$29&gt;0,MC_MACHOTE!$BO$29,"")</f>
        <v/>
      </c>
      <c r="P17" s="46" t="str">
        <f>IF(MC_MACHOTE!$X$29&gt;0,MC_MACHOTE!$BI$29,"")</f>
        <v/>
      </c>
      <c r="Q17" s="46" t="str">
        <f>IF(MC_MACHOTE!$X$29&gt;0,MC_MACHOTE!$BM$29,"")</f>
        <v/>
      </c>
      <c r="R17" s="46" t="str">
        <f>IF(MC_MACHOTE!$X$29&gt;0,MC_MACHOTE!$BQ$29,"")</f>
        <v/>
      </c>
      <c r="S17" s="46" t="str">
        <f>IF(MC_MACHOTE!$X$29&gt;0,MC_MACHOTE!$BR$29,"")</f>
        <v/>
      </c>
      <c r="T17" s="46" t="str">
        <f>IF(MC_MACHOTE!$X$29&gt;0,MC_MACHOTE!$BS$29,"")</f>
        <v/>
      </c>
      <c r="U17" s="46" t="str">
        <f>IF(MC_MACHOTE!$X$29&gt;0,IF(MC_MACHOTE!$L$29="","CU",IF(MC_MACHOTE!$L$29="AL-MC","AL",MC_MACHOTE!$L$29)),"")</f>
        <v/>
      </c>
      <c r="V17" s="46" t="str">
        <f>IF(MC_MACHOTE!$X$29&gt;0,IF(MC_MACHOTE!$M$29="","THHN",MC_MACHOTE!$M$29),"")</f>
        <v/>
      </c>
      <c r="W17" s="46" t="str">
        <f>IF(MC_MACHOTE!$X$29&gt;0,MC_MACHOTE!$BT$29,"")</f>
        <v/>
      </c>
      <c r="X17" s="47" t="str">
        <f>MC_MACHOTE!$C$3</f>
        <v>MACHOTE</v>
      </c>
      <c r="Y17" s="46" t="s">
        <v>872</v>
      </c>
      <c r="Z17" s="47">
        <v>9</v>
      </c>
      <c r="AA17" s="47" t="str">
        <f t="shared" si="0"/>
        <v/>
      </c>
      <c r="AB17" s="47" t="str">
        <f t="shared" si="1"/>
        <v/>
      </c>
      <c r="AC17" s="68" t="str">
        <f>IF(MC_MACHOTE!$X$29&gt;0,IF(MC_MACHOTE!$AJ$29&gt;0,MC_MACHOTE!$AJ$29,""),"")</f>
        <v/>
      </c>
      <c r="AD17" s="61"/>
      <c r="AE17" s="51"/>
      <c r="AF17" s="68" t="str">
        <f>IF(MC_MACHOTE!$X$29&gt;0,IF(MC_MACHOTE!$AK$29&gt;0,MC_MACHOTE!$AK$29,""),"")</f>
        <v/>
      </c>
      <c r="AG17" s="61"/>
      <c r="AH17" s="51"/>
      <c r="AI17" s="68" t="str">
        <f>IF(MC_MACHOTE!$X$29&gt;0,IF(MC_MACHOTE!$AL$29&gt;0,MC_MACHOTE!$AL$29,""),"")</f>
        <v/>
      </c>
      <c r="AJ17" s="51"/>
      <c r="AL17" t="b">
        <f>COUNTIF(MC_MACHOTE!$CA$25:$CB$124,9)&gt;0</f>
        <v>0</v>
      </c>
      <c r="AM17">
        <v>9</v>
      </c>
    </row>
    <row r="18" spans="2:39" ht="23.45" customHeight="1" x14ac:dyDescent="0.45">
      <c r="B18" s="47" t="str">
        <f>MC_MACHOTE!$C$3</f>
        <v>MACHOTE</v>
      </c>
      <c r="C18" s="46" t="s">
        <v>872</v>
      </c>
      <c r="D18" s="47">
        <v>11</v>
      </c>
      <c r="E18" s="47" t="str">
        <f>IF(MC_MACHOTE!$X$30&gt;0,MC_MACHOTE!$CA$30,"")</f>
        <v/>
      </c>
      <c r="F18" s="47" t="str">
        <f>IF(MC_MACHOTE!$X$30&gt;0,MC_MACHOTE!$CB$30,"")</f>
        <v/>
      </c>
      <c r="G18" s="69" t="str">
        <f>IF(MC_MACHOTE!$X$30&gt;0,MC_MACHOTE!$W$30,"")</f>
        <v/>
      </c>
      <c r="H18" s="51"/>
      <c r="I18" s="43" t="str">
        <f>IF(MC_MACHOTE!$X$30&gt;0,MC_MACHOTE!$X$30,"")</f>
        <v/>
      </c>
      <c r="J18" s="43" t="str">
        <f>IF(MC_MACHOTE!$X$30&gt;0,MC_MACHOTE!$BH$30,"")</f>
        <v/>
      </c>
      <c r="K18" s="69" t="str">
        <f>IF(MC_MACHOTE!$X$30&gt;0,MC_MACHOTE!$BL$30,"")</f>
        <v/>
      </c>
      <c r="L18" s="51"/>
      <c r="M18" s="46" t="str">
        <f>IF(MC_MACHOTE!$X$30&gt;0,IF(N(MC_MACHOTE!$BP$30)&gt;0,MC_MACHOTE!$BP$30,""),"")</f>
        <v/>
      </c>
      <c r="N18" s="46" t="str">
        <f>IF(MC_MACHOTE!$X$30&gt;0,MC_MACHOTE!$AT$30,"")</f>
        <v/>
      </c>
      <c r="O18" s="46" t="str">
        <f>IF(MC_MACHOTE!$X$30&gt;0,MC_MACHOTE!$BO$30,"")</f>
        <v/>
      </c>
      <c r="P18" s="46" t="str">
        <f>IF(MC_MACHOTE!$X$30&gt;0,MC_MACHOTE!$BI$30,"")</f>
        <v/>
      </c>
      <c r="Q18" s="46" t="str">
        <f>IF(MC_MACHOTE!$X$30&gt;0,MC_MACHOTE!$BM$30,"")</f>
        <v/>
      </c>
      <c r="R18" s="46" t="str">
        <f>IF(MC_MACHOTE!$X$30&gt;0,MC_MACHOTE!$BQ$30,"")</f>
        <v/>
      </c>
      <c r="S18" s="46" t="str">
        <f>IF(MC_MACHOTE!$X$30&gt;0,MC_MACHOTE!$BR$30,"")</f>
        <v/>
      </c>
      <c r="T18" s="46" t="str">
        <f>IF(MC_MACHOTE!$X$30&gt;0,MC_MACHOTE!$BS$30,"")</f>
        <v/>
      </c>
      <c r="U18" s="46" t="str">
        <f>IF(MC_MACHOTE!$X$30&gt;0,IF(MC_MACHOTE!$L$30="","CU",IF(MC_MACHOTE!$L$30="AL-MC","AL",MC_MACHOTE!$L$30)),"")</f>
        <v/>
      </c>
      <c r="V18" s="46" t="str">
        <f>IF(MC_MACHOTE!$X$30&gt;0,IF(MC_MACHOTE!$M$30="","THHN",MC_MACHOTE!$M$30),"")</f>
        <v/>
      </c>
      <c r="W18" s="46" t="str">
        <f>IF(MC_MACHOTE!$X$30&gt;0,MC_MACHOTE!$BT$30,"")</f>
        <v/>
      </c>
      <c r="X18" s="47" t="str">
        <f>MC_MACHOTE!$C$3</f>
        <v>MACHOTE</v>
      </c>
      <c r="Y18" s="46" t="s">
        <v>872</v>
      </c>
      <c r="Z18" s="47">
        <v>11</v>
      </c>
      <c r="AA18" s="47" t="str">
        <f t="shared" si="0"/>
        <v/>
      </c>
      <c r="AB18" s="47" t="str">
        <f t="shared" si="1"/>
        <v/>
      </c>
      <c r="AC18" s="68" t="str">
        <f>IF(MC_MACHOTE!$X$30&gt;0,IF(MC_MACHOTE!$AJ$30&gt;0,MC_MACHOTE!$AJ$30,""),"")</f>
        <v/>
      </c>
      <c r="AD18" s="61"/>
      <c r="AE18" s="51"/>
      <c r="AF18" s="68" t="str">
        <f>IF(MC_MACHOTE!$X$30&gt;0,IF(MC_MACHOTE!$AK$30&gt;0,MC_MACHOTE!$AK$30,""),"")</f>
        <v/>
      </c>
      <c r="AG18" s="61"/>
      <c r="AH18" s="51"/>
      <c r="AI18" s="68" t="str">
        <f>IF(MC_MACHOTE!$X$30&gt;0,IF(MC_MACHOTE!$AL$30&gt;0,MC_MACHOTE!$AL$30,""),"")</f>
        <v/>
      </c>
      <c r="AJ18" s="51"/>
      <c r="AL18" t="b">
        <f>COUNTIF(MC_MACHOTE!$CA$25:$CB$124,11)&gt;0</f>
        <v>0</v>
      </c>
      <c r="AM18">
        <v>11</v>
      </c>
    </row>
    <row r="19" spans="2:39" ht="23.45" customHeight="1" x14ac:dyDescent="0.45">
      <c r="B19" s="47" t="str">
        <f>MC_MACHOTE!$C$3</f>
        <v>MACHOTE</v>
      </c>
      <c r="C19" s="46" t="s">
        <v>872</v>
      </c>
      <c r="D19" s="47">
        <v>13</v>
      </c>
      <c r="E19" s="47" t="str">
        <f>IF(MC_MACHOTE!$X$31&gt;0,MC_MACHOTE!$CA$31,"")</f>
        <v/>
      </c>
      <c r="F19" s="47" t="str">
        <f>IF(MC_MACHOTE!$X$31&gt;0,MC_MACHOTE!$CB$31,"")</f>
        <v/>
      </c>
      <c r="G19" s="69" t="str">
        <f>IF(MC_MACHOTE!$X$31&gt;0,MC_MACHOTE!$W$31,"")</f>
        <v/>
      </c>
      <c r="H19" s="51"/>
      <c r="I19" s="43" t="str">
        <f>IF(MC_MACHOTE!$X$31&gt;0,MC_MACHOTE!$X$31,"")</f>
        <v/>
      </c>
      <c r="J19" s="43" t="str">
        <f>IF(MC_MACHOTE!$X$31&gt;0,MC_MACHOTE!$BH$31,"")</f>
        <v/>
      </c>
      <c r="K19" s="69" t="str">
        <f>IF(MC_MACHOTE!$X$31&gt;0,MC_MACHOTE!$BL$31,"")</f>
        <v/>
      </c>
      <c r="L19" s="51"/>
      <c r="M19" s="46" t="str">
        <f>IF(MC_MACHOTE!$X$31&gt;0,IF(N(MC_MACHOTE!$BP$31)&gt;0,MC_MACHOTE!$BP$31,""),"")</f>
        <v/>
      </c>
      <c r="N19" s="46" t="str">
        <f>IF(MC_MACHOTE!$X$31&gt;0,MC_MACHOTE!$AT$31,"")</f>
        <v/>
      </c>
      <c r="O19" s="46" t="str">
        <f>IF(MC_MACHOTE!$X$31&gt;0,MC_MACHOTE!$BO$31,"")</f>
        <v/>
      </c>
      <c r="P19" s="46" t="str">
        <f>IF(MC_MACHOTE!$X$31&gt;0,MC_MACHOTE!$BI$31,"")</f>
        <v/>
      </c>
      <c r="Q19" s="46" t="str">
        <f>IF(MC_MACHOTE!$X$31&gt;0,MC_MACHOTE!$BM$31,"")</f>
        <v/>
      </c>
      <c r="R19" s="46" t="str">
        <f>IF(MC_MACHOTE!$X$31&gt;0,MC_MACHOTE!$BQ$31,"")</f>
        <v/>
      </c>
      <c r="S19" s="46" t="str">
        <f>IF(MC_MACHOTE!$X$31&gt;0,MC_MACHOTE!$BR$31,"")</f>
        <v/>
      </c>
      <c r="T19" s="46" t="str">
        <f>IF(MC_MACHOTE!$X$31&gt;0,MC_MACHOTE!$BS$31,"")</f>
        <v/>
      </c>
      <c r="U19" s="46" t="str">
        <f>IF(MC_MACHOTE!$X$31&gt;0,IF(MC_MACHOTE!$L$31="","CU",IF(MC_MACHOTE!$L$31="AL-MC","AL",MC_MACHOTE!$L$31)),"")</f>
        <v/>
      </c>
      <c r="V19" s="46" t="str">
        <f>IF(MC_MACHOTE!$X$31&gt;0,IF(MC_MACHOTE!$M$31="","THHN",MC_MACHOTE!$M$31),"")</f>
        <v/>
      </c>
      <c r="W19" s="46" t="str">
        <f>IF(MC_MACHOTE!$X$31&gt;0,MC_MACHOTE!$BT$31,"")</f>
        <v/>
      </c>
      <c r="X19" s="47" t="str">
        <f>MC_MACHOTE!$C$3</f>
        <v>MACHOTE</v>
      </c>
      <c r="Y19" s="46" t="s">
        <v>872</v>
      </c>
      <c r="Z19" s="47">
        <v>13</v>
      </c>
      <c r="AA19" s="47" t="str">
        <f t="shared" si="0"/>
        <v/>
      </c>
      <c r="AB19" s="47" t="str">
        <f t="shared" si="1"/>
        <v/>
      </c>
      <c r="AC19" s="68" t="str">
        <f>IF(MC_MACHOTE!$X$31&gt;0,IF(MC_MACHOTE!$AJ$31&gt;0,MC_MACHOTE!$AJ$31,""),"")</f>
        <v/>
      </c>
      <c r="AD19" s="61"/>
      <c r="AE19" s="51"/>
      <c r="AF19" s="68" t="str">
        <f>IF(MC_MACHOTE!$X$31&gt;0,IF(MC_MACHOTE!$AK$31&gt;0,MC_MACHOTE!$AK$31,""),"")</f>
        <v/>
      </c>
      <c r="AG19" s="61"/>
      <c r="AH19" s="51"/>
      <c r="AI19" s="68" t="str">
        <f>IF(MC_MACHOTE!$X$31&gt;0,IF(MC_MACHOTE!$AL$31&gt;0,MC_MACHOTE!$AL$31,""),"")</f>
        <v/>
      </c>
      <c r="AJ19" s="51"/>
      <c r="AL19" t="b">
        <f>COUNTIF(MC_MACHOTE!$CA$25:$CB$124,13)&gt;0</f>
        <v>0</v>
      </c>
      <c r="AM19">
        <v>13</v>
      </c>
    </row>
    <row r="20" spans="2:39" ht="23.45" customHeight="1" x14ac:dyDescent="0.45">
      <c r="B20" s="47" t="str">
        <f>MC_MACHOTE!$C$3</f>
        <v>MACHOTE</v>
      </c>
      <c r="C20" s="46" t="s">
        <v>872</v>
      </c>
      <c r="D20" s="47">
        <v>15</v>
      </c>
      <c r="E20" s="47" t="str">
        <f>IF(MC_MACHOTE!$X$32&gt;0,MC_MACHOTE!$CA$32,"")</f>
        <v/>
      </c>
      <c r="F20" s="47" t="str">
        <f>IF(MC_MACHOTE!$X$32&gt;0,MC_MACHOTE!$CB$32,"")</f>
        <v/>
      </c>
      <c r="G20" s="69" t="str">
        <f>IF(MC_MACHOTE!$X$32&gt;0,MC_MACHOTE!$W$32,"")</f>
        <v/>
      </c>
      <c r="H20" s="51"/>
      <c r="I20" s="43" t="str">
        <f>IF(MC_MACHOTE!$X$32&gt;0,MC_MACHOTE!$X$32,"")</f>
        <v/>
      </c>
      <c r="J20" s="43" t="str">
        <f>IF(MC_MACHOTE!$X$32&gt;0,MC_MACHOTE!$BH$32,"")</f>
        <v/>
      </c>
      <c r="K20" s="69" t="str">
        <f>IF(MC_MACHOTE!$X$32&gt;0,MC_MACHOTE!$BL$32,"")</f>
        <v/>
      </c>
      <c r="L20" s="51"/>
      <c r="M20" s="46" t="str">
        <f>IF(MC_MACHOTE!$X$32&gt;0,IF(N(MC_MACHOTE!$BP$32)&gt;0,MC_MACHOTE!$BP$32,""),"")</f>
        <v/>
      </c>
      <c r="N20" s="46" t="str">
        <f>IF(MC_MACHOTE!$X$32&gt;0,MC_MACHOTE!$AT$32,"")</f>
        <v/>
      </c>
      <c r="O20" s="46" t="str">
        <f>IF(MC_MACHOTE!$X$32&gt;0,MC_MACHOTE!$BO$32,"")</f>
        <v/>
      </c>
      <c r="P20" s="46" t="str">
        <f>IF(MC_MACHOTE!$X$32&gt;0,MC_MACHOTE!$BI$32,"")</f>
        <v/>
      </c>
      <c r="Q20" s="46" t="str">
        <f>IF(MC_MACHOTE!$X$32&gt;0,MC_MACHOTE!$BM$32,"")</f>
        <v/>
      </c>
      <c r="R20" s="46" t="str">
        <f>IF(MC_MACHOTE!$X$32&gt;0,MC_MACHOTE!$BQ$32,"")</f>
        <v/>
      </c>
      <c r="S20" s="46" t="str">
        <f>IF(MC_MACHOTE!$X$32&gt;0,MC_MACHOTE!$BR$32,"")</f>
        <v/>
      </c>
      <c r="T20" s="46" t="str">
        <f>IF(MC_MACHOTE!$X$32&gt;0,MC_MACHOTE!$BS$32,"")</f>
        <v/>
      </c>
      <c r="U20" s="46" t="str">
        <f>IF(MC_MACHOTE!$X$32&gt;0,IF(MC_MACHOTE!$L$32="","CU",IF(MC_MACHOTE!$L$32="AL-MC","AL",MC_MACHOTE!$L$32)),"")</f>
        <v/>
      </c>
      <c r="V20" s="46" t="str">
        <f>IF(MC_MACHOTE!$X$32&gt;0,IF(MC_MACHOTE!$M$32="","THHN",MC_MACHOTE!$M$32),"")</f>
        <v/>
      </c>
      <c r="W20" s="46" t="str">
        <f>IF(MC_MACHOTE!$X$32&gt;0,MC_MACHOTE!$BT$32,"")</f>
        <v/>
      </c>
      <c r="X20" s="47" t="str">
        <f>MC_MACHOTE!$C$3</f>
        <v>MACHOTE</v>
      </c>
      <c r="Y20" s="46" t="s">
        <v>872</v>
      </c>
      <c r="Z20" s="47">
        <v>15</v>
      </c>
      <c r="AA20" s="47" t="str">
        <f t="shared" si="0"/>
        <v/>
      </c>
      <c r="AB20" s="47" t="str">
        <f t="shared" si="1"/>
        <v/>
      </c>
      <c r="AC20" s="68" t="str">
        <f>IF(MC_MACHOTE!$X$32&gt;0,IF(MC_MACHOTE!$AJ$32&gt;0,MC_MACHOTE!$AJ$32,""),"")</f>
        <v/>
      </c>
      <c r="AD20" s="61"/>
      <c r="AE20" s="51"/>
      <c r="AF20" s="68" t="str">
        <f>IF(MC_MACHOTE!$X$32&gt;0,IF(MC_MACHOTE!$AK$32&gt;0,MC_MACHOTE!$AK$32,""),"")</f>
        <v/>
      </c>
      <c r="AG20" s="61"/>
      <c r="AH20" s="51"/>
      <c r="AI20" s="68" t="str">
        <f>IF(MC_MACHOTE!$X$32&gt;0,IF(MC_MACHOTE!$AL$32&gt;0,MC_MACHOTE!$AL$32,""),"")</f>
        <v/>
      </c>
      <c r="AJ20" s="51"/>
      <c r="AL20" t="b">
        <f>COUNTIF(MC_MACHOTE!$CA$25:$CB$124,15)&gt;0</f>
        <v>0</v>
      </c>
      <c r="AM20">
        <v>15</v>
      </c>
    </row>
    <row r="21" spans="2:39" ht="23.45" customHeight="1" x14ac:dyDescent="0.45">
      <c r="B21" s="47" t="str">
        <f>MC_MACHOTE!$C$3</f>
        <v>MACHOTE</v>
      </c>
      <c r="C21" s="46" t="s">
        <v>872</v>
      </c>
      <c r="D21" s="47">
        <v>17</v>
      </c>
      <c r="E21" s="47" t="str">
        <f>IF(MC_MACHOTE!$X$33&gt;0,MC_MACHOTE!$CA$33,"")</f>
        <v/>
      </c>
      <c r="F21" s="47" t="str">
        <f>IF(MC_MACHOTE!$X$33&gt;0,MC_MACHOTE!$CB$33,"")</f>
        <v/>
      </c>
      <c r="G21" s="69" t="str">
        <f>IF(MC_MACHOTE!$X$33&gt;0,MC_MACHOTE!$W$33,"")</f>
        <v/>
      </c>
      <c r="H21" s="51"/>
      <c r="I21" s="43" t="str">
        <f>IF(MC_MACHOTE!$X$33&gt;0,MC_MACHOTE!$X$33,"")</f>
        <v/>
      </c>
      <c r="J21" s="43" t="str">
        <f>IF(MC_MACHOTE!$X$33&gt;0,MC_MACHOTE!$BH$33,"")</f>
        <v/>
      </c>
      <c r="K21" s="69" t="str">
        <f>IF(MC_MACHOTE!$X$33&gt;0,MC_MACHOTE!$BL$33,"")</f>
        <v/>
      </c>
      <c r="L21" s="51"/>
      <c r="M21" s="46" t="str">
        <f>IF(MC_MACHOTE!$X$33&gt;0,IF(N(MC_MACHOTE!$BP$33)&gt;0,MC_MACHOTE!$BP$33,""),"")</f>
        <v/>
      </c>
      <c r="N21" s="46" t="str">
        <f>IF(MC_MACHOTE!$X$33&gt;0,MC_MACHOTE!$AT$33,"")</f>
        <v/>
      </c>
      <c r="O21" s="46" t="str">
        <f>IF(MC_MACHOTE!$X$33&gt;0,MC_MACHOTE!$BO$33,"")</f>
        <v/>
      </c>
      <c r="P21" s="46" t="str">
        <f>IF(MC_MACHOTE!$X$33&gt;0,MC_MACHOTE!$BI$33,"")</f>
        <v/>
      </c>
      <c r="Q21" s="46" t="str">
        <f>IF(MC_MACHOTE!$X$33&gt;0,MC_MACHOTE!$BM$33,"")</f>
        <v/>
      </c>
      <c r="R21" s="46" t="str">
        <f>IF(MC_MACHOTE!$X$33&gt;0,MC_MACHOTE!$BQ$33,"")</f>
        <v/>
      </c>
      <c r="S21" s="46" t="str">
        <f>IF(MC_MACHOTE!$X$33&gt;0,MC_MACHOTE!$BR$33,"")</f>
        <v/>
      </c>
      <c r="T21" s="46" t="str">
        <f>IF(MC_MACHOTE!$X$33&gt;0,MC_MACHOTE!$BS$33,"")</f>
        <v/>
      </c>
      <c r="U21" s="46" t="str">
        <f>IF(MC_MACHOTE!$X$33&gt;0,IF(MC_MACHOTE!$L$33="","CU",IF(MC_MACHOTE!$L$33="AL-MC","AL",MC_MACHOTE!$L$33)),"")</f>
        <v/>
      </c>
      <c r="V21" s="46" t="str">
        <f>IF(MC_MACHOTE!$X$33&gt;0,IF(MC_MACHOTE!$M$33="","THHN",MC_MACHOTE!$M$33),"")</f>
        <v/>
      </c>
      <c r="W21" s="46" t="str">
        <f>IF(MC_MACHOTE!$X$33&gt;0,MC_MACHOTE!$BT$33,"")</f>
        <v/>
      </c>
      <c r="X21" s="47" t="str">
        <f>MC_MACHOTE!$C$3</f>
        <v>MACHOTE</v>
      </c>
      <c r="Y21" s="46" t="s">
        <v>872</v>
      </c>
      <c r="Z21" s="47">
        <v>17</v>
      </c>
      <c r="AA21" s="47" t="str">
        <f t="shared" si="0"/>
        <v/>
      </c>
      <c r="AB21" s="47" t="str">
        <f t="shared" si="1"/>
        <v/>
      </c>
      <c r="AC21" s="68" t="str">
        <f>IF(MC_MACHOTE!$X$33&gt;0,IF(MC_MACHOTE!$AJ$33&gt;0,MC_MACHOTE!$AJ$33,""),"")</f>
        <v/>
      </c>
      <c r="AD21" s="61"/>
      <c r="AE21" s="51"/>
      <c r="AF21" s="68" t="str">
        <f>IF(MC_MACHOTE!$X$33&gt;0,IF(MC_MACHOTE!$AK$33&gt;0,MC_MACHOTE!$AK$33,""),"")</f>
        <v/>
      </c>
      <c r="AG21" s="61"/>
      <c r="AH21" s="51"/>
      <c r="AI21" s="68" t="str">
        <f>IF(MC_MACHOTE!$X$33&gt;0,IF(MC_MACHOTE!$AL$33&gt;0,MC_MACHOTE!$AL$33,""),"")</f>
        <v/>
      </c>
      <c r="AJ21" s="51"/>
      <c r="AL21" t="b">
        <f>COUNTIF(MC_MACHOTE!$CA$25:$CB$124,17)&gt;0</f>
        <v>0</v>
      </c>
      <c r="AM21">
        <v>17</v>
      </c>
    </row>
    <row r="22" spans="2:39" ht="23.45" customHeight="1" x14ac:dyDescent="0.45">
      <c r="B22" s="47" t="str">
        <f>MC_MACHOTE!$C$3</f>
        <v>MACHOTE</v>
      </c>
      <c r="C22" s="46" t="s">
        <v>872</v>
      </c>
      <c r="D22" s="47">
        <v>19</v>
      </c>
      <c r="E22" s="47" t="str">
        <f>IF(MC_MACHOTE!$X$34&gt;0,MC_MACHOTE!$CA$34,"")</f>
        <v/>
      </c>
      <c r="F22" s="47" t="str">
        <f>IF(MC_MACHOTE!$X$34&gt;0,MC_MACHOTE!$CB$34,"")</f>
        <v/>
      </c>
      <c r="G22" s="69" t="str">
        <f>IF(MC_MACHOTE!$X$34&gt;0,MC_MACHOTE!$W$34,"")</f>
        <v/>
      </c>
      <c r="H22" s="51"/>
      <c r="I22" s="43" t="str">
        <f>IF(MC_MACHOTE!$X$34&gt;0,MC_MACHOTE!$X$34,"")</f>
        <v/>
      </c>
      <c r="J22" s="43" t="str">
        <f>IF(MC_MACHOTE!$X$34&gt;0,MC_MACHOTE!$BH$34,"")</f>
        <v/>
      </c>
      <c r="K22" s="69" t="str">
        <f>IF(MC_MACHOTE!$X$34&gt;0,MC_MACHOTE!$BL$34,"")</f>
        <v/>
      </c>
      <c r="L22" s="51"/>
      <c r="M22" s="46" t="str">
        <f>IF(MC_MACHOTE!$X$34&gt;0,IF(N(MC_MACHOTE!$BP$34)&gt;0,MC_MACHOTE!$BP$34,""),"")</f>
        <v/>
      </c>
      <c r="N22" s="46" t="str">
        <f>IF(MC_MACHOTE!$X$34&gt;0,MC_MACHOTE!$AT$34,"")</f>
        <v/>
      </c>
      <c r="O22" s="46" t="str">
        <f>IF(MC_MACHOTE!$X$34&gt;0,MC_MACHOTE!$BO$34,"")</f>
        <v/>
      </c>
      <c r="P22" s="46" t="str">
        <f>IF(MC_MACHOTE!$X$34&gt;0,MC_MACHOTE!$BI$34,"")</f>
        <v/>
      </c>
      <c r="Q22" s="46" t="str">
        <f>IF(MC_MACHOTE!$X$34&gt;0,MC_MACHOTE!$BM$34,"")</f>
        <v/>
      </c>
      <c r="R22" s="46" t="str">
        <f>IF(MC_MACHOTE!$X$34&gt;0,MC_MACHOTE!$BQ$34,"")</f>
        <v/>
      </c>
      <c r="S22" s="46" t="str">
        <f>IF(MC_MACHOTE!$X$34&gt;0,MC_MACHOTE!$BR$34,"")</f>
        <v/>
      </c>
      <c r="T22" s="46" t="str">
        <f>IF(MC_MACHOTE!$X$34&gt;0,MC_MACHOTE!$BS$34,"")</f>
        <v/>
      </c>
      <c r="U22" s="46" t="str">
        <f>IF(MC_MACHOTE!$X$34&gt;0,IF(MC_MACHOTE!$L$34="","CU",IF(MC_MACHOTE!$L$34="AL-MC","AL",MC_MACHOTE!$L$34)),"")</f>
        <v/>
      </c>
      <c r="V22" s="46" t="str">
        <f>IF(MC_MACHOTE!$X$34&gt;0,IF(MC_MACHOTE!$M$34="","THHN",MC_MACHOTE!$M$34),"")</f>
        <v/>
      </c>
      <c r="W22" s="46" t="str">
        <f>IF(MC_MACHOTE!$X$34&gt;0,MC_MACHOTE!$BT$34,"")</f>
        <v/>
      </c>
      <c r="X22" s="47" t="str">
        <f>MC_MACHOTE!$C$3</f>
        <v>MACHOTE</v>
      </c>
      <c r="Y22" s="46" t="s">
        <v>872</v>
      </c>
      <c r="Z22" s="47">
        <v>19</v>
      </c>
      <c r="AA22" s="47" t="str">
        <f t="shared" si="0"/>
        <v/>
      </c>
      <c r="AB22" s="47" t="str">
        <f t="shared" si="1"/>
        <v/>
      </c>
      <c r="AC22" s="68" t="str">
        <f>IF(MC_MACHOTE!$X$34&gt;0,IF(MC_MACHOTE!$AJ$34&gt;0,MC_MACHOTE!$AJ$34,""),"")</f>
        <v/>
      </c>
      <c r="AD22" s="61"/>
      <c r="AE22" s="51"/>
      <c r="AF22" s="68" t="str">
        <f>IF(MC_MACHOTE!$X$34&gt;0,IF(MC_MACHOTE!$AK$34&gt;0,MC_MACHOTE!$AK$34,""),"")</f>
        <v/>
      </c>
      <c r="AG22" s="61"/>
      <c r="AH22" s="51"/>
      <c r="AI22" s="68" t="str">
        <f>IF(MC_MACHOTE!$X$34&gt;0,IF(MC_MACHOTE!$AL$34&gt;0,MC_MACHOTE!$AL$34,""),"")</f>
        <v/>
      </c>
      <c r="AJ22" s="51"/>
      <c r="AL22" t="b">
        <f>COUNTIF(MC_MACHOTE!$CA$25:$CB$124,19)&gt;0</f>
        <v>0</v>
      </c>
      <c r="AM22">
        <v>19</v>
      </c>
    </row>
    <row r="23" spans="2:39" ht="23.45" customHeight="1" x14ac:dyDescent="0.45">
      <c r="B23" s="47" t="str">
        <f>MC_MACHOTE!$C$3</f>
        <v>MACHOTE</v>
      </c>
      <c r="C23" s="46" t="s">
        <v>872</v>
      </c>
      <c r="D23" s="47">
        <v>21</v>
      </c>
      <c r="E23" s="47" t="str">
        <f>IF(MC_MACHOTE!$X$35&gt;0,MC_MACHOTE!$CA$35,"")</f>
        <v/>
      </c>
      <c r="F23" s="47" t="str">
        <f>IF(MC_MACHOTE!$X$35&gt;0,MC_MACHOTE!$CB$35,"")</f>
        <v/>
      </c>
      <c r="G23" s="69" t="str">
        <f>IF(MC_MACHOTE!$X$35&gt;0,MC_MACHOTE!$W$35,"")</f>
        <v/>
      </c>
      <c r="H23" s="51"/>
      <c r="I23" s="43" t="str">
        <f>IF(MC_MACHOTE!$X$35&gt;0,MC_MACHOTE!$X$35,"")</f>
        <v/>
      </c>
      <c r="J23" s="43" t="str">
        <f>IF(MC_MACHOTE!$X$35&gt;0,MC_MACHOTE!$BH$35,"")</f>
        <v/>
      </c>
      <c r="K23" s="69" t="str">
        <f>IF(MC_MACHOTE!$X$35&gt;0,MC_MACHOTE!$BL$35,"")</f>
        <v/>
      </c>
      <c r="L23" s="51"/>
      <c r="M23" s="46" t="str">
        <f>IF(MC_MACHOTE!$X$35&gt;0,IF(N(MC_MACHOTE!$BP$35)&gt;0,MC_MACHOTE!$BP$35,""),"")</f>
        <v/>
      </c>
      <c r="N23" s="46" t="str">
        <f>IF(MC_MACHOTE!$X$35&gt;0,MC_MACHOTE!$AT$35,"")</f>
        <v/>
      </c>
      <c r="O23" s="46" t="str">
        <f>IF(MC_MACHOTE!$X$35&gt;0,MC_MACHOTE!$BO$35,"")</f>
        <v/>
      </c>
      <c r="P23" s="46" t="str">
        <f>IF(MC_MACHOTE!$X$35&gt;0,MC_MACHOTE!$BI$35,"")</f>
        <v/>
      </c>
      <c r="Q23" s="46" t="str">
        <f>IF(MC_MACHOTE!$X$35&gt;0,MC_MACHOTE!$BM$35,"")</f>
        <v/>
      </c>
      <c r="R23" s="46" t="str">
        <f>IF(MC_MACHOTE!$X$35&gt;0,MC_MACHOTE!$BQ$35,"")</f>
        <v/>
      </c>
      <c r="S23" s="46" t="str">
        <f>IF(MC_MACHOTE!$X$35&gt;0,MC_MACHOTE!$BR$35,"")</f>
        <v/>
      </c>
      <c r="T23" s="46" t="str">
        <f>IF(MC_MACHOTE!$X$35&gt;0,MC_MACHOTE!$BS$35,"")</f>
        <v/>
      </c>
      <c r="U23" s="46" t="str">
        <f>IF(MC_MACHOTE!$X$35&gt;0,IF(MC_MACHOTE!$L$35="","CU",IF(MC_MACHOTE!$L$35="AL-MC","AL",MC_MACHOTE!$L$35)),"")</f>
        <v/>
      </c>
      <c r="V23" s="46" t="str">
        <f>IF(MC_MACHOTE!$X$35&gt;0,IF(MC_MACHOTE!$M$35="","THHN",MC_MACHOTE!$M$35),"")</f>
        <v/>
      </c>
      <c r="W23" s="46" t="str">
        <f>IF(MC_MACHOTE!$X$35&gt;0,MC_MACHOTE!$BT$35,"")</f>
        <v/>
      </c>
      <c r="X23" s="47" t="str">
        <f>MC_MACHOTE!$C$3</f>
        <v>MACHOTE</v>
      </c>
      <c r="Y23" s="46" t="s">
        <v>872</v>
      </c>
      <c r="Z23" s="47">
        <v>21</v>
      </c>
      <c r="AA23" s="47" t="str">
        <f t="shared" si="0"/>
        <v/>
      </c>
      <c r="AB23" s="47" t="str">
        <f t="shared" si="1"/>
        <v/>
      </c>
      <c r="AC23" s="68" t="str">
        <f>IF(MC_MACHOTE!$X$35&gt;0,IF(MC_MACHOTE!$AJ$35&gt;0,MC_MACHOTE!$AJ$35,""),"")</f>
        <v/>
      </c>
      <c r="AD23" s="61"/>
      <c r="AE23" s="51"/>
      <c r="AF23" s="68" t="str">
        <f>IF(MC_MACHOTE!$X$35&gt;0,IF(MC_MACHOTE!$AK$35&gt;0,MC_MACHOTE!$AK$35,""),"")</f>
        <v/>
      </c>
      <c r="AG23" s="61"/>
      <c r="AH23" s="51"/>
      <c r="AI23" s="68" t="str">
        <f>IF(MC_MACHOTE!$X$35&gt;0,IF(MC_MACHOTE!$AL$35&gt;0,MC_MACHOTE!$AL$35,""),"")</f>
        <v/>
      </c>
      <c r="AJ23" s="51"/>
      <c r="AL23" t="b">
        <f>COUNTIF(MC_MACHOTE!$CA$25:$CB$124,21)&gt;0</f>
        <v>0</v>
      </c>
      <c r="AM23">
        <v>21</v>
      </c>
    </row>
    <row r="24" spans="2:39" ht="23.45" customHeight="1" x14ac:dyDescent="0.45">
      <c r="B24" s="47" t="str">
        <f>MC_MACHOTE!$C$3</f>
        <v>MACHOTE</v>
      </c>
      <c r="C24" s="46" t="s">
        <v>872</v>
      </c>
      <c r="D24" s="47">
        <v>23</v>
      </c>
      <c r="E24" s="47" t="str">
        <f>IF(MC_MACHOTE!$X$36&gt;0,MC_MACHOTE!$CA$36,"")</f>
        <v/>
      </c>
      <c r="F24" s="47" t="str">
        <f>IF(MC_MACHOTE!$X$36&gt;0,MC_MACHOTE!$CB$36,"")</f>
        <v/>
      </c>
      <c r="G24" s="69" t="str">
        <f>IF(MC_MACHOTE!$X$36&gt;0,MC_MACHOTE!$W$36,"")</f>
        <v/>
      </c>
      <c r="H24" s="51"/>
      <c r="I24" s="43" t="str">
        <f>IF(MC_MACHOTE!$X$36&gt;0,MC_MACHOTE!$X$36,"")</f>
        <v/>
      </c>
      <c r="J24" s="43" t="str">
        <f>IF(MC_MACHOTE!$X$36&gt;0,MC_MACHOTE!$BH$36,"")</f>
        <v/>
      </c>
      <c r="K24" s="69" t="str">
        <f>IF(MC_MACHOTE!$X$36&gt;0,MC_MACHOTE!$BL$36,"")</f>
        <v/>
      </c>
      <c r="L24" s="51"/>
      <c r="M24" s="46" t="str">
        <f>IF(MC_MACHOTE!$X$36&gt;0,IF(N(MC_MACHOTE!$BP$36)&gt;0,MC_MACHOTE!$BP$36,""),"")</f>
        <v/>
      </c>
      <c r="N24" s="46" t="str">
        <f>IF(MC_MACHOTE!$X$36&gt;0,MC_MACHOTE!$AT$36,"")</f>
        <v/>
      </c>
      <c r="O24" s="46" t="str">
        <f>IF(MC_MACHOTE!$X$36&gt;0,MC_MACHOTE!$BO$36,"")</f>
        <v/>
      </c>
      <c r="P24" s="46" t="str">
        <f>IF(MC_MACHOTE!$X$36&gt;0,MC_MACHOTE!$BI$36,"")</f>
        <v/>
      </c>
      <c r="Q24" s="46" t="str">
        <f>IF(MC_MACHOTE!$X$36&gt;0,MC_MACHOTE!$BM$36,"")</f>
        <v/>
      </c>
      <c r="R24" s="46" t="str">
        <f>IF(MC_MACHOTE!$X$36&gt;0,MC_MACHOTE!$BQ$36,"")</f>
        <v/>
      </c>
      <c r="S24" s="46" t="str">
        <f>IF(MC_MACHOTE!$X$36&gt;0,MC_MACHOTE!$BR$36,"")</f>
        <v/>
      </c>
      <c r="T24" s="46" t="str">
        <f>IF(MC_MACHOTE!$X$36&gt;0,MC_MACHOTE!$BS$36,"")</f>
        <v/>
      </c>
      <c r="U24" s="46" t="str">
        <f>IF(MC_MACHOTE!$X$36&gt;0,IF(MC_MACHOTE!$L$36="","CU",IF(MC_MACHOTE!$L$36="AL-MC","AL",MC_MACHOTE!$L$36)),"")</f>
        <v/>
      </c>
      <c r="V24" s="46" t="str">
        <f>IF(MC_MACHOTE!$X$36&gt;0,IF(MC_MACHOTE!$M$36="","THHN",MC_MACHOTE!$M$36),"")</f>
        <v/>
      </c>
      <c r="W24" s="46" t="str">
        <f>IF(MC_MACHOTE!$X$36&gt;0,MC_MACHOTE!$BT$36,"")</f>
        <v/>
      </c>
      <c r="X24" s="47" t="str">
        <f>MC_MACHOTE!$C$3</f>
        <v>MACHOTE</v>
      </c>
      <c r="Y24" s="46" t="s">
        <v>872</v>
      </c>
      <c r="Z24" s="47">
        <v>23</v>
      </c>
      <c r="AA24" s="47" t="str">
        <f t="shared" si="0"/>
        <v/>
      </c>
      <c r="AB24" s="47" t="str">
        <f t="shared" si="1"/>
        <v/>
      </c>
      <c r="AC24" s="68" t="str">
        <f>IF(MC_MACHOTE!$X$36&gt;0,IF(MC_MACHOTE!$AJ$36&gt;0,MC_MACHOTE!$AJ$36,""),"")</f>
        <v/>
      </c>
      <c r="AD24" s="61"/>
      <c r="AE24" s="51"/>
      <c r="AF24" s="68" t="str">
        <f>IF(MC_MACHOTE!$X$36&gt;0,IF(MC_MACHOTE!$AK$36&gt;0,MC_MACHOTE!$AK$36,""),"")</f>
        <v/>
      </c>
      <c r="AG24" s="61"/>
      <c r="AH24" s="51"/>
      <c r="AI24" s="68" t="str">
        <f>IF(MC_MACHOTE!$X$36&gt;0,IF(MC_MACHOTE!$AL$36&gt;0,MC_MACHOTE!$AL$36,""),"")</f>
        <v/>
      </c>
      <c r="AJ24" s="51"/>
      <c r="AL24" t="b">
        <f>COUNTIF(MC_MACHOTE!$CA$25:$CB$124,23)&gt;0</f>
        <v>0</v>
      </c>
      <c r="AM24">
        <v>23</v>
      </c>
    </row>
    <row r="25" spans="2:39" ht="23.45" customHeight="1" x14ac:dyDescent="0.45">
      <c r="B25" s="47" t="str">
        <f>MC_MACHOTE!$C$3</f>
        <v>MACHOTE</v>
      </c>
      <c r="C25" s="46" t="s">
        <v>872</v>
      </c>
      <c r="D25" s="47">
        <v>25</v>
      </c>
      <c r="E25" s="47" t="str">
        <f>IF(MC_MACHOTE!$X$37&gt;0,MC_MACHOTE!$CA$37,"")</f>
        <v/>
      </c>
      <c r="F25" s="47" t="str">
        <f>IF(MC_MACHOTE!$X$37&gt;0,MC_MACHOTE!$CB$37,"")</f>
        <v/>
      </c>
      <c r="G25" s="69" t="str">
        <f>IF(MC_MACHOTE!$X$37&gt;0,MC_MACHOTE!$W$37,"")</f>
        <v/>
      </c>
      <c r="H25" s="51"/>
      <c r="I25" s="43" t="str">
        <f>IF(MC_MACHOTE!$X$37&gt;0,MC_MACHOTE!$X$37,"")</f>
        <v/>
      </c>
      <c r="J25" s="43" t="str">
        <f>IF(MC_MACHOTE!$X$37&gt;0,MC_MACHOTE!$BH$37,"")</f>
        <v/>
      </c>
      <c r="K25" s="69" t="str">
        <f>IF(MC_MACHOTE!$X$37&gt;0,MC_MACHOTE!$BL$37,"")</f>
        <v/>
      </c>
      <c r="L25" s="51"/>
      <c r="M25" s="46" t="str">
        <f>IF(MC_MACHOTE!$X$37&gt;0,IF(N(MC_MACHOTE!$BP$37)&gt;0,MC_MACHOTE!$BP$37,""),"")</f>
        <v/>
      </c>
      <c r="N25" s="46" t="str">
        <f>IF(MC_MACHOTE!$X$37&gt;0,MC_MACHOTE!$AT$37,"")</f>
        <v/>
      </c>
      <c r="O25" s="46" t="str">
        <f>IF(MC_MACHOTE!$X$37&gt;0,MC_MACHOTE!$BO$37,"")</f>
        <v/>
      </c>
      <c r="P25" s="46" t="str">
        <f>IF(MC_MACHOTE!$X$37&gt;0,MC_MACHOTE!$BI$37,"")</f>
        <v/>
      </c>
      <c r="Q25" s="46" t="str">
        <f>IF(MC_MACHOTE!$X$37&gt;0,MC_MACHOTE!$BM$37,"")</f>
        <v/>
      </c>
      <c r="R25" s="46" t="str">
        <f>IF(MC_MACHOTE!$X$37&gt;0,MC_MACHOTE!$BQ$37,"")</f>
        <v/>
      </c>
      <c r="S25" s="46" t="str">
        <f>IF(MC_MACHOTE!$X$37&gt;0,MC_MACHOTE!$BR$37,"")</f>
        <v/>
      </c>
      <c r="T25" s="46" t="str">
        <f>IF(MC_MACHOTE!$X$37&gt;0,MC_MACHOTE!$BS$37,"")</f>
        <v/>
      </c>
      <c r="U25" s="46" t="str">
        <f>IF(MC_MACHOTE!$X$37&gt;0,IF(MC_MACHOTE!$L$37="","CU",IF(MC_MACHOTE!$L$37="AL-MC","AL",MC_MACHOTE!$L$37)),"")</f>
        <v/>
      </c>
      <c r="V25" s="46" t="str">
        <f>IF(MC_MACHOTE!$X$37&gt;0,IF(MC_MACHOTE!$M$37="","THHN",MC_MACHOTE!$M$37),"")</f>
        <v/>
      </c>
      <c r="W25" s="46" t="str">
        <f>IF(MC_MACHOTE!$X$37&gt;0,MC_MACHOTE!$BT$37,"")</f>
        <v/>
      </c>
      <c r="X25" s="47" t="str">
        <f>MC_MACHOTE!$C$3</f>
        <v>MACHOTE</v>
      </c>
      <c r="Y25" s="46" t="s">
        <v>872</v>
      </c>
      <c r="Z25" s="47">
        <v>25</v>
      </c>
      <c r="AA25" s="47" t="str">
        <f t="shared" si="0"/>
        <v/>
      </c>
      <c r="AB25" s="47" t="str">
        <f t="shared" si="1"/>
        <v/>
      </c>
      <c r="AC25" s="68" t="str">
        <f>IF(MC_MACHOTE!$X$37&gt;0,IF(MC_MACHOTE!$AJ$37&gt;0,MC_MACHOTE!$AJ$37,""),"")</f>
        <v/>
      </c>
      <c r="AD25" s="61"/>
      <c r="AE25" s="51"/>
      <c r="AF25" s="68" t="str">
        <f>IF(MC_MACHOTE!$X$37&gt;0,IF(MC_MACHOTE!$AK$37&gt;0,MC_MACHOTE!$AK$37,""),"")</f>
        <v/>
      </c>
      <c r="AG25" s="61"/>
      <c r="AH25" s="51"/>
      <c r="AI25" s="68" t="str">
        <f>IF(MC_MACHOTE!$X$37&gt;0,IF(MC_MACHOTE!$AL$37&gt;0,MC_MACHOTE!$AL$37,""),"")</f>
        <v/>
      </c>
      <c r="AJ25" s="51"/>
      <c r="AL25" t="b">
        <f>COUNTIF(MC_MACHOTE!$CA$25:$CB$124,25)&gt;0</f>
        <v>0</v>
      </c>
      <c r="AM25">
        <v>25</v>
      </c>
    </row>
    <row r="26" spans="2:39" ht="23.45" customHeight="1" x14ac:dyDescent="0.45">
      <c r="B26" s="47" t="str">
        <f>MC_MACHOTE!$C$3</f>
        <v>MACHOTE</v>
      </c>
      <c r="C26" s="46" t="s">
        <v>872</v>
      </c>
      <c r="D26" s="47">
        <v>27</v>
      </c>
      <c r="E26" s="47" t="str">
        <f>IF(MC_MACHOTE!$X$38&gt;0,MC_MACHOTE!$CA$38,"")</f>
        <v/>
      </c>
      <c r="F26" s="47" t="str">
        <f>IF(MC_MACHOTE!$X$38&gt;0,MC_MACHOTE!$CB$38,"")</f>
        <v/>
      </c>
      <c r="G26" s="69" t="str">
        <f>IF(MC_MACHOTE!$X$38&gt;0,MC_MACHOTE!$W$38,"")</f>
        <v/>
      </c>
      <c r="H26" s="51"/>
      <c r="I26" s="43" t="str">
        <f>IF(MC_MACHOTE!$X$38&gt;0,MC_MACHOTE!$X$38,"")</f>
        <v/>
      </c>
      <c r="J26" s="43" t="str">
        <f>IF(MC_MACHOTE!$X$38&gt;0,MC_MACHOTE!$BH$38,"")</f>
        <v/>
      </c>
      <c r="K26" s="69" t="str">
        <f>IF(MC_MACHOTE!$X$38&gt;0,MC_MACHOTE!$BL$38,"")</f>
        <v/>
      </c>
      <c r="L26" s="51"/>
      <c r="M26" s="46" t="str">
        <f>IF(MC_MACHOTE!$X$38&gt;0,IF(N(MC_MACHOTE!$BP$38)&gt;0,MC_MACHOTE!$BP$38,""),"")</f>
        <v/>
      </c>
      <c r="N26" s="46" t="str">
        <f>IF(MC_MACHOTE!$X$38&gt;0,MC_MACHOTE!$AT$38,"")</f>
        <v/>
      </c>
      <c r="O26" s="46" t="str">
        <f>IF(MC_MACHOTE!$X$38&gt;0,MC_MACHOTE!$BO$38,"")</f>
        <v/>
      </c>
      <c r="P26" s="46" t="str">
        <f>IF(MC_MACHOTE!$X$38&gt;0,MC_MACHOTE!$BI$38,"")</f>
        <v/>
      </c>
      <c r="Q26" s="46" t="str">
        <f>IF(MC_MACHOTE!$X$38&gt;0,MC_MACHOTE!$BM$38,"")</f>
        <v/>
      </c>
      <c r="R26" s="46" t="str">
        <f>IF(MC_MACHOTE!$X$38&gt;0,MC_MACHOTE!$BQ$38,"")</f>
        <v/>
      </c>
      <c r="S26" s="46" t="str">
        <f>IF(MC_MACHOTE!$X$38&gt;0,MC_MACHOTE!$BR$38,"")</f>
        <v/>
      </c>
      <c r="T26" s="46" t="str">
        <f>IF(MC_MACHOTE!$X$38&gt;0,MC_MACHOTE!$BS$38,"")</f>
        <v/>
      </c>
      <c r="U26" s="46" t="str">
        <f>IF(MC_MACHOTE!$X$38&gt;0,IF(MC_MACHOTE!$L$38="","CU",IF(MC_MACHOTE!$L$38="AL-MC","AL",MC_MACHOTE!$L$38)),"")</f>
        <v/>
      </c>
      <c r="V26" s="46" t="str">
        <f>IF(MC_MACHOTE!$X$38&gt;0,IF(MC_MACHOTE!$M$38="","THHN",MC_MACHOTE!$M$38),"")</f>
        <v/>
      </c>
      <c r="W26" s="46" t="str">
        <f>IF(MC_MACHOTE!$X$38&gt;0,MC_MACHOTE!$BT$38,"")</f>
        <v/>
      </c>
      <c r="X26" s="47" t="str">
        <f>MC_MACHOTE!$C$3</f>
        <v>MACHOTE</v>
      </c>
      <c r="Y26" s="46" t="s">
        <v>872</v>
      </c>
      <c r="Z26" s="47">
        <v>27</v>
      </c>
      <c r="AA26" s="47" t="str">
        <f t="shared" si="0"/>
        <v/>
      </c>
      <c r="AB26" s="47" t="str">
        <f t="shared" si="1"/>
        <v/>
      </c>
      <c r="AC26" s="68" t="str">
        <f>IF(MC_MACHOTE!$X$38&gt;0,IF(MC_MACHOTE!$AJ$38&gt;0,MC_MACHOTE!$AJ$38,""),"")</f>
        <v/>
      </c>
      <c r="AD26" s="61"/>
      <c r="AE26" s="51"/>
      <c r="AF26" s="68" t="str">
        <f>IF(MC_MACHOTE!$X$38&gt;0,IF(MC_MACHOTE!$AK$38&gt;0,MC_MACHOTE!$AK$38,""),"")</f>
        <v/>
      </c>
      <c r="AG26" s="61"/>
      <c r="AH26" s="51"/>
      <c r="AI26" s="68" t="str">
        <f>IF(MC_MACHOTE!$X$38&gt;0,IF(MC_MACHOTE!$AL$38&gt;0,MC_MACHOTE!$AL$38,""),"")</f>
        <v/>
      </c>
      <c r="AJ26" s="51"/>
      <c r="AL26" t="b">
        <f>COUNTIF(MC_MACHOTE!$CA$25:$CB$124,27)&gt;0</f>
        <v>0</v>
      </c>
      <c r="AM26">
        <v>27</v>
      </c>
    </row>
    <row r="27" spans="2:39" ht="23.45" customHeight="1" x14ac:dyDescent="0.45">
      <c r="B27" s="47" t="str">
        <f>MC_MACHOTE!$C$3</f>
        <v>MACHOTE</v>
      </c>
      <c r="C27" s="46" t="s">
        <v>872</v>
      </c>
      <c r="D27" s="47">
        <v>29</v>
      </c>
      <c r="E27" s="47" t="str">
        <f>IF(MC_MACHOTE!$X$39&gt;0,MC_MACHOTE!$CA$39,"")</f>
        <v/>
      </c>
      <c r="F27" s="47" t="str">
        <f>IF(MC_MACHOTE!$X$39&gt;0,MC_MACHOTE!$CB$39,"")</f>
        <v/>
      </c>
      <c r="G27" s="69" t="str">
        <f>IF(MC_MACHOTE!$X$39&gt;0,MC_MACHOTE!$W$39,"")</f>
        <v/>
      </c>
      <c r="H27" s="51"/>
      <c r="I27" s="43" t="str">
        <f>IF(MC_MACHOTE!$X$39&gt;0,MC_MACHOTE!$X$39,"")</f>
        <v/>
      </c>
      <c r="J27" s="43" t="str">
        <f>IF(MC_MACHOTE!$X$39&gt;0,MC_MACHOTE!$BH$39,"")</f>
        <v/>
      </c>
      <c r="K27" s="69" t="str">
        <f>IF(MC_MACHOTE!$X$39&gt;0,MC_MACHOTE!$BL$39,"")</f>
        <v/>
      </c>
      <c r="L27" s="51"/>
      <c r="M27" s="46" t="str">
        <f>IF(MC_MACHOTE!$X$39&gt;0,IF(N(MC_MACHOTE!$BP$39)&gt;0,MC_MACHOTE!$BP$39,""),"")</f>
        <v/>
      </c>
      <c r="N27" s="46" t="str">
        <f>IF(MC_MACHOTE!$X$39&gt;0,MC_MACHOTE!$AT$39,"")</f>
        <v/>
      </c>
      <c r="O27" s="46" t="str">
        <f>IF(MC_MACHOTE!$X$39&gt;0,MC_MACHOTE!$BO$39,"")</f>
        <v/>
      </c>
      <c r="P27" s="46" t="str">
        <f>IF(MC_MACHOTE!$X$39&gt;0,MC_MACHOTE!$BI$39,"")</f>
        <v/>
      </c>
      <c r="Q27" s="46" t="str">
        <f>IF(MC_MACHOTE!$X$39&gt;0,MC_MACHOTE!$BM$39,"")</f>
        <v/>
      </c>
      <c r="R27" s="46" t="str">
        <f>IF(MC_MACHOTE!$X$39&gt;0,MC_MACHOTE!$BQ$39,"")</f>
        <v/>
      </c>
      <c r="S27" s="46" t="str">
        <f>IF(MC_MACHOTE!$X$39&gt;0,MC_MACHOTE!$BR$39,"")</f>
        <v/>
      </c>
      <c r="T27" s="46" t="str">
        <f>IF(MC_MACHOTE!$X$39&gt;0,MC_MACHOTE!$BS$39,"")</f>
        <v/>
      </c>
      <c r="U27" s="46" t="str">
        <f>IF(MC_MACHOTE!$X$39&gt;0,IF(MC_MACHOTE!$L$39="","CU",IF(MC_MACHOTE!$L$39="AL-MC","AL",MC_MACHOTE!$L$39)),"")</f>
        <v/>
      </c>
      <c r="V27" s="46" t="str">
        <f>IF(MC_MACHOTE!$X$39&gt;0,IF(MC_MACHOTE!$M$39="","THHN",MC_MACHOTE!$M$39),"")</f>
        <v/>
      </c>
      <c r="W27" s="46" t="str">
        <f>IF(MC_MACHOTE!$X$39&gt;0,MC_MACHOTE!$BT$39,"")</f>
        <v/>
      </c>
      <c r="X27" s="47" t="str">
        <f>MC_MACHOTE!$C$3</f>
        <v>MACHOTE</v>
      </c>
      <c r="Y27" s="46" t="s">
        <v>872</v>
      </c>
      <c r="Z27" s="47">
        <v>29</v>
      </c>
      <c r="AA27" s="47" t="str">
        <f t="shared" si="0"/>
        <v/>
      </c>
      <c r="AB27" s="47" t="str">
        <f t="shared" si="1"/>
        <v/>
      </c>
      <c r="AC27" s="68" t="str">
        <f>IF(MC_MACHOTE!$X$39&gt;0,IF(MC_MACHOTE!$AJ$39&gt;0,MC_MACHOTE!$AJ$39,""),"")</f>
        <v/>
      </c>
      <c r="AD27" s="61"/>
      <c r="AE27" s="51"/>
      <c r="AF27" s="68" t="str">
        <f>IF(MC_MACHOTE!$X$39&gt;0,IF(MC_MACHOTE!$AK$39&gt;0,MC_MACHOTE!$AK$39,""),"")</f>
        <v/>
      </c>
      <c r="AG27" s="61"/>
      <c r="AH27" s="51"/>
      <c r="AI27" s="68" t="str">
        <f>IF(MC_MACHOTE!$X$39&gt;0,IF(MC_MACHOTE!$AL$39&gt;0,MC_MACHOTE!$AL$39,""),"")</f>
        <v/>
      </c>
      <c r="AJ27" s="51"/>
      <c r="AL27" t="b">
        <f>COUNTIF(MC_MACHOTE!$CA$25:$CB$124,29)&gt;0</f>
        <v>0</v>
      </c>
      <c r="AM27">
        <v>29</v>
      </c>
    </row>
    <row r="28" spans="2:39" ht="23.45" customHeight="1" x14ac:dyDescent="0.45">
      <c r="B28" s="47" t="str">
        <f>MC_MACHOTE!$C$3</f>
        <v>MACHOTE</v>
      </c>
      <c r="C28" s="46" t="s">
        <v>872</v>
      </c>
      <c r="D28" s="47">
        <v>31</v>
      </c>
      <c r="E28" s="47" t="str">
        <f>IF(MC_MACHOTE!$X$40&gt;0,MC_MACHOTE!$CA$40,"")</f>
        <v/>
      </c>
      <c r="F28" s="47" t="str">
        <f>IF(MC_MACHOTE!$X$40&gt;0,MC_MACHOTE!$CB$40,"")</f>
        <v/>
      </c>
      <c r="G28" s="69" t="str">
        <f>IF(MC_MACHOTE!$X$40&gt;0,MC_MACHOTE!$W$40,"")</f>
        <v/>
      </c>
      <c r="H28" s="51"/>
      <c r="I28" s="43" t="str">
        <f>IF(MC_MACHOTE!$X$40&gt;0,MC_MACHOTE!$X$40,"")</f>
        <v/>
      </c>
      <c r="J28" s="43" t="str">
        <f>IF(MC_MACHOTE!$X$40&gt;0,MC_MACHOTE!$BH$40,"")</f>
        <v/>
      </c>
      <c r="K28" s="69" t="str">
        <f>IF(MC_MACHOTE!$X$40&gt;0,MC_MACHOTE!$BL$40,"")</f>
        <v/>
      </c>
      <c r="L28" s="51"/>
      <c r="M28" s="46" t="str">
        <f>IF(MC_MACHOTE!$X$40&gt;0,IF(N(MC_MACHOTE!$BP$40)&gt;0,MC_MACHOTE!$BP$40,""),"")</f>
        <v/>
      </c>
      <c r="N28" s="46" t="str">
        <f>IF(MC_MACHOTE!$X$40&gt;0,MC_MACHOTE!$AT$40,"")</f>
        <v/>
      </c>
      <c r="O28" s="46" t="str">
        <f>IF(MC_MACHOTE!$X$40&gt;0,MC_MACHOTE!$BO$40,"")</f>
        <v/>
      </c>
      <c r="P28" s="46" t="str">
        <f>IF(MC_MACHOTE!$X$40&gt;0,MC_MACHOTE!$BI$40,"")</f>
        <v/>
      </c>
      <c r="Q28" s="46" t="str">
        <f>IF(MC_MACHOTE!$X$40&gt;0,MC_MACHOTE!$BM$40,"")</f>
        <v/>
      </c>
      <c r="R28" s="46" t="str">
        <f>IF(MC_MACHOTE!$X$40&gt;0,MC_MACHOTE!$BQ$40,"")</f>
        <v/>
      </c>
      <c r="S28" s="46" t="str">
        <f>IF(MC_MACHOTE!$X$40&gt;0,MC_MACHOTE!$BR$40,"")</f>
        <v/>
      </c>
      <c r="T28" s="46" t="str">
        <f>IF(MC_MACHOTE!$X$40&gt;0,MC_MACHOTE!$BS$40,"")</f>
        <v/>
      </c>
      <c r="U28" s="46" t="str">
        <f>IF(MC_MACHOTE!$X$40&gt;0,IF(MC_MACHOTE!$L$40="","CU",IF(MC_MACHOTE!$L$40="AL-MC","AL",MC_MACHOTE!$L$40)),"")</f>
        <v/>
      </c>
      <c r="V28" s="46" t="str">
        <f>IF(MC_MACHOTE!$X$40&gt;0,IF(MC_MACHOTE!$M$40="","THHN",MC_MACHOTE!$M$40),"")</f>
        <v/>
      </c>
      <c r="W28" s="46" t="str">
        <f>IF(MC_MACHOTE!$X$40&gt;0,MC_MACHOTE!$BT$40,"")</f>
        <v/>
      </c>
      <c r="X28" s="47" t="str">
        <f>MC_MACHOTE!$C$3</f>
        <v>MACHOTE</v>
      </c>
      <c r="Y28" s="46" t="s">
        <v>872</v>
      </c>
      <c r="Z28" s="47">
        <v>31</v>
      </c>
      <c r="AA28" s="47" t="str">
        <f t="shared" si="0"/>
        <v/>
      </c>
      <c r="AB28" s="47" t="str">
        <f t="shared" si="1"/>
        <v/>
      </c>
      <c r="AC28" s="68" t="str">
        <f>IF(MC_MACHOTE!$X$40&gt;0,IF(MC_MACHOTE!$AJ$40&gt;0,MC_MACHOTE!$AJ$40,""),"")</f>
        <v/>
      </c>
      <c r="AD28" s="61"/>
      <c r="AE28" s="51"/>
      <c r="AF28" s="68" t="str">
        <f>IF(MC_MACHOTE!$X$40&gt;0,IF(MC_MACHOTE!$AK$40&gt;0,MC_MACHOTE!$AK$40,""),"")</f>
        <v/>
      </c>
      <c r="AG28" s="61"/>
      <c r="AH28" s="51"/>
      <c r="AI28" s="68" t="str">
        <f>IF(MC_MACHOTE!$X$40&gt;0,IF(MC_MACHOTE!$AL$40&gt;0,MC_MACHOTE!$AL$40,""),"")</f>
        <v/>
      </c>
      <c r="AJ28" s="51"/>
      <c r="AL28" t="b">
        <f>COUNTIF(MC_MACHOTE!$CA$25:$CB$124,31)&gt;0</f>
        <v>0</v>
      </c>
      <c r="AM28">
        <v>31</v>
      </c>
    </row>
    <row r="29" spans="2:39" ht="23.45" customHeight="1" x14ac:dyDescent="0.45">
      <c r="B29" s="47" t="str">
        <f>MC_MACHOTE!$C$3</f>
        <v>MACHOTE</v>
      </c>
      <c r="C29" s="46" t="s">
        <v>872</v>
      </c>
      <c r="D29" s="47">
        <v>33</v>
      </c>
      <c r="E29" s="47" t="str">
        <f>IF(MC_MACHOTE!$X$41&gt;0,MC_MACHOTE!$CA$41,"")</f>
        <v/>
      </c>
      <c r="F29" s="47" t="str">
        <f>IF(MC_MACHOTE!$X$41&gt;0,MC_MACHOTE!$CB$41,"")</f>
        <v/>
      </c>
      <c r="G29" s="69" t="str">
        <f>IF(MC_MACHOTE!$X$41&gt;0,MC_MACHOTE!$W$41,"")</f>
        <v/>
      </c>
      <c r="H29" s="51"/>
      <c r="I29" s="43" t="str">
        <f>IF(MC_MACHOTE!$X$41&gt;0,MC_MACHOTE!$X$41,"")</f>
        <v/>
      </c>
      <c r="J29" s="43" t="str">
        <f>IF(MC_MACHOTE!$X$41&gt;0,MC_MACHOTE!$BH$41,"")</f>
        <v/>
      </c>
      <c r="K29" s="69" t="str">
        <f>IF(MC_MACHOTE!$X$41&gt;0,MC_MACHOTE!$BL$41,"")</f>
        <v/>
      </c>
      <c r="L29" s="51"/>
      <c r="M29" s="46" t="str">
        <f>IF(MC_MACHOTE!$X$41&gt;0,IF(N(MC_MACHOTE!$BP$41)&gt;0,MC_MACHOTE!$BP$41,""),"")</f>
        <v/>
      </c>
      <c r="N29" s="46" t="str">
        <f>IF(MC_MACHOTE!$X$41&gt;0,MC_MACHOTE!$AT$41,"")</f>
        <v/>
      </c>
      <c r="O29" s="46" t="str">
        <f>IF(MC_MACHOTE!$X$41&gt;0,MC_MACHOTE!$BO$41,"")</f>
        <v/>
      </c>
      <c r="P29" s="46" t="str">
        <f>IF(MC_MACHOTE!$X$41&gt;0,MC_MACHOTE!$BI$41,"")</f>
        <v/>
      </c>
      <c r="Q29" s="46" t="str">
        <f>IF(MC_MACHOTE!$X$41&gt;0,MC_MACHOTE!$BM$41,"")</f>
        <v/>
      </c>
      <c r="R29" s="46" t="str">
        <f>IF(MC_MACHOTE!$X$41&gt;0,MC_MACHOTE!$BQ$41,"")</f>
        <v/>
      </c>
      <c r="S29" s="46" t="str">
        <f>IF(MC_MACHOTE!$X$41&gt;0,MC_MACHOTE!$BR$41,"")</f>
        <v/>
      </c>
      <c r="T29" s="46" t="str">
        <f>IF(MC_MACHOTE!$X$41&gt;0,MC_MACHOTE!$BS$41,"")</f>
        <v/>
      </c>
      <c r="U29" s="46" t="str">
        <f>IF(MC_MACHOTE!$X$41&gt;0,IF(MC_MACHOTE!$L$41="","CU",IF(MC_MACHOTE!$L$41="AL-MC","AL",MC_MACHOTE!$L$41)),"")</f>
        <v/>
      </c>
      <c r="V29" s="46" t="str">
        <f>IF(MC_MACHOTE!$X$41&gt;0,IF(MC_MACHOTE!$M$41="","THHN",MC_MACHOTE!$M$41),"")</f>
        <v/>
      </c>
      <c r="W29" s="46" t="str">
        <f>IF(MC_MACHOTE!$X$41&gt;0,MC_MACHOTE!$BT$41,"")</f>
        <v/>
      </c>
      <c r="X29" s="47" t="str">
        <f>MC_MACHOTE!$C$3</f>
        <v>MACHOTE</v>
      </c>
      <c r="Y29" s="46" t="s">
        <v>872</v>
      </c>
      <c r="Z29" s="47">
        <v>33</v>
      </c>
      <c r="AA29" s="47" t="str">
        <f t="shared" si="0"/>
        <v/>
      </c>
      <c r="AB29" s="47" t="str">
        <f t="shared" si="1"/>
        <v/>
      </c>
      <c r="AC29" s="68" t="str">
        <f>IF(MC_MACHOTE!$X$41&gt;0,IF(MC_MACHOTE!$AJ$41&gt;0,MC_MACHOTE!$AJ$41,""),"")</f>
        <v/>
      </c>
      <c r="AD29" s="61"/>
      <c r="AE29" s="51"/>
      <c r="AF29" s="68" t="str">
        <f>IF(MC_MACHOTE!$X$41&gt;0,IF(MC_MACHOTE!$AK$41&gt;0,MC_MACHOTE!$AK$41,""),"")</f>
        <v/>
      </c>
      <c r="AG29" s="61"/>
      <c r="AH29" s="51"/>
      <c r="AI29" s="68" t="str">
        <f>IF(MC_MACHOTE!$X$41&gt;0,IF(MC_MACHOTE!$AL$41&gt;0,MC_MACHOTE!$AL$41,""),"")</f>
        <v/>
      </c>
      <c r="AJ29" s="51"/>
      <c r="AL29" t="b">
        <f>COUNTIF(MC_MACHOTE!$CA$25:$CB$124,33)&gt;0</f>
        <v>0</v>
      </c>
      <c r="AM29">
        <v>33</v>
      </c>
    </row>
    <row r="30" spans="2:39" ht="23.45" customHeight="1" x14ac:dyDescent="0.45">
      <c r="B30" s="47" t="str">
        <f>MC_MACHOTE!$C$3</f>
        <v>MACHOTE</v>
      </c>
      <c r="C30" s="46" t="s">
        <v>872</v>
      </c>
      <c r="D30" s="47">
        <v>35</v>
      </c>
      <c r="E30" s="47" t="str">
        <f>IF(MC_MACHOTE!$X$42&gt;0,MC_MACHOTE!$CA$42,"")</f>
        <v/>
      </c>
      <c r="F30" s="47" t="str">
        <f>IF(MC_MACHOTE!$X$42&gt;0,MC_MACHOTE!$CB$42,"")</f>
        <v/>
      </c>
      <c r="G30" s="69" t="str">
        <f>IF(MC_MACHOTE!$X$42&gt;0,MC_MACHOTE!$W$42,"")</f>
        <v/>
      </c>
      <c r="H30" s="51"/>
      <c r="I30" s="43" t="str">
        <f>IF(MC_MACHOTE!$X$42&gt;0,MC_MACHOTE!$X$42,"")</f>
        <v/>
      </c>
      <c r="J30" s="43" t="str">
        <f>IF(MC_MACHOTE!$X$42&gt;0,MC_MACHOTE!$BH$42,"")</f>
        <v/>
      </c>
      <c r="K30" s="69" t="str">
        <f>IF(MC_MACHOTE!$X$42&gt;0,MC_MACHOTE!$BL$42,"")</f>
        <v/>
      </c>
      <c r="L30" s="51"/>
      <c r="M30" s="46" t="str">
        <f>IF(MC_MACHOTE!$X$42&gt;0,IF(N(MC_MACHOTE!$BP$42)&gt;0,MC_MACHOTE!$BP$42,""),"")</f>
        <v/>
      </c>
      <c r="N30" s="46" t="str">
        <f>IF(MC_MACHOTE!$X$42&gt;0,MC_MACHOTE!$AT$42,"")</f>
        <v/>
      </c>
      <c r="O30" s="46" t="str">
        <f>IF(MC_MACHOTE!$X$42&gt;0,MC_MACHOTE!$BO$42,"")</f>
        <v/>
      </c>
      <c r="P30" s="46" t="str">
        <f>IF(MC_MACHOTE!$X$42&gt;0,MC_MACHOTE!$BI$42,"")</f>
        <v/>
      </c>
      <c r="Q30" s="46" t="str">
        <f>IF(MC_MACHOTE!$X$42&gt;0,MC_MACHOTE!$BM$42,"")</f>
        <v/>
      </c>
      <c r="R30" s="46" t="str">
        <f>IF(MC_MACHOTE!$X$42&gt;0,MC_MACHOTE!$BQ$42,"")</f>
        <v/>
      </c>
      <c r="S30" s="46" t="str">
        <f>IF(MC_MACHOTE!$X$42&gt;0,MC_MACHOTE!$BR$42,"")</f>
        <v/>
      </c>
      <c r="T30" s="46" t="str">
        <f>IF(MC_MACHOTE!$X$42&gt;0,MC_MACHOTE!$BS$42,"")</f>
        <v/>
      </c>
      <c r="U30" s="46" t="str">
        <f>IF(MC_MACHOTE!$X$42&gt;0,IF(MC_MACHOTE!$L$42="","CU",IF(MC_MACHOTE!$L$42="AL-MC","AL",MC_MACHOTE!$L$42)),"")</f>
        <v/>
      </c>
      <c r="V30" s="46" t="str">
        <f>IF(MC_MACHOTE!$X$42&gt;0,IF(MC_MACHOTE!$M$42="","THHN",MC_MACHOTE!$M$42),"")</f>
        <v/>
      </c>
      <c r="W30" s="46" t="str">
        <f>IF(MC_MACHOTE!$X$42&gt;0,MC_MACHOTE!$BT$42,"")</f>
        <v/>
      </c>
      <c r="X30" s="47" t="str">
        <f>MC_MACHOTE!$C$3</f>
        <v>MACHOTE</v>
      </c>
      <c r="Y30" s="46" t="s">
        <v>872</v>
      </c>
      <c r="Z30" s="47">
        <v>35</v>
      </c>
      <c r="AA30" s="47" t="str">
        <f t="shared" si="0"/>
        <v/>
      </c>
      <c r="AB30" s="47" t="str">
        <f t="shared" si="1"/>
        <v/>
      </c>
      <c r="AC30" s="68" t="str">
        <f>IF(MC_MACHOTE!$X$42&gt;0,IF(MC_MACHOTE!$AJ$42&gt;0,MC_MACHOTE!$AJ$42,""),"")</f>
        <v/>
      </c>
      <c r="AD30" s="61"/>
      <c r="AE30" s="51"/>
      <c r="AF30" s="68" t="str">
        <f>IF(MC_MACHOTE!$X$42&gt;0,IF(MC_MACHOTE!$AK$42&gt;0,MC_MACHOTE!$AK$42,""),"")</f>
        <v/>
      </c>
      <c r="AG30" s="61"/>
      <c r="AH30" s="51"/>
      <c r="AI30" s="68" t="str">
        <f>IF(MC_MACHOTE!$X$42&gt;0,IF(MC_MACHOTE!$AL$42&gt;0,MC_MACHOTE!$AL$42,""),"")</f>
        <v/>
      </c>
      <c r="AJ30" s="51"/>
      <c r="AL30" t="b">
        <f>COUNTIF(MC_MACHOTE!$CA$25:$CB$124,35)&gt;0</f>
        <v>0</v>
      </c>
      <c r="AM30">
        <v>35</v>
      </c>
    </row>
    <row r="31" spans="2:39" ht="23.45" customHeight="1" x14ac:dyDescent="0.45">
      <c r="B31" s="47" t="str">
        <f>MC_MACHOTE!$C$3</f>
        <v>MACHOTE</v>
      </c>
      <c r="C31" s="46" t="s">
        <v>872</v>
      </c>
      <c r="D31" s="47">
        <v>37</v>
      </c>
      <c r="E31" s="47" t="str">
        <f>IF(MC_MACHOTE!$X$43&gt;0,MC_MACHOTE!$CA$43,"")</f>
        <v/>
      </c>
      <c r="F31" s="47" t="str">
        <f>IF(MC_MACHOTE!$X$43&gt;0,MC_MACHOTE!$CB$43,"")</f>
        <v/>
      </c>
      <c r="G31" s="69" t="str">
        <f>IF(MC_MACHOTE!$X$43&gt;0,MC_MACHOTE!$W$43,"")</f>
        <v/>
      </c>
      <c r="H31" s="51"/>
      <c r="I31" s="43" t="str">
        <f>IF(MC_MACHOTE!$X$43&gt;0,MC_MACHOTE!$X$43,"")</f>
        <v/>
      </c>
      <c r="J31" s="43" t="str">
        <f>IF(MC_MACHOTE!$X$43&gt;0,MC_MACHOTE!$BH$43,"")</f>
        <v/>
      </c>
      <c r="K31" s="69" t="str">
        <f>IF(MC_MACHOTE!$X$43&gt;0,MC_MACHOTE!$BL$43,"")</f>
        <v/>
      </c>
      <c r="L31" s="51"/>
      <c r="M31" s="46" t="str">
        <f>IF(MC_MACHOTE!$X$43&gt;0,IF(N(MC_MACHOTE!$BP$43)&gt;0,MC_MACHOTE!$BP$43,""),"")</f>
        <v/>
      </c>
      <c r="N31" s="46" t="str">
        <f>IF(MC_MACHOTE!$X$43&gt;0,MC_MACHOTE!$AT$43,"")</f>
        <v/>
      </c>
      <c r="O31" s="46" t="str">
        <f>IF(MC_MACHOTE!$X$43&gt;0,MC_MACHOTE!$BO$43,"")</f>
        <v/>
      </c>
      <c r="P31" s="46" t="str">
        <f>IF(MC_MACHOTE!$X$43&gt;0,MC_MACHOTE!$BI$43,"")</f>
        <v/>
      </c>
      <c r="Q31" s="46" t="str">
        <f>IF(MC_MACHOTE!$X$43&gt;0,MC_MACHOTE!$BM$43,"")</f>
        <v/>
      </c>
      <c r="R31" s="46" t="str">
        <f>IF(MC_MACHOTE!$X$43&gt;0,MC_MACHOTE!$BQ$43,"")</f>
        <v/>
      </c>
      <c r="S31" s="46" t="str">
        <f>IF(MC_MACHOTE!$X$43&gt;0,MC_MACHOTE!$BR$43,"")</f>
        <v/>
      </c>
      <c r="T31" s="46" t="str">
        <f>IF(MC_MACHOTE!$X$43&gt;0,MC_MACHOTE!$BS$43,"")</f>
        <v/>
      </c>
      <c r="U31" s="46" t="str">
        <f>IF(MC_MACHOTE!$X$43&gt;0,IF(MC_MACHOTE!$L$43="","CU",IF(MC_MACHOTE!$L$43="AL-MC","AL",MC_MACHOTE!$L$43)),"")</f>
        <v/>
      </c>
      <c r="V31" s="46" t="str">
        <f>IF(MC_MACHOTE!$X$43&gt;0,IF(MC_MACHOTE!$M$43="","THHN",MC_MACHOTE!$M$43),"")</f>
        <v/>
      </c>
      <c r="W31" s="46" t="str">
        <f>IF(MC_MACHOTE!$X$43&gt;0,MC_MACHOTE!$BT$43,"")</f>
        <v/>
      </c>
      <c r="X31" s="47" t="str">
        <f>MC_MACHOTE!$C$3</f>
        <v>MACHOTE</v>
      </c>
      <c r="Y31" s="46" t="s">
        <v>872</v>
      </c>
      <c r="Z31" s="47">
        <v>37</v>
      </c>
      <c r="AA31" s="47" t="str">
        <f t="shared" si="0"/>
        <v/>
      </c>
      <c r="AB31" s="47" t="str">
        <f t="shared" si="1"/>
        <v/>
      </c>
      <c r="AC31" s="68" t="str">
        <f>IF(MC_MACHOTE!$X$43&gt;0,IF(MC_MACHOTE!$AJ$43&gt;0,MC_MACHOTE!$AJ$43,""),"")</f>
        <v/>
      </c>
      <c r="AD31" s="61"/>
      <c r="AE31" s="51"/>
      <c r="AF31" s="68" t="str">
        <f>IF(MC_MACHOTE!$X$43&gt;0,IF(MC_MACHOTE!$AK$43&gt;0,MC_MACHOTE!$AK$43,""),"")</f>
        <v/>
      </c>
      <c r="AG31" s="61"/>
      <c r="AH31" s="51"/>
      <c r="AI31" s="68" t="str">
        <f>IF(MC_MACHOTE!$X$43&gt;0,IF(MC_MACHOTE!$AL$43&gt;0,MC_MACHOTE!$AL$43,""),"")</f>
        <v/>
      </c>
      <c r="AJ31" s="51"/>
      <c r="AL31" t="b">
        <f>COUNTIF(MC_MACHOTE!$CA$25:$CB$124,37)&gt;0</f>
        <v>0</v>
      </c>
      <c r="AM31">
        <v>37</v>
      </c>
    </row>
    <row r="32" spans="2:39" ht="23.45" customHeight="1" x14ac:dyDescent="0.45">
      <c r="B32" s="47" t="str">
        <f>MC_MACHOTE!$C$3</f>
        <v>MACHOTE</v>
      </c>
      <c r="C32" s="46" t="s">
        <v>872</v>
      </c>
      <c r="D32" s="47">
        <v>39</v>
      </c>
      <c r="E32" s="47" t="str">
        <f>IF(MC_MACHOTE!$X$44&gt;0,MC_MACHOTE!$CA$44,"")</f>
        <v/>
      </c>
      <c r="F32" s="47" t="str">
        <f>IF(MC_MACHOTE!$X$44&gt;0,MC_MACHOTE!$CB$44,"")</f>
        <v/>
      </c>
      <c r="G32" s="69" t="str">
        <f>IF(MC_MACHOTE!$X$44&gt;0,MC_MACHOTE!$W$44,"")</f>
        <v/>
      </c>
      <c r="H32" s="51"/>
      <c r="I32" s="43" t="str">
        <f>IF(MC_MACHOTE!$X$44&gt;0,MC_MACHOTE!$X$44,"")</f>
        <v/>
      </c>
      <c r="J32" s="43" t="str">
        <f>IF(MC_MACHOTE!$X$44&gt;0,MC_MACHOTE!$BH$44,"")</f>
        <v/>
      </c>
      <c r="K32" s="69" t="str">
        <f>IF(MC_MACHOTE!$X$44&gt;0,MC_MACHOTE!$BL$44,"")</f>
        <v/>
      </c>
      <c r="L32" s="51"/>
      <c r="M32" s="46" t="str">
        <f>IF(MC_MACHOTE!$X$44&gt;0,IF(N(MC_MACHOTE!$BP$44)&gt;0,MC_MACHOTE!$BP$44,""),"")</f>
        <v/>
      </c>
      <c r="N32" s="46" t="str">
        <f>IF(MC_MACHOTE!$X$44&gt;0,MC_MACHOTE!$AT$44,"")</f>
        <v/>
      </c>
      <c r="O32" s="46" t="str">
        <f>IF(MC_MACHOTE!$X$44&gt;0,MC_MACHOTE!$BO$44,"")</f>
        <v/>
      </c>
      <c r="P32" s="46" t="str">
        <f>IF(MC_MACHOTE!$X$44&gt;0,MC_MACHOTE!$BI$44,"")</f>
        <v/>
      </c>
      <c r="Q32" s="46" t="str">
        <f>IF(MC_MACHOTE!$X$44&gt;0,MC_MACHOTE!$BM$44,"")</f>
        <v/>
      </c>
      <c r="R32" s="46" t="str">
        <f>IF(MC_MACHOTE!$X$44&gt;0,MC_MACHOTE!$BQ$44,"")</f>
        <v/>
      </c>
      <c r="S32" s="46" t="str">
        <f>IF(MC_MACHOTE!$X$44&gt;0,MC_MACHOTE!$BR$44,"")</f>
        <v/>
      </c>
      <c r="T32" s="46" t="str">
        <f>IF(MC_MACHOTE!$X$44&gt;0,MC_MACHOTE!$BS$44,"")</f>
        <v/>
      </c>
      <c r="U32" s="46" t="str">
        <f>IF(MC_MACHOTE!$X$44&gt;0,IF(MC_MACHOTE!$L$44="","CU",IF(MC_MACHOTE!$L$44="AL-MC","AL",MC_MACHOTE!$L$44)),"")</f>
        <v/>
      </c>
      <c r="V32" s="46" t="str">
        <f>IF(MC_MACHOTE!$X$44&gt;0,IF(MC_MACHOTE!$M$44="","THHN",MC_MACHOTE!$M$44),"")</f>
        <v/>
      </c>
      <c r="W32" s="46" t="str">
        <f>IF(MC_MACHOTE!$X$44&gt;0,MC_MACHOTE!$BT$44,"")</f>
        <v/>
      </c>
      <c r="X32" s="47" t="str">
        <f>MC_MACHOTE!$C$3</f>
        <v>MACHOTE</v>
      </c>
      <c r="Y32" s="46" t="s">
        <v>872</v>
      </c>
      <c r="Z32" s="47">
        <v>39</v>
      </c>
      <c r="AA32" s="47" t="str">
        <f t="shared" si="0"/>
        <v/>
      </c>
      <c r="AB32" s="47" t="str">
        <f t="shared" si="1"/>
        <v/>
      </c>
      <c r="AC32" s="68" t="str">
        <f>IF(MC_MACHOTE!$X$44&gt;0,IF(MC_MACHOTE!$AJ$44&gt;0,MC_MACHOTE!$AJ$44,""),"")</f>
        <v/>
      </c>
      <c r="AD32" s="61"/>
      <c r="AE32" s="51"/>
      <c r="AF32" s="68" t="str">
        <f>IF(MC_MACHOTE!$X$44&gt;0,IF(MC_MACHOTE!$AK$44&gt;0,MC_MACHOTE!$AK$44,""),"")</f>
        <v/>
      </c>
      <c r="AG32" s="61"/>
      <c r="AH32" s="51"/>
      <c r="AI32" s="68" t="str">
        <f>IF(MC_MACHOTE!$X$44&gt;0,IF(MC_MACHOTE!$AL$44&gt;0,MC_MACHOTE!$AL$44,""),"")</f>
        <v/>
      </c>
      <c r="AJ32" s="51"/>
      <c r="AL32" t="b">
        <f>COUNTIF(MC_MACHOTE!$CA$25:$CB$124,39)&gt;0</f>
        <v>0</v>
      </c>
      <c r="AM32">
        <v>39</v>
      </c>
    </row>
    <row r="33" spans="2:39" ht="23.45" customHeight="1" x14ac:dyDescent="0.45">
      <c r="B33" s="47" t="str">
        <f>MC_MACHOTE!$C$3</f>
        <v>MACHOTE</v>
      </c>
      <c r="C33" s="46" t="s">
        <v>872</v>
      </c>
      <c r="D33" s="47">
        <v>41</v>
      </c>
      <c r="E33" s="47" t="str">
        <f>IF(MC_MACHOTE!$X$45&gt;0,MC_MACHOTE!$CA$45,"")</f>
        <v/>
      </c>
      <c r="F33" s="47" t="str">
        <f>IF(MC_MACHOTE!$X$45&gt;0,MC_MACHOTE!$CB$45,"")</f>
        <v/>
      </c>
      <c r="G33" s="69" t="str">
        <f>IF(MC_MACHOTE!$X$45&gt;0,MC_MACHOTE!$W$45,"")</f>
        <v/>
      </c>
      <c r="H33" s="51"/>
      <c r="I33" s="43" t="str">
        <f>IF(MC_MACHOTE!$X$45&gt;0,MC_MACHOTE!$X$45,"")</f>
        <v/>
      </c>
      <c r="J33" s="43" t="str">
        <f>IF(MC_MACHOTE!$X$45&gt;0,MC_MACHOTE!$BH$45,"")</f>
        <v/>
      </c>
      <c r="K33" s="69" t="str">
        <f>IF(MC_MACHOTE!$X$45&gt;0,MC_MACHOTE!$BL$45,"")</f>
        <v/>
      </c>
      <c r="L33" s="51"/>
      <c r="M33" s="46" t="str">
        <f>IF(MC_MACHOTE!$X$45&gt;0,IF(N(MC_MACHOTE!$BP$45)&gt;0,MC_MACHOTE!$BP$45,""),"")</f>
        <v/>
      </c>
      <c r="N33" s="46" t="str">
        <f>IF(MC_MACHOTE!$X$45&gt;0,MC_MACHOTE!$AT$45,"")</f>
        <v/>
      </c>
      <c r="O33" s="46" t="str">
        <f>IF(MC_MACHOTE!$X$45&gt;0,MC_MACHOTE!$BO$45,"")</f>
        <v/>
      </c>
      <c r="P33" s="46" t="str">
        <f>IF(MC_MACHOTE!$X$45&gt;0,MC_MACHOTE!$BI$45,"")</f>
        <v/>
      </c>
      <c r="Q33" s="46" t="str">
        <f>IF(MC_MACHOTE!$X$45&gt;0,MC_MACHOTE!$BM$45,"")</f>
        <v/>
      </c>
      <c r="R33" s="46" t="str">
        <f>IF(MC_MACHOTE!$X$45&gt;0,MC_MACHOTE!$BQ$45,"")</f>
        <v/>
      </c>
      <c r="S33" s="46" t="str">
        <f>IF(MC_MACHOTE!$X$45&gt;0,MC_MACHOTE!$BR$45,"")</f>
        <v/>
      </c>
      <c r="T33" s="46" t="str">
        <f>IF(MC_MACHOTE!$X$45&gt;0,MC_MACHOTE!$BS$45,"")</f>
        <v/>
      </c>
      <c r="U33" s="46" t="str">
        <f>IF(MC_MACHOTE!$X$45&gt;0,IF(MC_MACHOTE!$L$45="","CU",IF(MC_MACHOTE!$L$45="AL-MC","AL",MC_MACHOTE!$L$45)),"")</f>
        <v/>
      </c>
      <c r="V33" s="46" t="str">
        <f>IF(MC_MACHOTE!$X$45&gt;0,IF(MC_MACHOTE!$M$45="","THHN",MC_MACHOTE!$M$45),"")</f>
        <v/>
      </c>
      <c r="W33" s="46" t="str">
        <f>IF(MC_MACHOTE!$X$45&gt;0,MC_MACHOTE!$BT$45,"")</f>
        <v/>
      </c>
      <c r="X33" s="47" t="str">
        <f>MC_MACHOTE!$C$3</f>
        <v>MACHOTE</v>
      </c>
      <c r="Y33" s="46" t="s">
        <v>872</v>
      </c>
      <c r="Z33" s="47">
        <v>41</v>
      </c>
      <c r="AA33" s="47" t="str">
        <f t="shared" si="0"/>
        <v/>
      </c>
      <c r="AB33" s="47" t="str">
        <f t="shared" si="1"/>
        <v/>
      </c>
      <c r="AC33" s="68" t="str">
        <f>IF(MC_MACHOTE!$X$45&gt;0,IF(MC_MACHOTE!$AJ$45&gt;0,MC_MACHOTE!$AJ$45,""),"")</f>
        <v/>
      </c>
      <c r="AD33" s="61"/>
      <c r="AE33" s="51"/>
      <c r="AF33" s="68" t="str">
        <f>IF(MC_MACHOTE!$X$45&gt;0,IF(MC_MACHOTE!$AK$45&gt;0,MC_MACHOTE!$AK$45,""),"")</f>
        <v/>
      </c>
      <c r="AG33" s="61"/>
      <c r="AH33" s="51"/>
      <c r="AI33" s="68" t="str">
        <f>IF(MC_MACHOTE!$X$45&gt;0,IF(MC_MACHOTE!$AL$45&gt;0,MC_MACHOTE!$AL$45,""),"")</f>
        <v/>
      </c>
      <c r="AJ33" s="51"/>
      <c r="AL33" t="b">
        <f>COUNTIF(MC_MACHOTE!$CA$25:$CB$124,41)&gt;0</f>
        <v>0</v>
      </c>
      <c r="AM33">
        <v>41</v>
      </c>
    </row>
    <row r="34" spans="2:39" ht="23.45" customHeight="1" x14ac:dyDescent="0.45">
      <c r="B34" s="47" t="str">
        <f>MC_MACHOTE!$C$3</f>
        <v>MACHOTE</v>
      </c>
      <c r="C34" s="46" t="s">
        <v>872</v>
      </c>
      <c r="D34" s="47">
        <v>43</v>
      </c>
      <c r="E34" s="47" t="str">
        <f>IF(MC_MACHOTE!$X$46&gt;0,MC_MACHOTE!$CA$46,"")</f>
        <v/>
      </c>
      <c r="F34" s="47" t="str">
        <f>IF(MC_MACHOTE!$X$46&gt;0,MC_MACHOTE!$CB$46,"")</f>
        <v/>
      </c>
      <c r="G34" s="69" t="str">
        <f>IF(MC_MACHOTE!$X$46&gt;0,MC_MACHOTE!$W$46,"")</f>
        <v/>
      </c>
      <c r="H34" s="51"/>
      <c r="I34" s="43" t="str">
        <f>IF(MC_MACHOTE!$X$46&gt;0,MC_MACHOTE!$X$46,"")</f>
        <v/>
      </c>
      <c r="J34" s="43" t="str">
        <f>IF(MC_MACHOTE!$X$46&gt;0,MC_MACHOTE!$BH$46,"")</f>
        <v/>
      </c>
      <c r="K34" s="69" t="str">
        <f>IF(MC_MACHOTE!$X$46&gt;0,MC_MACHOTE!$BL$46,"")</f>
        <v/>
      </c>
      <c r="L34" s="51"/>
      <c r="M34" s="46" t="str">
        <f>IF(MC_MACHOTE!$X$46&gt;0,IF(N(MC_MACHOTE!$BP$46)&gt;0,MC_MACHOTE!$BP$46,""),"")</f>
        <v/>
      </c>
      <c r="N34" s="46" t="str">
        <f>IF(MC_MACHOTE!$X$46&gt;0,MC_MACHOTE!$AT$46,"")</f>
        <v/>
      </c>
      <c r="O34" s="46" t="str">
        <f>IF(MC_MACHOTE!$X$46&gt;0,MC_MACHOTE!$BO$46,"")</f>
        <v/>
      </c>
      <c r="P34" s="46" t="str">
        <f>IF(MC_MACHOTE!$X$46&gt;0,MC_MACHOTE!$BI$46,"")</f>
        <v/>
      </c>
      <c r="Q34" s="46" t="str">
        <f>IF(MC_MACHOTE!$X$46&gt;0,MC_MACHOTE!$BM$46,"")</f>
        <v/>
      </c>
      <c r="R34" s="46" t="str">
        <f>IF(MC_MACHOTE!$X$46&gt;0,MC_MACHOTE!$BQ$46,"")</f>
        <v/>
      </c>
      <c r="S34" s="46" t="str">
        <f>IF(MC_MACHOTE!$X$46&gt;0,MC_MACHOTE!$BR$46,"")</f>
        <v/>
      </c>
      <c r="T34" s="46" t="str">
        <f>IF(MC_MACHOTE!$X$46&gt;0,MC_MACHOTE!$BS$46,"")</f>
        <v/>
      </c>
      <c r="U34" s="46" t="str">
        <f>IF(MC_MACHOTE!$X$46&gt;0,IF(MC_MACHOTE!$L$46="","CU",IF(MC_MACHOTE!$L$46="AL-MC","AL",MC_MACHOTE!$L$46)),"")</f>
        <v/>
      </c>
      <c r="V34" s="46" t="str">
        <f>IF(MC_MACHOTE!$X$46&gt;0,IF(MC_MACHOTE!$M$46="","THHN",MC_MACHOTE!$M$46),"")</f>
        <v/>
      </c>
      <c r="W34" s="46" t="str">
        <f>IF(MC_MACHOTE!$X$46&gt;0,MC_MACHOTE!$BT$46,"")</f>
        <v/>
      </c>
      <c r="X34" s="47" t="str">
        <f>MC_MACHOTE!$C$3</f>
        <v>MACHOTE</v>
      </c>
      <c r="Y34" s="46" t="s">
        <v>872</v>
      </c>
      <c r="Z34" s="47">
        <v>43</v>
      </c>
      <c r="AA34" s="47" t="str">
        <f t="shared" si="0"/>
        <v/>
      </c>
      <c r="AB34" s="47" t="str">
        <f t="shared" si="1"/>
        <v/>
      </c>
      <c r="AC34" s="68" t="str">
        <f>IF(MC_MACHOTE!$X$46&gt;0,IF(MC_MACHOTE!$AJ$46&gt;0,MC_MACHOTE!$AJ$46,""),"")</f>
        <v/>
      </c>
      <c r="AD34" s="61"/>
      <c r="AE34" s="51"/>
      <c r="AF34" s="68" t="str">
        <f>IF(MC_MACHOTE!$X$46&gt;0,IF(MC_MACHOTE!$AK$46&gt;0,MC_MACHOTE!$AK$46,""),"")</f>
        <v/>
      </c>
      <c r="AG34" s="61"/>
      <c r="AH34" s="51"/>
      <c r="AI34" s="68" t="str">
        <f>IF(MC_MACHOTE!$X$46&gt;0,IF(MC_MACHOTE!$AL$46&gt;0,MC_MACHOTE!$AL$46,""),"")</f>
        <v/>
      </c>
      <c r="AJ34" s="51"/>
      <c r="AL34" t="b">
        <f>COUNTIF(MC_MACHOTE!$CA$25:$CB$124,43)&gt;0</f>
        <v>0</v>
      </c>
      <c r="AM34">
        <v>43</v>
      </c>
    </row>
    <row r="35" spans="2:39" ht="23.45" customHeight="1" x14ac:dyDescent="0.45">
      <c r="B35" s="47" t="str">
        <f>MC_MACHOTE!$C$3</f>
        <v>MACHOTE</v>
      </c>
      <c r="C35" s="46" t="s">
        <v>872</v>
      </c>
      <c r="D35" s="47">
        <v>45</v>
      </c>
      <c r="E35" s="47" t="str">
        <f>IF(MC_MACHOTE!$X$47&gt;0,MC_MACHOTE!$CA$47,"")</f>
        <v/>
      </c>
      <c r="F35" s="47" t="str">
        <f>IF(MC_MACHOTE!$X$47&gt;0,MC_MACHOTE!$CB$47,"")</f>
        <v/>
      </c>
      <c r="G35" s="69" t="str">
        <f>IF(MC_MACHOTE!$X$47&gt;0,MC_MACHOTE!$W$47,"")</f>
        <v/>
      </c>
      <c r="H35" s="51"/>
      <c r="I35" s="43" t="str">
        <f>IF(MC_MACHOTE!$X$47&gt;0,MC_MACHOTE!$X$47,"")</f>
        <v/>
      </c>
      <c r="J35" s="43" t="str">
        <f>IF(MC_MACHOTE!$X$47&gt;0,MC_MACHOTE!$BH$47,"")</f>
        <v/>
      </c>
      <c r="K35" s="69" t="str">
        <f>IF(MC_MACHOTE!$X$47&gt;0,MC_MACHOTE!$BL$47,"")</f>
        <v/>
      </c>
      <c r="L35" s="51"/>
      <c r="M35" s="46" t="str">
        <f>IF(MC_MACHOTE!$X$47&gt;0,IF(N(MC_MACHOTE!$BP$47)&gt;0,MC_MACHOTE!$BP$47,""),"")</f>
        <v/>
      </c>
      <c r="N35" s="46" t="str">
        <f>IF(MC_MACHOTE!$X$47&gt;0,MC_MACHOTE!$AT$47,"")</f>
        <v/>
      </c>
      <c r="O35" s="46" t="str">
        <f>IF(MC_MACHOTE!$X$47&gt;0,MC_MACHOTE!$BO$47,"")</f>
        <v/>
      </c>
      <c r="P35" s="46" t="str">
        <f>IF(MC_MACHOTE!$X$47&gt;0,MC_MACHOTE!$BI$47,"")</f>
        <v/>
      </c>
      <c r="Q35" s="46" t="str">
        <f>IF(MC_MACHOTE!$X$47&gt;0,MC_MACHOTE!$BM$47,"")</f>
        <v/>
      </c>
      <c r="R35" s="46" t="str">
        <f>IF(MC_MACHOTE!$X$47&gt;0,MC_MACHOTE!$BQ$47,"")</f>
        <v/>
      </c>
      <c r="S35" s="46" t="str">
        <f>IF(MC_MACHOTE!$X$47&gt;0,MC_MACHOTE!$BR$47,"")</f>
        <v/>
      </c>
      <c r="T35" s="46" t="str">
        <f>IF(MC_MACHOTE!$X$47&gt;0,MC_MACHOTE!$BS$47,"")</f>
        <v/>
      </c>
      <c r="U35" s="46" t="str">
        <f>IF(MC_MACHOTE!$X$47&gt;0,IF(MC_MACHOTE!$L$47="","CU",IF(MC_MACHOTE!$L$47="AL-MC","AL",MC_MACHOTE!$L$47)),"")</f>
        <v/>
      </c>
      <c r="V35" s="46" t="str">
        <f>IF(MC_MACHOTE!$X$47&gt;0,IF(MC_MACHOTE!$M$47="","THHN",MC_MACHOTE!$M$47),"")</f>
        <v/>
      </c>
      <c r="W35" s="46" t="str">
        <f>IF(MC_MACHOTE!$X$47&gt;0,MC_MACHOTE!$BT$47,"")</f>
        <v/>
      </c>
      <c r="X35" s="47" t="str">
        <f>MC_MACHOTE!$C$3</f>
        <v>MACHOTE</v>
      </c>
      <c r="Y35" s="46" t="s">
        <v>872</v>
      </c>
      <c r="Z35" s="47">
        <v>45</v>
      </c>
      <c r="AA35" s="47" t="str">
        <f t="shared" si="0"/>
        <v/>
      </c>
      <c r="AB35" s="47" t="str">
        <f t="shared" si="1"/>
        <v/>
      </c>
      <c r="AC35" s="68" t="str">
        <f>IF(MC_MACHOTE!$X$47&gt;0,IF(MC_MACHOTE!$AJ$47&gt;0,MC_MACHOTE!$AJ$47,""),"")</f>
        <v/>
      </c>
      <c r="AD35" s="61"/>
      <c r="AE35" s="51"/>
      <c r="AF35" s="68" t="str">
        <f>IF(MC_MACHOTE!$X$47&gt;0,IF(MC_MACHOTE!$AK$47&gt;0,MC_MACHOTE!$AK$47,""),"")</f>
        <v/>
      </c>
      <c r="AG35" s="61"/>
      <c r="AH35" s="51"/>
      <c r="AI35" s="68" t="str">
        <f>IF(MC_MACHOTE!$X$47&gt;0,IF(MC_MACHOTE!$AL$47&gt;0,MC_MACHOTE!$AL$47,""),"")</f>
        <v/>
      </c>
      <c r="AJ35" s="51"/>
      <c r="AL35" t="b">
        <f>COUNTIF(MC_MACHOTE!$CA$25:$CB$124,45)&gt;0</f>
        <v>0</v>
      </c>
      <c r="AM35">
        <v>45</v>
      </c>
    </row>
    <row r="36" spans="2:39" ht="23.45" customHeight="1" x14ac:dyDescent="0.45">
      <c r="B36" s="47" t="str">
        <f>MC_MACHOTE!$C$3</f>
        <v>MACHOTE</v>
      </c>
      <c r="C36" s="46" t="s">
        <v>872</v>
      </c>
      <c r="D36" s="47">
        <v>47</v>
      </c>
      <c r="E36" s="47" t="str">
        <f>IF(MC_MACHOTE!$X$48&gt;0,MC_MACHOTE!$CA$48,"")</f>
        <v/>
      </c>
      <c r="F36" s="47" t="str">
        <f>IF(MC_MACHOTE!$X$48&gt;0,MC_MACHOTE!$CB$48,"")</f>
        <v/>
      </c>
      <c r="G36" s="69" t="str">
        <f>IF(MC_MACHOTE!$X$48&gt;0,MC_MACHOTE!$W$48,"")</f>
        <v/>
      </c>
      <c r="H36" s="51"/>
      <c r="I36" s="43" t="str">
        <f>IF(MC_MACHOTE!$X$48&gt;0,MC_MACHOTE!$X$48,"")</f>
        <v/>
      </c>
      <c r="J36" s="43" t="str">
        <f>IF(MC_MACHOTE!$X$48&gt;0,MC_MACHOTE!$BH$48,"")</f>
        <v/>
      </c>
      <c r="K36" s="69" t="str">
        <f>IF(MC_MACHOTE!$X$48&gt;0,MC_MACHOTE!$BL$48,"")</f>
        <v/>
      </c>
      <c r="L36" s="51"/>
      <c r="M36" s="46" t="str">
        <f>IF(MC_MACHOTE!$X$48&gt;0,IF(N(MC_MACHOTE!$BP$48)&gt;0,MC_MACHOTE!$BP$48,""),"")</f>
        <v/>
      </c>
      <c r="N36" s="46" t="str">
        <f>IF(MC_MACHOTE!$X$48&gt;0,MC_MACHOTE!$AT$48,"")</f>
        <v/>
      </c>
      <c r="O36" s="46" t="str">
        <f>IF(MC_MACHOTE!$X$48&gt;0,MC_MACHOTE!$BO$48,"")</f>
        <v/>
      </c>
      <c r="P36" s="46" t="str">
        <f>IF(MC_MACHOTE!$X$48&gt;0,MC_MACHOTE!$BI$48,"")</f>
        <v/>
      </c>
      <c r="Q36" s="46" t="str">
        <f>IF(MC_MACHOTE!$X$48&gt;0,MC_MACHOTE!$BM$48,"")</f>
        <v/>
      </c>
      <c r="R36" s="46" t="str">
        <f>IF(MC_MACHOTE!$X$48&gt;0,MC_MACHOTE!$BQ$48,"")</f>
        <v/>
      </c>
      <c r="S36" s="46" t="str">
        <f>IF(MC_MACHOTE!$X$48&gt;0,MC_MACHOTE!$BR$48,"")</f>
        <v/>
      </c>
      <c r="T36" s="46" t="str">
        <f>IF(MC_MACHOTE!$X$48&gt;0,MC_MACHOTE!$BS$48,"")</f>
        <v/>
      </c>
      <c r="U36" s="46" t="str">
        <f>IF(MC_MACHOTE!$X$48&gt;0,IF(MC_MACHOTE!$L$48="","CU",IF(MC_MACHOTE!$L$48="AL-MC","AL",MC_MACHOTE!$L$48)),"")</f>
        <v/>
      </c>
      <c r="V36" s="46" t="str">
        <f>IF(MC_MACHOTE!$X$48&gt;0,IF(MC_MACHOTE!$M$48="","THHN",MC_MACHOTE!$M$48),"")</f>
        <v/>
      </c>
      <c r="W36" s="46" t="str">
        <f>IF(MC_MACHOTE!$X$48&gt;0,MC_MACHOTE!$BT$48,"")</f>
        <v/>
      </c>
      <c r="X36" s="47" t="str">
        <f>MC_MACHOTE!$C$3</f>
        <v>MACHOTE</v>
      </c>
      <c r="Y36" s="46" t="s">
        <v>872</v>
      </c>
      <c r="Z36" s="47">
        <v>47</v>
      </c>
      <c r="AA36" s="47" t="str">
        <f t="shared" si="0"/>
        <v/>
      </c>
      <c r="AB36" s="47" t="str">
        <f t="shared" si="1"/>
        <v/>
      </c>
      <c r="AC36" s="68" t="str">
        <f>IF(MC_MACHOTE!$X$48&gt;0,IF(MC_MACHOTE!$AJ$48&gt;0,MC_MACHOTE!$AJ$48,""),"")</f>
        <v/>
      </c>
      <c r="AD36" s="61"/>
      <c r="AE36" s="51"/>
      <c r="AF36" s="68" t="str">
        <f>IF(MC_MACHOTE!$X$48&gt;0,IF(MC_MACHOTE!$AK$48&gt;0,MC_MACHOTE!$AK$48,""),"")</f>
        <v/>
      </c>
      <c r="AG36" s="61"/>
      <c r="AH36" s="51"/>
      <c r="AI36" s="68" t="str">
        <f>IF(MC_MACHOTE!$X$48&gt;0,IF(MC_MACHOTE!$AL$48&gt;0,MC_MACHOTE!$AL$48,""),"")</f>
        <v/>
      </c>
      <c r="AJ36" s="51"/>
      <c r="AL36" t="b">
        <f>COUNTIF(MC_MACHOTE!$CA$25:$CB$124,47)&gt;0</f>
        <v>0</v>
      </c>
      <c r="AM36">
        <v>47</v>
      </c>
    </row>
    <row r="37" spans="2:39" ht="23.45" customHeight="1" x14ac:dyDescent="0.45">
      <c r="B37" s="47" t="str">
        <f>MC_MACHOTE!$C$3</f>
        <v>MACHOTE</v>
      </c>
      <c r="C37" s="46" t="s">
        <v>872</v>
      </c>
      <c r="D37" s="47">
        <v>49</v>
      </c>
      <c r="E37" s="47" t="str">
        <f>IF(MC_MACHOTE!$X$49&gt;0,MC_MACHOTE!$CA$49,"")</f>
        <v/>
      </c>
      <c r="F37" s="47" t="str">
        <f>IF(MC_MACHOTE!$X$49&gt;0,MC_MACHOTE!$CB$49,"")</f>
        <v/>
      </c>
      <c r="G37" s="69" t="str">
        <f>IF(MC_MACHOTE!$X$49&gt;0,MC_MACHOTE!$W$49,"")</f>
        <v/>
      </c>
      <c r="H37" s="51"/>
      <c r="I37" s="43" t="str">
        <f>IF(MC_MACHOTE!$X$49&gt;0,MC_MACHOTE!$X$49,"")</f>
        <v/>
      </c>
      <c r="J37" s="43" t="str">
        <f>IF(MC_MACHOTE!$X$49&gt;0,MC_MACHOTE!$BH$49,"")</f>
        <v/>
      </c>
      <c r="K37" s="69" t="str">
        <f>IF(MC_MACHOTE!$X$49&gt;0,MC_MACHOTE!$BL$49,"")</f>
        <v/>
      </c>
      <c r="L37" s="51"/>
      <c r="M37" s="46" t="str">
        <f>IF(MC_MACHOTE!$X$49&gt;0,IF(N(MC_MACHOTE!$BP$49)&gt;0,MC_MACHOTE!$BP$49,""),"")</f>
        <v/>
      </c>
      <c r="N37" s="46" t="str">
        <f>IF(MC_MACHOTE!$X$49&gt;0,MC_MACHOTE!$AT$49,"")</f>
        <v/>
      </c>
      <c r="O37" s="46" t="str">
        <f>IF(MC_MACHOTE!$X$49&gt;0,MC_MACHOTE!$BO$49,"")</f>
        <v/>
      </c>
      <c r="P37" s="46" t="str">
        <f>IF(MC_MACHOTE!$X$49&gt;0,MC_MACHOTE!$BI$49,"")</f>
        <v/>
      </c>
      <c r="Q37" s="46" t="str">
        <f>IF(MC_MACHOTE!$X$49&gt;0,MC_MACHOTE!$BM$49,"")</f>
        <v/>
      </c>
      <c r="R37" s="46" t="str">
        <f>IF(MC_MACHOTE!$X$49&gt;0,MC_MACHOTE!$BQ$49,"")</f>
        <v/>
      </c>
      <c r="S37" s="46" t="str">
        <f>IF(MC_MACHOTE!$X$49&gt;0,MC_MACHOTE!$BR$49,"")</f>
        <v/>
      </c>
      <c r="T37" s="46" t="str">
        <f>IF(MC_MACHOTE!$X$49&gt;0,MC_MACHOTE!$BS$49,"")</f>
        <v/>
      </c>
      <c r="U37" s="46" t="str">
        <f>IF(MC_MACHOTE!$X$49&gt;0,IF(MC_MACHOTE!$L$49="","CU",IF(MC_MACHOTE!$L$49="AL-MC","AL",MC_MACHOTE!$L$49)),"")</f>
        <v/>
      </c>
      <c r="V37" s="46" t="str">
        <f>IF(MC_MACHOTE!$X$49&gt;0,IF(MC_MACHOTE!$M$49="","THHN",MC_MACHOTE!$M$49),"")</f>
        <v/>
      </c>
      <c r="W37" s="46" t="str">
        <f>IF(MC_MACHOTE!$X$49&gt;0,MC_MACHOTE!$BT$49,"")</f>
        <v/>
      </c>
      <c r="X37" s="47" t="str">
        <f>MC_MACHOTE!$C$3</f>
        <v>MACHOTE</v>
      </c>
      <c r="Y37" s="46" t="s">
        <v>872</v>
      </c>
      <c r="Z37" s="47">
        <v>49</v>
      </c>
      <c r="AA37" s="47" t="str">
        <f t="shared" si="0"/>
        <v/>
      </c>
      <c r="AB37" s="47" t="str">
        <f t="shared" si="1"/>
        <v/>
      </c>
      <c r="AC37" s="68" t="str">
        <f>IF(MC_MACHOTE!$X$49&gt;0,IF(MC_MACHOTE!$AJ$49&gt;0,MC_MACHOTE!$AJ$49,""),"")</f>
        <v/>
      </c>
      <c r="AD37" s="61"/>
      <c r="AE37" s="51"/>
      <c r="AF37" s="68" t="str">
        <f>IF(MC_MACHOTE!$X$49&gt;0,IF(MC_MACHOTE!$AK$49&gt;0,MC_MACHOTE!$AK$49,""),"")</f>
        <v/>
      </c>
      <c r="AG37" s="61"/>
      <c r="AH37" s="51"/>
      <c r="AI37" s="68" t="str">
        <f>IF(MC_MACHOTE!$X$49&gt;0,IF(MC_MACHOTE!$AL$49&gt;0,MC_MACHOTE!$AL$49,""),"")</f>
        <v/>
      </c>
      <c r="AJ37" s="51"/>
      <c r="AL37" t="b">
        <f>COUNTIF(MC_MACHOTE!$CA$25:$CB$124,49)&gt;0</f>
        <v>0</v>
      </c>
      <c r="AM37">
        <v>49</v>
      </c>
    </row>
    <row r="38" spans="2:39" ht="23.45" customHeight="1" x14ac:dyDescent="0.45">
      <c r="B38" s="47" t="str">
        <f>MC_MACHOTE!$C$3</f>
        <v>MACHOTE</v>
      </c>
      <c r="C38" s="46" t="s">
        <v>872</v>
      </c>
      <c r="D38" s="47">
        <v>51</v>
      </c>
      <c r="E38" s="47" t="str">
        <f>IF(MC_MACHOTE!$X$50&gt;0,MC_MACHOTE!$CA$50,"")</f>
        <v/>
      </c>
      <c r="F38" s="47" t="str">
        <f>IF(MC_MACHOTE!$X$50&gt;0,MC_MACHOTE!$CB$50,"")</f>
        <v/>
      </c>
      <c r="G38" s="69" t="str">
        <f>IF(MC_MACHOTE!$X$50&gt;0,MC_MACHOTE!$W$50,"")</f>
        <v/>
      </c>
      <c r="H38" s="51"/>
      <c r="I38" s="43" t="str">
        <f>IF(MC_MACHOTE!$X$50&gt;0,MC_MACHOTE!$X$50,"")</f>
        <v/>
      </c>
      <c r="J38" s="43" t="str">
        <f>IF(MC_MACHOTE!$X$50&gt;0,MC_MACHOTE!$BH$50,"")</f>
        <v/>
      </c>
      <c r="K38" s="69" t="str">
        <f>IF(MC_MACHOTE!$X$50&gt;0,MC_MACHOTE!$BL$50,"")</f>
        <v/>
      </c>
      <c r="L38" s="51"/>
      <c r="M38" s="46" t="str">
        <f>IF(MC_MACHOTE!$X$50&gt;0,IF(N(MC_MACHOTE!$BP$50)&gt;0,MC_MACHOTE!$BP$50,""),"")</f>
        <v/>
      </c>
      <c r="N38" s="46" t="str">
        <f>IF(MC_MACHOTE!$X$50&gt;0,MC_MACHOTE!$AT$50,"")</f>
        <v/>
      </c>
      <c r="O38" s="46" t="str">
        <f>IF(MC_MACHOTE!$X$50&gt;0,MC_MACHOTE!$BO$50,"")</f>
        <v/>
      </c>
      <c r="P38" s="46" t="str">
        <f>IF(MC_MACHOTE!$X$50&gt;0,MC_MACHOTE!$BI$50,"")</f>
        <v/>
      </c>
      <c r="Q38" s="46" t="str">
        <f>IF(MC_MACHOTE!$X$50&gt;0,MC_MACHOTE!$BM$50,"")</f>
        <v/>
      </c>
      <c r="R38" s="46" t="str">
        <f>IF(MC_MACHOTE!$X$50&gt;0,MC_MACHOTE!$BQ$50,"")</f>
        <v/>
      </c>
      <c r="S38" s="46" t="str">
        <f>IF(MC_MACHOTE!$X$50&gt;0,MC_MACHOTE!$BR$50,"")</f>
        <v/>
      </c>
      <c r="T38" s="46" t="str">
        <f>IF(MC_MACHOTE!$X$50&gt;0,MC_MACHOTE!$BS$50,"")</f>
        <v/>
      </c>
      <c r="U38" s="46" t="str">
        <f>IF(MC_MACHOTE!$X$50&gt;0,IF(MC_MACHOTE!$L$50="","CU",IF(MC_MACHOTE!$L$50="AL-MC","AL",MC_MACHOTE!$L$50)),"")</f>
        <v/>
      </c>
      <c r="V38" s="46" t="str">
        <f>IF(MC_MACHOTE!$X$50&gt;0,IF(MC_MACHOTE!$M$50="","THHN",MC_MACHOTE!$M$50),"")</f>
        <v/>
      </c>
      <c r="W38" s="46" t="str">
        <f>IF(MC_MACHOTE!$X$50&gt;0,MC_MACHOTE!$BT$50,"")</f>
        <v/>
      </c>
      <c r="X38" s="47" t="str">
        <f>MC_MACHOTE!$C$3</f>
        <v>MACHOTE</v>
      </c>
      <c r="Y38" s="46" t="s">
        <v>872</v>
      </c>
      <c r="Z38" s="47">
        <v>51</v>
      </c>
      <c r="AA38" s="47" t="str">
        <f t="shared" si="0"/>
        <v/>
      </c>
      <c r="AB38" s="47" t="str">
        <f t="shared" si="1"/>
        <v/>
      </c>
      <c r="AC38" s="68" t="str">
        <f>IF(MC_MACHOTE!$X$50&gt;0,IF(MC_MACHOTE!$AJ$50&gt;0,MC_MACHOTE!$AJ$50,""),"")</f>
        <v/>
      </c>
      <c r="AD38" s="61"/>
      <c r="AE38" s="51"/>
      <c r="AF38" s="68" t="str">
        <f>IF(MC_MACHOTE!$X$50&gt;0,IF(MC_MACHOTE!$AK$50&gt;0,MC_MACHOTE!$AK$50,""),"")</f>
        <v/>
      </c>
      <c r="AG38" s="61"/>
      <c r="AH38" s="51"/>
      <c r="AI38" s="68" t="str">
        <f>IF(MC_MACHOTE!$X$50&gt;0,IF(MC_MACHOTE!$AL$50&gt;0,MC_MACHOTE!$AL$50,""),"")</f>
        <v/>
      </c>
      <c r="AJ38" s="51"/>
      <c r="AL38" t="b">
        <f>COUNTIF(MC_MACHOTE!$CA$25:$CB$124,51)&gt;0</f>
        <v>0</v>
      </c>
      <c r="AM38">
        <v>51</v>
      </c>
    </row>
    <row r="39" spans="2:39" ht="23.45" customHeight="1" x14ac:dyDescent="0.45">
      <c r="B39" s="47" t="str">
        <f>MC_MACHOTE!$C$3</f>
        <v>MACHOTE</v>
      </c>
      <c r="C39" s="46" t="s">
        <v>872</v>
      </c>
      <c r="D39" s="47">
        <v>53</v>
      </c>
      <c r="E39" s="47" t="str">
        <f>IF(MC_MACHOTE!$X$51&gt;0,MC_MACHOTE!$CA$51,"")</f>
        <v/>
      </c>
      <c r="F39" s="47" t="str">
        <f>IF(MC_MACHOTE!$X$51&gt;0,MC_MACHOTE!$CB$51,"")</f>
        <v/>
      </c>
      <c r="G39" s="69" t="str">
        <f>IF(MC_MACHOTE!$X$51&gt;0,MC_MACHOTE!$W$51,"")</f>
        <v/>
      </c>
      <c r="H39" s="51"/>
      <c r="I39" s="43" t="str">
        <f>IF(MC_MACHOTE!$X$51&gt;0,MC_MACHOTE!$X$51,"")</f>
        <v/>
      </c>
      <c r="J39" s="43" t="str">
        <f>IF(MC_MACHOTE!$X$51&gt;0,MC_MACHOTE!$BH$51,"")</f>
        <v/>
      </c>
      <c r="K39" s="69" t="str">
        <f>IF(MC_MACHOTE!$X$51&gt;0,MC_MACHOTE!$BL$51,"")</f>
        <v/>
      </c>
      <c r="L39" s="51"/>
      <c r="M39" s="46" t="str">
        <f>IF(MC_MACHOTE!$X$51&gt;0,IF(N(MC_MACHOTE!$BP$51)&gt;0,MC_MACHOTE!$BP$51,""),"")</f>
        <v/>
      </c>
      <c r="N39" s="46" t="str">
        <f>IF(MC_MACHOTE!$X$51&gt;0,MC_MACHOTE!$AT$51,"")</f>
        <v/>
      </c>
      <c r="O39" s="46" t="str">
        <f>IF(MC_MACHOTE!$X$51&gt;0,MC_MACHOTE!$BO$51,"")</f>
        <v/>
      </c>
      <c r="P39" s="46" t="str">
        <f>IF(MC_MACHOTE!$X$51&gt;0,MC_MACHOTE!$BI$51,"")</f>
        <v/>
      </c>
      <c r="Q39" s="46" t="str">
        <f>IF(MC_MACHOTE!$X$51&gt;0,MC_MACHOTE!$BM$51,"")</f>
        <v/>
      </c>
      <c r="R39" s="46" t="str">
        <f>IF(MC_MACHOTE!$X$51&gt;0,MC_MACHOTE!$BQ$51,"")</f>
        <v/>
      </c>
      <c r="S39" s="46" t="str">
        <f>IF(MC_MACHOTE!$X$51&gt;0,MC_MACHOTE!$BR$51,"")</f>
        <v/>
      </c>
      <c r="T39" s="46" t="str">
        <f>IF(MC_MACHOTE!$X$51&gt;0,MC_MACHOTE!$BS$51,"")</f>
        <v/>
      </c>
      <c r="U39" s="46" t="str">
        <f>IF(MC_MACHOTE!$X$51&gt;0,IF(MC_MACHOTE!$L$51="","CU",IF(MC_MACHOTE!$L$51="AL-MC","AL",MC_MACHOTE!$L$51)),"")</f>
        <v/>
      </c>
      <c r="V39" s="46" t="str">
        <f>IF(MC_MACHOTE!$X$51&gt;0,IF(MC_MACHOTE!$M$51="","THHN",MC_MACHOTE!$M$51),"")</f>
        <v/>
      </c>
      <c r="W39" s="46" t="str">
        <f>IF(MC_MACHOTE!$X$51&gt;0,MC_MACHOTE!$BT$51,"")</f>
        <v/>
      </c>
      <c r="X39" s="47" t="str">
        <f>MC_MACHOTE!$C$3</f>
        <v>MACHOTE</v>
      </c>
      <c r="Y39" s="46" t="s">
        <v>872</v>
      </c>
      <c r="Z39" s="47">
        <v>53</v>
      </c>
      <c r="AA39" s="47" t="str">
        <f t="shared" si="0"/>
        <v/>
      </c>
      <c r="AB39" s="47" t="str">
        <f t="shared" si="1"/>
        <v/>
      </c>
      <c r="AC39" s="68" t="str">
        <f>IF(MC_MACHOTE!$X$51&gt;0,IF(MC_MACHOTE!$AJ$51&gt;0,MC_MACHOTE!$AJ$51,""),"")</f>
        <v/>
      </c>
      <c r="AD39" s="61"/>
      <c r="AE39" s="51"/>
      <c r="AF39" s="68" t="str">
        <f>IF(MC_MACHOTE!$X$51&gt;0,IF(MC_MACHOTE!$AK$51&gt;0,MC_MACHOTE!$AK$51,""),"")</f>
        <v/>
      </c>
      <c r="AG39" s="61"/>
      <c r="AH39" s="51"/>
      <c r="AI39" s="68" t="str">
        <f>IF(MC_MACHOTE!$X$51&gt;0,IF(MC_MACHOTE!$AL$51&gt;0,MC_MACHOTE!$AL$51,""),"")</f>
        <v/>
      </c>
      <c r="AJ39" s="51"/>
      <c r="AL39" t="b">
        <f>COUNTIF(MC_MACHOTE!$CA$25:$CB$124,53)&gt;0</f>
        <v>0</v>
      </c>
      <c r="AM39">
        <v>53</v>
      </c>
    </row>
    <row r="40" spans="2:39" ht="23.45" customHeight="1" x14ac:dyDescent="0.45">
      <c r="B40" s="47" t="str">
        <f>MC_MACHOTE!$C$3</f>
        <v>MACHOTE</v>
      </c>
      <c r="C40" s="46" t="s">
        <v>872</v>
      </c>
      <c r="D40" s="47">
        <v>55</v>
      </c>
      <c r="E40" s="47" t="str">
        <f>IF(MC_MACHOTE!$X$52&gt;0,MC_MACHOTE!$CA$52,"")</f>
        <v/>
      </c>
      <c r="F40" s="47" t="str">
        <f>IF(MC_MACHOTE!$X$52&gt;0,MC_MACHOTE!$CB$52,"")</f>
        <v/>
      </c>
      <c r="G40" s="69" t="str">
        <f>IF(MC_MACHOTE!$X$52&gt;0,MC_MACHOTE!$W$52,"")</f>
        <v/>
      </c>
      <c r="H40" s="51"/>
      <c r="I40" s="43" t="str">
        <f>IF(MC_MACHOTE!$X$52&gt;0,MC_MACHOTE!$X$52,"")</f>
        <v/>
      </c>
      <c r="J40" s="43" t="str">
        <f>IF(MC_MACHOTE!$X$52&gt;0,MC_MACHOTE!$BH$52,"")</f>
        <v/>
      </c>
      <c r="K40" s="69" t="str">
        <f>IF(MC_MACHOTE!$X$52&gt;0,MC_MACHOTE!$BL$52,"")</f>
        <v/>
      </c>
      <c r="L40" s="51"/>
      <c r="M40" s="46" t="str">
        <f>IF(MC_MACHOTE!$X$52&gt;0,IF(N(MC_MACHOTE!$BP$52)&gt;0,MC_MACHOTE!$BP$52,""),"")</f>
        <v/>
      </c>
      <c r="N40" s="46" t="str">
        <f>IF(MC_MACHOTE!$X$52&gt;0,MC_MACHOTE!$AT$52,"")</f>
        <v/>
      </c>
      <c r="O40" s="46" t="str">
        <f>IF(MC_MACHOTE!$X$52&gt;0,MC_MACHOTE!$BO$52,"")</f>
        <v/>
      </c>
      <c r="P40" s="46" t="str">
        <f>IF(MC_MACHOTE!$X$52&gt;0,MC_MACHOTE!$BI$52,"")</f>
        <v/>
      </c>
      <c r="Q40" s="46" t="str">
        <f>IF(MC_MACHOTE!$X$52&gt;0,MC_MACHOTE!$BM$52,"")</f>
        <v/>
      </c>
      <c r="R40" s="46" t="str">
        <f>IF(MC_MACHOTE!$X$52&gt;0,MC_MACHOTE!$BQ$52,"")</f>
        <v/>
      </c>
      <c r="S40" s="46" t="str">
        <f>IF(MC_MACHOTE!$X$52&gt;0,MC_MACHOTE!$BR$52,"")</f>
        <v/>
      </c>
      <c r="T40" s="46" t="str">
        <f>IF(MC_MACHOTE!$X$52&gt;0,MC_MACHOTE!$BS$52,"")</f>
        <v/>
      </c>
      <c r="U40" s="46" t="str">
        <f>IF(MC_MACHOTE!$X$52&gt;0,IF(MC_MACHOTE!$L$52="","CU",IF(MC_MACHOTE!$L$52="AL-MC","AL",MC_MACHOTE!$L$52)),"")</f>
        <v/>
      </c>
      <c r="V40" s="46" t="str">
        <f>IF(MC_MACHOTE!$X$52&gt;0,IF(MC_MACHOTE!$M$52="","THHN",MC_MACHOTE!$M$52),"")</f>
        <v/>
      </c>
      <c r="W40" s="46" t="str">
        <f>IF(MC_MACHOTE!$X$52&gt;0,MC_MACHOTE!$BT$52,"")</f>
        <v/>
      </c>
      <c r="X40" s="47" t="str">
        <f>MC_MACHOTE!$C$3</f>
        <v>MACHOTE</v>
      </c>
      <c r="Y40" s="46" t="s">
        <v>872</v>
      </c>
      <c r="Z40" s="47">
        <v>55</v>
      </c>
      <c r="AA40" s="47" t="str">
        <f t="shared" si="0"/>
        <v/>
      </c>
      <c r="AB40" s="47" t="str">
        <f t="shared" si="1"/>
        <v/>
      </c>
      <c r="AC40" s="68" t="str">
        <f>IF(MC_MACHOTE!$X$52&gt;0,IF(MC_MACHOTE!$AJ$52&gt;0,MC_MACHOTE!$AJ$52,""),"")</f>
        <v/>
      </c>
      <c r="AD40" s="61"/>
      <c r="AE40" s="51"/>
      <c r="AF40" s="68" t="str">
        <f>IF(MC_MACHOTE!$X$52&gt;0,IF(MC_MACHOTE!$AK$52&gt;0,MC_MACHOTE!$AK$52,""),"")</f>
        <v/>
      </c>
      <c r="AG40" s="61"/>
      <c r="AH40" s="51"/>
      <c r="AI40" s="68" t="str">
        <f>IF(MC_MACHOTE!$X$52&gt;0,IF(MC_MACHOTE!$AL$52&gt;0,MC_MACHOTE!$AL$52,""),"")</f>
        <v/>
      </c>
      <c r="AJ40" s="51"/>
      <c r="AL40" t="b">
        <f>COUNTIF(MC_MACHOTE!$CA$25:$CB$124,55)&gt;0</f>
        <v>0</v>
      </c>
      <c r="AM40">
        <v>55</v>
      </c>
    </row>
    <row r="41" spans="2:39" ht="23.45" customHeight="1" x14ac:dyDescent="0.45">
      <c r="B41" s="47" t="str">
        <f>MC_MACHOTE!$C$3</f>
        <v>MACHOTE</v>
      </c>
      <c r="C41" s="46" t="s">
        <v>872</v>
      </c>
      <c r="D41" s="47">
        <v>57</v>
      </c>
      <c r="E41" s="47" t="str">
        <f>IF(MC_MACHOTE!$X$53&gt;0,MC_MACHOTE!$CA$53,"")</f>
        <v/>
      </c>
      <c r="F41" s="47" t="str">
        <f>IF(MC_MACHOTE!$X$53&gt;0,MC_MACHOTE!$CB$53,"")</f>
        <v/>
      </c>
      <c r="G41" s="69" t="str">
        <f>IF(MC_MACHOTE!$X$53&gt;0,MC_MACHOTE!$W$53,"")</f>
        <v/>
      </c>
      <c r="H41" s="51"/>
      <c r="I41" s="43" t="str">
        <f>IF(MC_MACHOTE!$X$53&gt;0,MC_MACHOTE!$X$53,"")</f>
        <v/>
      </c>
      <c r="J41" s="43" t="str">
        <f>IF(MC_MACHOTE!$X$53&gt;0,MC_MACHOTE!$BH$53,"")</f>
        <v/>
      </c>
      <c r="K41" s="69" t="str">
        <f>IF(MC_MACHOTE!$X$53&gt;0,MC_MACHOTE!$BL$53,"")</f>
        <v/>
      </c>
      <c r="L41" s="51"/>
      <c r="M41" s="46" t="str">
        <f>IF(MC_MACHOTE!$X$53&gt;0,IF(N(MC_MACHOTE!$BP$53)&gt;0,MC_MACHOTE!$BP$53,""),"")</f>
        <v/>
      </c>
      <c r="N41" s="46" t="str">
        <f>IF(MC_MACHOTE!$X$53&gt;0,MC_MACHOTE!$AT$53,"")</f>
        <v/>
      </c>
      <c r="O41" s="46" t="str">
        <f>IF(MC_MACHOTE!$X$53&gt;0,MC_MACHOTE!$BO$53,"")</f>
        <v/>
      </c>
      <c r="P41" s="46" t="str">
        <f>IF(MC_MACHOTE!$X$53&gt;0,MC_MACHOTE!$BI$53,"")</f>
        <v/>
      </c>
      <c r="Q41" s="46" t="str">
        <f>IF(MC_MACHOTE!$X$53&gt;0,MC_MACHOTE!$BM$53,"")</f>
        <v/>
      </c>
      <c r="R41" s="46" t="str">
        <f>IF(MC_MACHOTE!$X$53&gt;0,MC_MACHOTE!$BQ$53,"")</f>
        <v/>
      </c>
      <c r="S41" s="46" t="str">
        <f>IF(MC_MACHOTE!$X$53&gt;0,MC_MACHOTE!$BR$53,"")</f>
        <v/>
      </c>
      <c r="T41" s="46" t="str">
        <f>IF(MC_MACHOTE!$X$53&gt;0,MC_MACHOTE!$BS$53,"")</f>
        <v/>
      </c>
      <c r="U41" s="46" t="str">
        <f>IF(MC_MACHOTE!$X$53&gt;0,IF(MC_MACHOTE!$L$53="","CU",IF(MC_MACHOTE!$L$53="AL-MC","AL",MC_MACHOTE!$L$53)),"")</f>
        <v/>
      </c>
      <c r="V41" s="46" t="str">
        <f>IF(MC_MACHOTE!$X$53&gt;0,IF(MC_MACHOTE!$M$53="","THHN",MC_MACHOTE!$M$53),"")</f>
        <v/>
      </c>
      <c r="W41" s="46" t="str">
        <f>IF(MC_MACHOTE!$X$53&gt;0,MC_MACHOTE!$BT$53,"")</f>
        <v/>
      </c>
      <c r="X41" s="47" t="str">
        <f>MC_MACHOTE!$C$3</f>
        <v>MACHOTE</v>
      </c>
      <c r="Y41" s="46" t="s">
        <v>872</v>
      </c>
      <c r="Z41" s="47">
        <v>57</v>
      </c>
      <c r="AA41" s="47" t="str">
        <f t="shared" si="0"/>
        <v/>
      </c>
      <c r="AB41" s="47" t="str">
        <f t="shared" si="1"/>
        <v/>
      </c>
      <c r="AC41" s="68" t="str">
        <f>IF(MC_MACHOTE!$X$53&gt;0,IF(MC_MACHOTE!$AJ$53&gt;0,MC_MACHOTE!$AJ$53,""),"")</f>
        <v/>
      </c>
      <c r="AD41" s="61"/>
      <c r="AE41" s="51"/>
      <c r="AF41" s="68" t="str">
        <f>IF(MC_MACHOTE!$X$53&gt;0,IF(MC_MACHOTE!$AK$53&gt;0,MC_MACHOTE!$AK$53,""),"")</f>
        <v/>
      </c>
      <c r="AG41" s="61"/>
      <c r="AH41" s="51"/>
      <c r="AI41" s="68" t="str">
        <f>IF(MC_MACHOTE!$X$53&gt;0,IF(MC_MACHOTE!$AL$53&gt;0,MC_MACHOTE!$AL$53,""),"")</f>
        <v/>
      </c>
      <c r="AJ41" s="51"/>
      <c r="AL41" t="b">
        <f>COUNTIF(MC_MACHOTE!$CA$25:$CB$124,57)&gt;0</f>
        <v>0</v>
      </c>
      <c r="AM41">
        <v>57</v>
      </c>
    </row>
    <row r="42" spans="2:39" ht="23.45" customHeight="1" x14ac:dyDescent="0.45">
      <c r="B42" s="47" t="str">
        <f>MC_MACHOTE!$C$3</f>
        <v>MACHOTE</v>
      </c>
      <c r="C42" s="46" t="s">
        <v>872</v>
      </c>
      <c r="D42" s="47">
        <v>59</v>
      </c>
      <c r="E42" s="47" t="str">
        <f>IF(MC_MACHOTE!$X$54&gt;0,MC_MACHOTE!$CA$54,"")</f>
        <v/>
      </c>
      <c r="F42" s="47" t="str">
        <f>IF(MC_MACHOTE!$X$54&gt;0,MC_MACHOTE!$CB$54,"")</f>
        <v/>
      </c>
      <c r="G42" s="69" t="str">
        <f>IF(MC_MACHOTE!$X$54&gt;0,MC_MACHOTE!$W$54,"")</f>
        <v/>
      </c>
      <c r="H42" s="51"/>
      <c r="I42" s="43" t="str">
        <f>IF(MC_MACHOTE!$X$54&gt;0,MC_MACHOTE!$X$54,"")</f>
        <v/>
      </c>
      <c r="J42" s="43" t="str">
        <f>IF(MC_MACHOTE!$X$54&gt;0,MC_MACHOTE!$BH$54,"")</f>
        <v/>
      </c>
      <c r="K42" s="69" t="str">
        <f>IF(MC_MACHOTE!$X$54&gt;0,MC_MACHOTE!$BL$54,"")</f>
        <v/>
      </c>
      <c r="L42" s="51"/>
      <c r="M42" s="46" t="str">
        <f>IF(MC_MACHOTE!$X$54&gt;0,IF(N(MC_MACHOTE!$BP$54)&gt;0,MC_MACHOTE!$BP$54,""),"")</f>
        <v/>
      </c>
      <c r="N42" s="46" t="str">
        <f>IF(MC_MACHOTE!$X$54&gt;0,MC_MACHOTE!$AT$54,"")</f>
        <v/>
      </c>
      <c r="O42" s="46" t="str">
        <f>IF(MC_MACHOTE!$X$54&gt;0,MC_MACHOTE!$BO$54,"")</f>
        <v/>
      </c>
      <c r="P42" s="46" t="str">
        <f>IF(MC_MACHOTE!$X$54&gt;0,MC_MACHOTE!$BI$54,"")</f>
        <v/>
      </c>
      <c r="Q42" s="46" t="str">
        <f>IF(MC_MACHOTE!$X$54&gt;0,MC_MACHOTE!$BM$54,"")</f>
        <v/>
      </c>
      <c r="R42" s="46" t="str">
        <f>IF(MC_MACHOTE!$X$54&gt;0,MC_MACHOTE!$BQ$54,"")</f>
        <v/>
      </c>
      <c r="S42" s="46" t="str">
        <f>IF(MC_MACHOTE!$X$54&gt;0,MC_MACHOTE!$BR$54,"")</f>
        <v/>
      </c>
      <c r="T42" s="46" t="str">
        <f>IF(MC_MACHOTE!$X$54&gt;0,MC_MACHOTE!$BS$54,"")</f>
        <v/>
      </c>
      <c r="U42" s="46" t="str">
        <f>IF(MC_MACHOTE!$X$54&gt;0,IF(MC_MACHOTE!$L$54="","CU",IF(MC_MACHOTE!$L$54="AL-MC","AL",MC_MACHOTE!$L$54)),"")</f>
        <v/>
      </c>
      <c r="V42" s="46" t="str">
        <f>IF(MC_MACHOTE!$X$54&gt;0,IF(MC_MACHOTE!$M$54="","THHN",MC_MACHOTE!$M$54),"")</f>
        <v/>
      </c>
      <c r="W42" s="46" t="str">
        <f>IF(MC_MACHOTE!$X$54&gt;0,MC_MACHOTE!$BT$54,"")</f>
        <v/>
      </c>
      <c r="X42" s="47" t="str">
        <f>MC_MACHOTE!$C$3</f>
        <v>MACHOTE</v>
      </c>
      <c r="Y42" s="46" t="s">
        <v>872</v>
      </c>
      <c r="Z42" s="47">
        <v>59</v>
      </c>
      <c r="AA42" s="47" t="str">
        <f t="shared" si="0"/>
        <v/>
      </c>
      <c r="AB42" s="47" t="str">
        <f t="shared" si="1"/>
        <v/>
      </c>
      <c r="AC42" s="68" t="str">
        <f>IF(MC_MACHOTE!$X$54&gt;0,IF(MC_MACHOTE!$AJ$54&gt;0,MC_MACHOTE!$AJ$54,""),"")</f>
        <v/>
      </c>
      <c r="AD42" s="61"/>
      <c r="AE42" s="51"/>
      <c r="AF42" s="68" t="str">
        <f>IF(MC_MACHOTE!$X$54&gt;0,IF(MC_MACHOTE!$AK$54&gt;0,MC_MACHOTE!$AK$54,""),"")</f>
        <v/>
      </c>
      <c r="AG42" s="61"/>
      <c r="AH42" s="51"/>
      <c r="AI42" s="68" t="str">
        <f>IF(MC_MACHOTE!$X$54&gt;0,IF(MC_MACHOTE!$AL$54&gt;0,MC_MACHOTE!$AL$54,""),"")</f>
        <v/>
      </c>
      <c r="AJ42" s="51"/>
      <c r="AL42" t="b">
        <f>COUNTIF(MC_MACHOTE!$CA$25:$CB$124,59)&gt;0</f>
        <v>0</v>
      </c>
      <c r="AM42">
        <v>59</v>
      </c>
    </row>
    <row r="43" spans="2:39" ht="23.45" customHeight="1" x14ac:dyDescent="0.45">
      <c r="B43" s="47" t="str">
        <f>MC_MACHOTE!$C$3</f>
        <v>MACHOTE</v>
      </c>
      <c r="C43" s="46" t="s">
        <v>872</v>
      </c>
      <c r="D43" s="47">
        <v>61</v>
      </c>
      <c r="E43" s="47" t="str">
        <f>IF(MC_MACHOTE!$X$55&gt;0,MC_MACHOTE!$CA$55,"")</f>
        <v/>
      </c>
      <c r="F43" s="47" t="str">
        <f>IF(MC_MACHOTE!$X$55&gt;0,MC_MACHOTE!$CB$55,"")</f>
        <v/>
      </c>
      <c r="G43" s="69" t="str">
        <f>IF(MC_MACHOTE!$X$55&gt;0,MC_MACHOTE!$W$55,"")</f>
        <v/>
      </c>
      <c r="H43" s="51"/>
      <c r="I43" s="43" t="str">
        <f>IF(MC_MACHOTE!$X$55&gt;0,MC_MACHOTE!$X$55,"")</f>
        <v/>
      </c>
      <c r="J43" s="43" t="str">
        <f>IF(MC_MACHOTE!$X$55&gt;0,MC_MACHOTE!$BH$55,"")</f>
        <v/>
      </c>
      <c r="K43" s="69" t="str">
        <f>IF(MC_MACHOTE!$X$55&gt;0,MC_MACHOTE!$BL$55,"")</f>
        <v/>
      </c>
      <c r="L43" s="51"/>
      <c r="M43" s="46" t="str">
        <f>IF(MC_MACHOTE!$X$55&gt;0,IF(N(MC_MACHOTE!$BP$55)&gt;0,MC_MACHOTE!$BP$55,""),"")</f>
        <v/>
      </c>
      <c r="N43" s="46" t="str">
        <f>IF(MC_MACHOTE!$X$55&gt;0,MC_MACHOTE!$AT$55,"")</f>
        <v/>
      </c>
      <c r="O43" s="46" t="str">
        <f>IF(MC_MACHOTE!$X$55&gt;0,MC_MACHOTE!$BO$55,"")</f>
        <v/>
      </c>
      <c r="P43" s="46" t="str">
        <f>IF(MC_MACHOTE!$X$55&gt;0,MC_MACHOTE!$BI$55,"")</f>
        <v/>
      </c>
      <c r="Q43" s="46" t="str">
        <f>IF(MC_MACHOTE!$X$55&gt;0,MC_MACHOTE!$BM$55,"")</f>
        <v/>
      </c>
      <c r="R43" s="46" t="str">
        <f>IF(MC_MACHOTE!$X$55&gt;0,MC_MACHOTE!$BQ$55,"")</f>
        <v/>
      </c>
      <c r="S43" s="46" t="str">
        <f>IF(MC_MACHOTE!$X$55&gt;0,MC_MACHOTE!$BR$55,"")</f>
        <v/>
      </c>
      <c r="T43" s="46" t="str">
        <f>IF(MC_MACHOTE!$X$55&gt;0,MC_MACHOTE!$BS$55,"")</f>
        <v/>
      </c>
      <c r="U43" s="46" t="str">
        <f>IF(MC_MACHOTE!$X$55&gt;0,IF(MC_MACHOTE!$L$55="","CU",IF(MC_MACHOTE!$L$55="AL-MC","AL",MC_MACHOTE!$L$55)),"")</f>
        <v/>
      </c>
      <c r="V43" s="46" t="str">
        <f>IF(MC_MACHOTE!$X$55&gt;0,IF(MC_MACHOTE!$M$55="","THHN",MC_MACHOTE!$M$55),"")</f>
        <v/>
      </c>
      <c r="W43" s="46" t="str">
        <f>IF(MC_MACHOTE!$X$55&gt;0,MC_MACHOTE!$BT$55,"")</f>
        <v/>
      </c>
      <c r="X43" s="47" t="str">
        <f>MC_MACHOTE!$C$3</f>
        <v>MACHOTE</v>
      </c>
      <c r="Y43" s="46" t="s">
        <v>872</v>
      </c>
      <c r="Z43" s="47">
        <v>61</v>
      </c>
      <c r="AA43" s="47" t="str">
        <f t="shared" si="0"/>
        <v/>
      </c>
      <c r="AB43" s="47" t="str">
        <f t="shared" si="1"/>
        <v/>
      </c>
      <c r="AC43" s="68" t="str">
        <f>IF(MC_MACHOTE!$X$55&gt;0,IF(MC_MACHOTE!$AJ$55&gt;0,MC_MACHOTE!$AJ$55,""),"")</f>
        <v/>
      </c>
      <c r="AD43" s="61"/>
      <c r="AE43" s="51"/>
      <c r="AF43" s="68" t="str">
        <f>IF(MC_MACHOTE!$X$55&gt;0,IF(MC_MACHOTE!$AK$55&gt;0,MC_MACHOTE!$AK$55,""),"")</f>
        <v/>
      </c>
      <c r="AG43" s="61"/>
      <c r="AH43" s="51"/>
      <c r="AI43" s="68" t="str">
        <f>IF(MC_MACHOTE!$X$55&gt;0,IF(MC_MACHOTE!$AL$55&gt;0,MC_MACHOTE!$AL$55,""),"")</f>
        <v/>
      </c>
      <c r="AJ43" s="51"/>
      <c r="AL43" t="b">
        <f>COUNTIF(MC_MACHOTE!$CA$25:$CB$124,61)&gt;0</f>
        <v>0</v>
      </c>
      <c r="AM43">
        <v>61</v>
      </c>
    </row>
    <row r="44" spans="2:39" ht="23.45" customHeight="1" x14ac:dyDescent="0.45">
      <c r="B44" s="47" t="str">
        <f>MC_MACHOTE!$C$3</f>
        <v>MACHOTE</v>
      </c>
      <c r="C44" s="46" t="s">
        <v>872</v>
      </c>
      <c r="D44" s="47">
        <v>63</v>
      </c>
      <c r="E44" s="47" t="str">
        <f>IF(MC_MACHOTE!$X$56&gt;0,MC_MACHOTE!$CA$56,"")</f>
        <v/>
      </c>
      <c r="F44" s="47" t="str">
        <f>IF(MC_MACHOTE!$X$56&gt;0,MC_MACHOTE!$CB$56,"")</f>
        <v/>
      </c>
      <c r="G44" s="69" t="str">
        <f>IF(MC_MACHOTE!$X$56&gt;0,MC_MACHOTE!$W$56,"")</f>
        <v/>
      </c>
      <c r="H44" s="51"/>
      <c r="I44" s="43" t="str">
        <f>IF(MC_MACHOTE!$X$56&gt;0,MC_MACHOTE!$X$56,"")</f>
        <v/>
      </c>
      <c r="J44" s="43" t="str">
        <f>IF(MC_MACHOTE!$X$56&gt;0,MC_MACHOTE!$BH$56,"")</f>
        <v/>
      </c>
      <c r="K44" s="69" t="str">
        <f>IF(MC_MACHOTE!$X$56&gt;0,MC_MACHOTE!$BL$56,"")</f>
        <v/>
      </c>
      <c r="L44" s="51"/>
      <c r="M44" s="46" t="str">
        <f>IF(MC_MACHOTE!$X$56&gt;0,IF(N(MC_MACHOTE!$BP$56)&gt;0,MC_MACHOTE!$BP$56,""),"")</f>
        <v/>
      </c>
      <c r="N44" s="46" t="str">
        <f>IF(MC_MACHOTE!$X$56&gt;0,MC_MACHOTE!$AT$56,"")</f>
        <v/>
      </c>
      <c r="O44" s="46" t="str">
        <f>IF(MC_MACHOTE!$X$56&gt;0,MC_MACHOTE!$BO$56,"")</f>
        <v/>
      </c>
      <c r="P44" s="46" t="str">
        <f>IF(MC_MACHOTE!$X$56&gt;0,MC_MACHOTE!$BI$56,"")</f>
        <v/>
      </c>
      <c r="Q44" s="46" t="str">
        <f>IF(MC_MACHOTE!$X$56&gt;0,MC_MACHOTE!$BM$56,"")</f>
        <v/>
      </c>
      <c r="R44" s="46" t="str">
        <f>IF(MC_MACHOTE!$X$56&gt;0,MC_MACHOTE!$BQ$56,"")</f>
        <v/>
      </c>
      <c r="S44" s="46" t="str">
        <f>IF(MC_MACHOTE!$X$56&gt;0,MC_MACHOTE!$BR$56,"")</f>
        <v/>
      </c>
      <c r="T44" s="46" t="str">
        <f>IF(MC_MACHOTE!$X$56&gt;0,MC_MACHOTE!$BS$56,"")</f>
        <v/>
      </c>
      <c r="U44" s="46" t="str">
        <f>IF(MC_MACHOTE!$X$56&gt;0,IF(MC_MACHOTE!$L$56="","CU",IF(MC_MACHOTE!$L$56="AL-MC","AL",MC_MACHOTE!$L$56)),"")</f>
        <v/>
      </c>
      <c r="V44" s="46" t="str">
        <f>IF(MC_MACHOTE!$X$56&gt;0,IF(MC_MACHOTE!$M$56="","THHN",MC_MACHOTE!$M$56),"")</f>
        <v/>
      </c>
      <c r="W44" s="46" t="str">
        <f>IF(MC_MACHOTE!$X$56&gt;0,MC_MACHOTE!$BT$56,"")</f>
        <v/>
      </c>
      <c r="X44" s="47" t="str">
        <f>MC_MACHOTE!$C$3</f>
        <v>MACHOTE</v>
      </c>
      <c r="Y44" s="46" t="s">
        <v>872</v>
      </c>
      <c r="Z44" s="47">
        <v>63</v>
      </c>
      <c r="AA44" s="47" t="str">
        <f t="shared" si="0"/>
        <v/>
      </c>
      <c r="AB44" s="47" t="str">
        <f t="shared" si="1"/>
        <v/>
      </c>
      <c r="AC44" s="68" t="str">
        <f>IF(MC_MACHOTE!$X$56&gt;0,IF(MC_MACHOTE!$AJ$56&gt;0,MC_MACHOTE!$AJ$56,""),"")</f>
        <v/>
      </c>
      <c r="AD44" s="61"/>
      <c r="AE44" s="51"/>
      <c r="AF44" s="68" t="str">
        <f>IF(MC_MACHOTE!$X$56&gt;0,IF(MC_MACHOTE!$AK$56&gt;0,MC_MACHOTE!$AK$56,""),"")</f>
        <v/>
      </c>
      <c r="AG44" s="61"/>
      <c r="AH44" s="51"/>
      <c r="AI44" s="68" t="str">
        <f>IF(MC_MACHOTE!$X$56&gt;0,IF(MC_MACHOTE!$AL$56&gt;0,MC_MACHOTE!$AL$56,""),"")</f>
        <v/>
      </c>
      <c r="AJ44" s="51"/>
      <c r="AL44" t="b">
        <f>COUNTIF(MC_MACHOTE!$CA$25:$CB$124,63)&gt;0</f>
        <v>0</v>
      </c>
      <c r="AM44">
        <v>63</v>
      </c>
    </row>
    <row r="45" spans="2:39" ht="23.45" customHeight="1" x14ac:dyDescent="0.45">
      <c r="B45" s="47" t="str">
        <f>MC_MACHOTE!$C$3</f>
        <v>MACHOTE</v>
      </c>
      <c r="C45" s="46" t="s">
        <v>872</v>
      </c>
      <c r="D45" s="47">
        <v>65</v>
      </c>
      <c r="E45" s="47" t="str">
        <f>IF(MC_MACHOTE!$X$57&gt;0,MC_MACHOTE!$CA$57,"")</f>
        <v/>
      </c>
      <c r="F45" s="47" t="str">
        <f>IF(MC_MACHOTE!$X$57&gt;0,MC_MACHOTE!$CB$57,"")</f>
        <v/>
      </c>
      <c r="G45" s="69" t="str">
        <f>IF(MC_MACHOTE!$X$57&gt;0,MC_MACHOTE!$W$57,"")</f>
        <v/>
      </c>
      <c r="H45" s="51"/>
      <c r="I45" s="43" t="str">
        <f>IF(MC_MACHOTE!$X$57&gt;0,MC_MACHOTE!$X$57,"")</f>
        <v/>
      </c>
      <c r="J45" s="43" t="str">
        <f>IF(MC_MACHOTE!$X$57&gt;0,MC_MACHOTE!$BH$57,"")</f>
        <v/>
      </c>
      <c r="K45" s="69" t="str">
        <f>IF(MC_MACHOTE!$X$57&gt;0,MC_MACHOTE!$BL$57,"")</f>
        <v/>
      </c>
      <c r="L45" s="51"/>
      <c r="M45" s="46" t="str">
        <f>IF(MC_MACHOTE!$X$57&gt;0,IF(N(MC_MACHOTE!$BP$57)&gt;0,MC_MACHOTE!$BP$57,""),"")</f>
        <v/>
      </c>
      <c r="N45" s="46" t="str">
        <f>IF(MC_MACHOTE!$X$57&gt;0,MC_MACHOTE!$AT$57,"")</f>
        <v/>
      </c>
      <c r="O45" s="46" t="str">
        <f>IF(MC_MACHOTE!$X$57&gt;0,MC_MACHOTE!$BO$57,"")</f>
        <v/>
      </c>
      <c r="P45" s="46" t="str">
        <f>IF(MC_MACHOTE!$X$57&gt;0,MC_MACHOTE!$BI$57,"")</f>
        <v/>
      </c>
      <c r="Q45" s="46" t="str">
        <f>IF(MC_MACHOTE!$X$57&gt;0,MC_MACHOTE!$BM$57,"")</f>
        <v/>
      </c>
      <c r="R45" s="46" t="str">
        <f>IF(MC_MACHOTE!$X$57&gt;0,MC_MACHOTE!$BQ$57,"")</f>
        <v/>
      </c>
      <c r="S45" s="46" t="str">
        <f>IF(MC_MACHOTE!$X$57&gt;0,MC_MACHOTE!$BR$57,"")</f>
        <v/>
      </c>
      <c r="T45" s="46" t="str">
        <f>IF(MC_MACHOTE!$X$57&gt;0,MC_MACHOTE!$BS$57,"")</f>
        <v/>
      </c>
      <c r="U45" s="46" t="str">
        <f>IF(MC_MACHOTE!$X$57&gt;0,IF(MC_MACHOTE!$L$57="","CU",IF(MC_MACHOTE!$L$57="AL-MC","AL",MC_MACHOTE!$L$57)),"")</f>
        <v/>
      </c>
      <c r="V45" s="46" t="str">
        <f>IF(MC_MACHOTE!$X$57&gt;0,IF(MC_MACHOTE!$M$57="","THHN",MC_MACHOTE!$M$57),"")</f>
        <v/>
      </c>
      <c r="W45" s="46" t="str">
        <f>IF(MC_MACHOTE!$X$57&gt;0,MC_MACHOTE!$BT$57,"")</f>
        <v/>
      </c>
      <c r="X45" s="47" t="str">
        <f>MC_MACHOTE!$C$3</f>
        <v>MACHOTE</v>
      </c>
      <c r="Y45" s="46" t="s">
        <v>872</v>
      </c>
      <c r="Z45" s="47">
        <v>65</v>
      </c>
      <c r="AA45" s="47" t="str">
        <f t="shared" ref="AA45:AA76" si="2">E45</f>
        <v/>
      </c>
      <c r="AB45" s="47" t="str">
        <f t="shared" ref="AB45:AB76" si="3">F45</f>
        <v/>
      </c>
      <c r="AC45" s="68" t="str">
        <f>IF(MC_MACHOTE!$X$57&gt;0,IF(MC_MACHOTE!$AJ$57&gt;0,MC_MACHOTE!$AJ$57,""),"")</f>
        <v/>
      </c>
      <c r="AD45" s="61"/>
      <c r="AE45" s="51"/>
      <c r="AF45" s="68" t="str">
        <f>IF(MC_MACHOTE!$X$57&gt;0,IF(MC_MACHOTE!$AK$57&gt;0,MC_MACHOTE!$AK$57,""),"")</f>
        <v/>
      </c>
      <c r="AG45" s="61"/>
      <c r="AH45" s="51"/>
      <c r="AI45" s="68" t="str">
        <f>IF(MC_MACHOTE!$X$57&gt;0,IF(MC_MACHOTE!$AL$57&gt;0,MC_MACHOTE!$AL$57,""),"")</f>
        <v/>
      </c>
      <c r="AJ45" s="51"/>
      <c r="AL45" t="b">
        <f>COUNTIF(MC_MACHOTE!$CA$25:$CB$124,65)&gt;0</f>
        <v>0</v>
      </c>
      <c r="AM45">
        <v>65</v>
      </c>
    </row>
    <row r="46" spans="2:39" ht="23.45" customHeight="1" x14ac:dyDescent="0.45">
      <c r="B46" s="47" t="str">
        <f>MC_MACHOTE!$C$3</f>
        <v>MACHOTE</v>
      </c>
      <c r="C46" s="46" t="s">
        <v>872</v>
      </c>
      <c r="D46" s="47">
        <v>67</v>
      </c>
      <c r="E46" s="47" t="str">
        <f>IF(MC_MACHOTE!$X$58&gt;0,MC_MACHOTE!$CA$58,"")</f>
        <v/>
      </c>
      <c r="F46" s="47" t="str">
        <f>IF(MC_MACHOTE!$X$58&gt;0,MC_MACHOTE!$CB$58,"")</f>
        <v/>
      </c>
      <c r="G46" s="69" t="str">
        <f>IF(MC_MACHOTE!$X$58&gt;0,MC_MACHOTE!$W$58,"")</f>
        <v/>
      </c>
      <c r="H46" s="51"/>
      <c r="I46" s="43" t="str">
        <f>IF(MC_MACHOTE!$X$58&gt;0,MC_MACHOTE!$X$58,"")</f>
        <v/>
      </c>
      <c r="J46" s="43" t="str">
        <f>IF(MC_MACHOTE!$X$58&gt;0,MC_MACHOTE!$BH$58,"")</f>
        <v/>
      </c>
      <c r="K46" s="69" t="str">
        <f>IF(MC_MACHOTE!$X$58&gt;0,MC_MACHOTE!$BL$58,"")</f>
        <v/>
      </c>
      <c r="L46" s="51"/>
      <c r="M46" s="46" t="str">
        <f>IF(MC_MACHOTE!$X$58&gt;0,IF(N(MC_MACHOTE!$BP$58)&gt;0,MC_MACHOTE!$BP$58,""),"")</f>
        <v/>
      </c>
      <c r="N46" s="46" t="str">
        <f>IF(MC_MACHOTE!$X$58&gt;0,MC_MACHOTE!$AT$58,"")</f>
        <v/>
      </c>
      <c r="O46" s="46" t="str">
        <f>IF(MC_MACHOTE!$X$58&gt;0,MC_MACHOTE!$BO$58,"")</f>
        <v/>
      </c>
      <c r="P46" s="46" t="str">
        <f>IF(MC_MACHOTE!$X$58&gt;0,MC_MACHOTE!$BI$58,"")</f>
        <v/>
      </c>
      <c r="Q46" s="46" t="str">
        <f>IF(MC_MACHOTE!$X$58&gt;0,MC_MACHOTE!$BM$58,"")</f>
        <v/>
      </c>
      <c r="R46" s="46" t="str">
        <f>IF(MC_MACHOTE!$X$58&gt;0,MC_MACHOTE!$BQ$58,"")</f>
        <v/>
      </c>
      <c r="S46" s="46" t="str">
        <f>IF(MC_MACHOTE!$X$58&gt;0,MC_MACHOTE!$BR$58,"")</f>
        <v/>
      </c>
      <c r="T46" s="46" t="str">
        <f>IF(MC_MACHOTE!$X$58&gt;0,MC_MACHOTE!$BS$58,"")</f>
        <v/>
      </c>
      <c r="U46" s="46" t="str">
        <f>IF(MC_MACHOTE!$X$58&gt;0,IF(MC_MACHOTE!$L$58="","CU",IF(MC_MACHOTE!$L$58="AL-MC","AL",MC_MACHOTE!$L$58)),"")</f>
        <v/>
      </c>
      <c r="V46" s="46" t="str">
        <f>IF(MC_MACHOTE!$X$58&gt;0,IF(MC_MACHOTE!$M$58="","THHN",MC_MACHOTE!$M$58),"")</f>
        <v/>
      </c>
      <c r="W46" s="46" t="str">
        <f>IF(MC_MACHOTE!$X$58&gt;0,MC_MACHOTE!$BT$58,"")</f>
        <v/>
      </c>
      <c r="X46" s="47" t="str">
        <f>MC_MACHOTE!$C$3</f>
        <v>MACHOTE</v>
      </c>
      <c r="Y46" s="46" t="s">
        <v>872</v>
      </c>
      <c r="Z46" s="47">
        <v>67</v>
      </c>
      <c r="AA46" s="47" t="str">
        <f t="shared" si="2"/>
        <v/>
      </c>
      <c r="AB46" s="47" t="str">
        <f t="shared" si="3"/>
        <v/>
      </c>
      <c r="AC46" s="68" t="str">
        <f>IF(MC_MACHOTE!$X$58&gt;0,IF(MC_MACHOTE!$AJ$58&gt;0,MC_MACHOTE!$AJ$58,""),"")</f>
        <v/>
      </c>
      <c r="AD46" s="61"/>
      <c r="AE46" s="51"/>
      <c r="AF46" s="68" t="str">
        <f>IF(MC_MACHOTE!$X$58&gt;0,IF(MC_MACHOTE!$AK$58&gt;0,MC_MACHOTE!$AK$58,""),"")</f>
        <v/>
      </c>
      <c r="AG46" s="61"/>
      <c r="AH46" s="51"/>
      <c r="AI46" s="68" t="str">
        <f>IF(MC_MACHOTE!$X$58&gt;0,IF(MC_MACHOTE!$AL$58&gt;0,MC_MACHOTE!$AL$58,""),"")</f>
        <v/>
      </c>
      <c r="AJ46" s="51"/>
      <c r="AL46" t="b">
        <f>COUNTIF(MC_MACHOTE!$CA$25:$CB$124,67)&gt;0</f>
        <v>0</v>
      </c>
      <c r="AM46">
        <v>67</v>
      </c>
    </row>
    <row r="47" spans="2:39" ht="23.45" customHeight="1" x14ac:dyDescent="0.45">
      <c r="B47" s="47" t="str">
        <f>MC_MACHOTE!$C$3</f>
        <v>MACHOTE</v>
      </c>
      <c r="C47" s="46" t="s">
        <v>872</v>
      </c>
      <c r="D47" s="47">
        <v>69</v>
      </c>
      <c r="E47" s="47" t="str">
        <f>IF(MC_MACHOTE!$X$59&gt;0,MC_MACHOTE!$CA$59,"")</f>
        <v/>
      </c>
      <c r="F47" s="47" t="str">
        <f>IF(MC_MACHOTE!$X$59&gt;0,MC_MACHOTE!$CB$59,"")</f>
        <v/>
      </c>
      <c r="G47" s="69" t="str">
        <f>IF(MC_MACHOTE!$X$59&gt;0,MC_MACHOTE!$W$59,"")</f>
        <v/>
      </c>
      <c r="H47" s="51"/>
      <c r="I47" s="43" t="str">
        <f>IF(MC_MACHOTE!$X$59&gt;0,MC_MACHOTE!$X$59,"")</f>
        <v/>
      </c>
      <c r="J47" s="43" t="str">
        <f>IF(MC_MACHOTE!$X$59&gt;0,MC_MACHOTE!$BH$59,"")</f>
        <v/>
      </c>
      <c r="K47" s="69" t="str">
        <f>IF(MC_MACHOTE!$X$59&gt;0,MC_MACHOTE!$BL$59,"")</f>
        <v/>
      </c>
      <c r="L47" s="51"/>
      <c r="M47" s="46" t="str">
        <f>IF(MC_MACHOTE!$X$59&gt;0,IF(N(MC_MACHOTE!$BP$59)&gt;0,MC_MACHOTE!$BP$59,""),"")</f>
        <v/>
      </c>
      <c r="N47" s="46" t="str">
        <f>IF(MC_MACHOTE!$X$59&gt;0,MC_MACHOTE!$AT$59,"")</f>
        <v/>
      </c>
      <c r="O47" s="46" t="str">
        <f>IF(MC_MACHOTE!$X$59&gt;0,MC_MACHOTE!$BO$59,"")</f>
        <v/>
      </c>
      <c r="P47" s="46" t="str">
        <f>IF(MC_MACHOTE!$X$59&gt;0,MC_MACHOTE!$BI$59,"")</f>
        <v/>
      </c>
      <c r="Q47" s="46" t="str">
        <f>IF(MC_MACHOTE!$X$59&gt;0,MC_MACHOTE!$BM$59,"")</f>
        <v/>
      </c>
      <c r="R47" s="46" t="str">
        <f>IF(MC_MACHOTE!$X$59&gt;0,MC_MACHOTE!$BQ$59,"")</f>
        <v/>
      </c>
      <c r="S47" s="46" t="str">
        <f>IF(MC_MACHOTE!$X$59&gt;0,MC_MACHOTE!$BR$59,"")</f>
        <v/>
      </c>
      <c r="T47" s="46" t="str">
        <f>IF(MC_MACHOTE!$X$59&gt;0,MC_MACHOTE!$BS$59,"")</f>
        <v/>
      </c>
      <c r="U47" s="46" t="str">
        <f>IF(MC_MACHOTE!$X$59&gt;0,IF(MC_MACHOTE!$L$59="","CU",IF(MC_MACHOTE!$L$59="AL-MC","AL",MC_MACHOTE!$L$59)),"")</f>
        <v/>
      </c>
      <c r="V47" s="46" t="str">
        <f>IF(MC_MACHOTE!$X$59&gt;0,IF(MC_MACHOTE!$M$59="","THHN",MC_MACHOTE!$M$59),"")</f>
        <v/>
      </c>
      <c r="W47" s="46" t="str">
        <f>IF(MC_MACHOTE!$X$59&gt;0,MC_MACHOTE!$BT$59,"")</f>
        <v/>
      </c>
      <c r="X47" s="47" t="str">
        <f>MC_MACHOTE!$C$3</f>
        <v>MACHOTE</v>
      </c>
      <c r="Y47" s="46" t="s">
        <v>872</v>
      </c>
      <c r="Z47" s="47">
        <v>69</v>
      </c>
      <c r="AA47" s="47" t="str">
        <f t="shared" si="2"/>
        <v/>
      </c>
      <c r="AB47" s="47" t="str">
        <f t="shared" si="3"/>
        <v/>
      </c>
      <c r="AC47" s="68" t="str">
        <f>IF(MC_MACHOTE!$X$59&gt;0,IF(MC_MACHOTE!$AJ$59&gt;0,MC_MACHOTE!$AJ$59,""),"")</f>
        <v/>
      </c>
      <c r="AD47" s="61"/>
      <c r="AE47" s="51"/>
      <c r="AF47" s="68" t="str">
        <f>IF(MC_MACHOTE!$X$59&gt;0,IF(MC_MACHOTE!$AK$59&gt;0,MC_MACHOTE!$AK$59,""),"")</f>
        <v/>
      </c>
      <c r="AG47" s="61"/>
      <c r="AH47" s="51"/>
      <c r="AI47" s="68" t="str">
        <f>IF(MC_MACHOTE!$X$59&gt;0,IF(MC_MACHOTE!$AL$59&gt;0,MC_MACHOTE!$AL$59,""),"")</f>
        <v/>
      </c>
      <c r="AJ47" s="51"/>
      <c r="AL47" t="b">
        <f>COUNTIF(MC_MACHOTE!$CA$25:$CB$124,69)&gt;0</f>
        <v>0</v>
      </c>
      <c r="AM47">
        <v>69</v>
      </c>
    </row>
    <row r="48" spans="2:39" ht="23.45" customHeight="1" x14ac:dyDescent="0.45">
      <c r="B48" s="47" t="str">
        <f>MC_MACHOTE!$C$3</f>
        <v>MACHOTE</v>
      </c>
      <c r="C48" s="46" t="s">
        <v>872</v>
      </c>
      <c r="D48" s="47">
        <v>71</v>
      </c>
      <c r="E48" s="47" t="str">
        <f>IF(MC_MACHOTE!$X$60&gt;0,MC_MACHOTE!$CA$60,"")</f>
        <v/>
      </c>
      <c r="F48" s="47" t="str">
        <f>IF(MC_MACHOTE!$X$60&gt;0,MC_MACHOTE!$CB$60,"")</f>
        <v/>
      </c>
      <c r="G48" s="69" t="str">
        <f>IF(MC_MACHOTE!$X$60&gt;0,MC_MACHOTE!$W$60,"")</f>
        <v/>
      </c>
      <c r="H48" s="51"/>
      <c r="I48" s="43" t="str">
        <f>IF(MC_MACHOTE!$X$60&gt;0,MC_MACHOTE!$X$60,"")</f>
        <v/>
      </c>
      <c r="J48" s="43" t="str">
        <f>IF(MC_MACHOTE!$X$60&gt;0,MC_MACHOTE!$BH$60,"")</f>
        <v/>
      </c>
      <c r="K48" s="69" t="str">
        <f>IF(MC_MACHOTE!$X$60&gt;0,MC_MACHOTE!$BL$60,"")</f>
        <v/>
      </c>
      <c r="L48" s="51"/>
      <c r="M48" s="46" t="str">
        <f>IF(MC_MACHOTE!$X$60&gt;0,IF(N(MC_MACHOTE!$BP$60)&gt;0,MC_MACHOTE!$BP$60,""),"")</f>
        <v/>
      </c>
      <c r="N48" s="46" t="str">
        <f>IF(MC_MACHOTE!$X$60&gt;0,MC_MACHOTE!$AT$60,"")</f>
        <v/>
      </c>
      <c r="O48" s="46" t="str">
        <f>IF(MC_MACHOTE!$X$60&gt;0,MC_MACHOTE!$BO$60,"")</f>
        <v/>
      </c>
      <c r="P48" s="46" t="str">
        <f>IF(MC_MACHOTE!$X$60&gt;0,MC_MACHOTE!$BI$60,"")</f>
        <v/>
      </c>
      <c r="Q48" s="46" t="str">
        <f>IF(MC_MACHOTE!$X$60&gt;0,MC_MACHOTE!$BM$60,"")</f>
        <v/>
      </c>
      <c r="R48" s="46" t="str">
        <f>IF(MC_MACHOTE!$X$60&gt;0,MC_MACHOTE!$BQ$60,"")</f>
        <v/>
      </c>
      <c r="S48" s="46" t="str">
        <f>IF(MC_MACHOTE!$X$60&gt;0,MC_MACHOTE!$BR$60,"")</f>
        <v/>
      </c>
      <c r="T48" s="46" t="str">
        <f>IF(MC_MACHOTE!$X$60&gt;0,MC_MACHOTE!$BS$60,"")</f>
        <v/>
      </c>
      <c r="U48" s="46" t="str">
        <f>IF(MC_MACHOTE!$X$60&gt;0,IF(MC_MACHOTE!$L$60="","CU",IF(MC_MACHOTE!$L$60="AL-MC","AL",MC_MACHOTE!$L$60)),"")</f>
        <v/>
      </c>
      <c r="V48" s="46" t="str">
        <f>IF(MC_MACHOTE!$X$60&gt;0,IF(MC_MACHOTE!$M$60="","THHN",MC_MACHOTE!$M$60),"")</f>
        <v/>
      </c>
      <c r="W48" s="46" t="str">
        <f>IF(MC_MACHOTE!$X$60&gt;0,MC_MACHOTE!$BT$60,"")</f>
        <v/>
      </c>
      <c r="X48" s="47" t="str">
        <f>MC_MACHOTE!$C$3</f>
        <v>MACHOTE</v>
      </c>
      <c r="Y48" s="46" t="s">
        <v>872</v>
      </c>
      <c r="Z48" s="47">
        <v>71</v>
      </c>
      <c r="AA48" s="47" t="str">
        <f t="shared" si="2"/>
        <v/>
      </c>
      <c r="AB48" s="47" t="str">
        <f t="shared" si="3"/>
        <v/>
      </c>
      <c r="AC48" s="68" t="str">
        <f>IF(MC_MACHOTE!$X$60&gt;0,IF(MC_MACHOTE!$AJ$60&gt;0,MC_MACHOTE!$AJ$60,""),"")</f>
        <v/>
      </c>
      <c r="AD48" s="61"/>
      <c r="AE48" s="51"/>
      <c r="AF48" s="68" t="str">
        <f>IF(MC_MACHOTE!$X$60&gt;0,IF(MC_MACHOTE!$AK$60&gt;0,MC_MACHOTE!$AK$60,""),"")</f>
        <v/>
      </c>
      <c r="AG48" s="61"/>
      <c r="AH48" s="51"/>
      <c r="AI48" s="68" t="str">
        <f>IF(MC_MACHOTE!$X$60&gt;0,IF(MC_MACHOTE!$AL$60&gt;0,MC_MACHOTE!$AL$60,""),"")</f>
        <v/>
      </c>
      <c r="AJ48" s="51"/>
      <c r="AL48" t="b">
        <f>COUNTIF(MC_MACHOTE!$CA$25:$CB$124,71)&gt;0</f>
        <v>0</v>
      </c>
      <c r="AM48">
        <v>71</v>
      </c>
    </row>
    <row r="49" spans="2:39" ht="23.45" customHeight="1" x14ac:dyDescent="0.45">
      <c r="B49" s="47" t="str">
        <f>MC_MACHOTE!$C$3</f>
        <v>MACHOTE</v>
      </c>
      <c r="C49" s="46" t="s">
        <v>872</v>
      </c>
      <c r="D49" s="47">
        <v>73</v>
      </c>
      <c r="E49" s="47" t="str">
        <f>IF(MC_MACHOTE!$X$61&gt;0,MC_MACHOTE!$CA$61,"")</f>
        <v/>
      </c>
      <c r="F49" s="47" t="str">
        <f>IF(MC_MACHOTE!$X$61&gt;0,MC_MACHOTE!$CB$61,"")</f>
        <v/>
      </c>
      <c r="G49" s="69" t="str">
        <f>IF(MC_MACHOTE!$X$61&gt;0,MC_MACHOTE!$W$61,"")</f>
        <v/>
      </c>
      <c r="H49" s="51"/>
      <c r="I49" s="43" t="str">
        <f>IF(MC_MACHOTE!$X$61&gt;0,MC_MACHOTE!$X$61,"")</f>
        <v/>
      </c>
      <c r="J49" s="43" t="str">
        <f>IF(MC_MACHOTE!$X$61&gt;0,MC_MACHOTE!$BH$61,"")</f>
        <v/>
      </c>
      <c r="K49" s="69" t="str">
        <f>IF(MC_MACHOTE!$X$61&gt;0,MC_MACHOTE!$BL$61,"")</f>
        <v/>
      </c>
      <c r="L49" s="51"/>
      <c r="M49" s="46" t="str">
        <f>IF(MC_MACHOTE!$X$61&gt;0,IF(N(MC_MACHOTE!$BP$61)&gt;0,MC_MACHOTE!$BP$61,""),"")</f>
        <v/>
      </c>
      <c r="N49" s="46" t="str">
        <f>IF(MC_MACHOTE!$X$61&gt;0,MC_MACHOTE!$AT$61,"")</f>
        <v/>
      </c>
      <c r="O49" s="46" t="str">
        <f>IF(MC_MACHOTE!$X$61&gt;0,MC_MACHOTE!$BO$61,"")</f>
        <v/>
      </c>
      <c r="P49" s="46" t="str">
        <f>IF(MC_MACHOTE!$X$61&gt;0,MC_MACHOTE!$BI$61,"")</f>
        <v/>
      </c>
      <c r="Q49" s="46" t="str">
        <f>IF(MC_MACHOTE!$X$61&gt;0,MC_MACHOTE!$BM$61,"")</f>
        <v/>
      </c>
      <c r="R49" s="46" t="str">
        <f>IF(MC_MACHOTE!$X$61&gt;0,MC_MACHOTE!$BQ$61,"")</f>
        <v/>
      </c>
      <c r="S49" s="46" t="str">
        <f>IF(MC_MACHOTE!$X$61&gt;0,MC_MACHOTE!$BR$61,"")</f>
        <v/>
      </c>
      <c r="T49" s="46" t="str">
        <f>IF(MC_MACHOTE!$X$61&gt;0,MC_MACHOTE!$BS$61,"")</f>
        <v/>
      </c>
      <c r="U49" s="46" t="str">
        <f>IF(MC_MACHOTE!$X$61&gt;0,IF(MC_MACHOTE!$L$61="","CU",IF(MC_MACHOTE!$L$61="AL-MC","AL",MC_MACHOTE!$L$61)),"")</f>
        <v/>
      </c>
      <c r="V49" s="46" t="str">
        <f>IF(MC_MACHOTE!$X$61&gt;0,IF(MC_MACHOTE!$M$61="","THHN",MC_MACHOTE!$M$61),"")</f>
        <v/>
      </c>
      <c r="W49" s="46" t="str">
        <f>IF(MC_MACHOTE!$X$61&gt;0,MC_MACHOTE!$BT$61,"")</f>
        <v/>
      </c>
      <c r="X49" s="47" t="str">
        <f>MC_MACHOTE!$C$3</f>
        <v>MACHOTE</v>
      </c>
      <c r="Y49" s="46" t="s">
        <v>872</v>
      </c>
      <c r="Z49" s="47">
        <v>73</v>
      </c>
      <c r="AA49" s="47" t="str">
        <f t="shared" si="2"/>
        <v/>
      </c>
      <c r="AB49" s="47" t="str">
        <f t="shared" si="3"/>
        <v/>
      </c>
      <c r="AC49" s="68" t="str">
        <f>IF(MC_MACHOTE!$X$61&gt;0,IF(MC_MACHOTE!$AJ$61&gt;0,MC_MACHOTE!$AJ$61,""),"")</f>
        <v/>
      </c>
      <c r="AD49" s="61"/>
      <c r="AE49" s="51"/>
      <c r="AF49" s="68" t="str">
        <f>IF(MC_MACHOTE!$X$61&gt;0,IF(MC_MACHOTE!$AK$61&gt;0,MC_MACHOTE!$AK$61,""),"")</f>
        <v/>
      </c>
      <c r="AG49" s="61"/>
      <c r="AH49" s="51"/>
      <c r="AI49" s="68" t="str">
        <f>IF(MC_MACHOTE!$X$61&gt;0,IF(MC_MACHOTE!$AL$61&gt;0,MC_MACHOTE!$AL$61,""),"")</f>
        <v/>
      </c>
      <c r="AJ49" s="51"/>
      <c r="AL49" t="b">
        <f>COUNTIF(MC_MACHOTE!$CA$25:$CB$124,73)&gt;0</f>
        <v>0</v>
      </c>
      <c r="AM49">
        <v>73</v>
      </c>
    </row>
    <row r="50" spans="2:39" ht="23.45" customHeight="1" x14ac:dyDescent="0.45">
      <c r="B50" s="47" t="str">
        <f>MC_MACHOTE!$C$3</f>
        <v>MACHOTE</v>
      </c>
      <c r="C50" s="46" t="s">
        <v>872</v>
      </c>
      <c r="D50" s="47">
        <v>75</v>
      </c>
      <c r="E50" s="47" t="str">
        <f>IF(MC_MACHOTE!$X$62&gt;0,MC_MACHOTE!$CA$62,"")</f>
        <v/>
      </c>
      <c r="F50" s="47" t="str">
        <f>IF(MC_MACHOTE!$X$62&gt;0,MC_MACHOTE!$CB$62,"")</f>
        <v/>
      </c>
      <c r="G50" s="69" t="str">
        <f>IF(MC_MACHOTE!$X$62&gt;0,MC_MACHOTE!$W$62,"")</f>
        <v/>
      </c>
      <c r="H50" s="51"/>
      <c r="I50" s="43" t="str">
        <f>IF(MC_MACHOTE!$X$62&gt;0,MC_MACHOTE!$X$62,"")</f>
        <v/>
      </c>
      <c r="J50" s="43" t="str">
        <f>IF(MC_MACHOTE!$X$62&gt;0,MC_MACHOTE!$BH$62,"")</f>
        <v/>
      </c>
      <c r="K50" s="69" t="str">
        <f>IF(MC_MACHOTE!$X$62&gt;0,MC_MACHOTE!$BL$62,"")</f>
        <v/>
      </c>
      <c r="L50" s="51"/>
      <c r="M50" s="46" t="str">
        <f>IF(MC_MACHOTE!$X$62&gt;0,IF(N(MC_MACHOTE!$BP$62)&gt;0,MC_MACHOTE!$BP$62,""),"")</f>
        <v/>
      </c>
      <c r="N50" s="46" t="str">
        <f>IF(MC_MACHOTE!$X$62&gt;0,MC_MACHOTE!$AT$62,"")</f>
        <v/>
      </c>
      <c r="O50" s="46" t="str">
        <f>IF(MC_MACHOTE!$X$62&gt;0,MC_MACHOTE!$BO$62,"")</f>
        <v/>
      </c>
      <c r="P50" s="46" t="str">
        <f>IF(MC_MACHOTE!$X$62&gt;0,MC_MACHOTE!$BI$62,"")</f>
        <v/>
      </c>
      <c r="Q50" s="46" t="str">
        <f>IF(MC_MACHOTE!$X$62&gt;0,MC_MACHOTE!$BM$62,"")</f>
        <v/>
      </c>
      <c r="R50" s="46" t="str">
        <f>IF(MC_MACHOTE!$X$62&gt;0,MC_MACHOTE!$BQ$62,"")</f>
        <v/>
      </c>
      <c r="S50" s="46" t="str">
        <f>IF(MC_MACHOTE!$X$62&gt;0,MC_MACHOTE!$BR$62,"")</f>
        <v/>
      </c>
      <c r="T50" s="46" t="str">
        <f>IF(MC_MACHOTE!$X$62&gt;0,MC_MACHOTE!$BS$62,"")</f>
        <v/>
      </c>
      <c r="U50" s="46" t="str">
        <f>IF(MC_MACHOTE!$X$62&gt;0,IF(MC_MACHOTE!$L$62="","CU",IF(MC_MACHOTE!$L$62="AL-MC","AL",MC_MACHOTE!$L$62)),"")</f>
        <v/>
      </c>
      <c r="V50" s="46" t="str">
        <f>IF(MC_MACHOTE!$X$62&gt;0,IF(MC_MACHOTE!$M$62="","THHN",MC_MACHOTE!$M$62),"")</f>
        <v/>
      </c>
      <c r="W50" s="46" t="str">
        <f>IF(MC_MACHOTE!$X$62&gt;0,MC_MACHOTE!$BT$62,"")</f>
        <v/>
      </c>
      <c r="X50" s="47" t="str">
        <f>MC_MACHOTE!$C$3</f>
        <v>MACHOTE</v>
      </c>
      <c r="Y50" s="46" t="s">
        <v>872</v>
      </c>
      <c r="Z50" s="47">
        <v>75</v>
      </c>
      <c r="AA50" s="47" t="str">
        <f t="shared" si="2"/>
        <v/>
      </c>
      <c r="AB50" s="47" t="str">
        <f t="shared" si="3"/>
        <v/>
      </c>
      <c r="AC50" s="68" t="str">
        <f>IF(MC_MACHOTE!$X$62&gt;0,IF(MC_MACHOTE!$AJ$62&gt;0,MC_MACHOTE!$AJ$62,""),"")</f>
        <v/>
      </c>
      <c r="AD50" s="61"/>
      <c r="AE50" s="51"/>
      <c r="AF50" s="68" t="str">
        <f>IF(MC_MACHOTE!$X$62&gt;0,IF(MC_MACHOTE!$AK$62&gt;0,MC_MACHOTE!$AK$62,""),"")</f>
        <v/>
      </c>
      <c r="AG50" s="61"/>
      <c r="AH50" s="51"/>
      <c r="AI50" s="68" t="str">
        <f>IF(MC_MACHOTE!$X$62&gt;0,IF(MC_MACHOTE!$AL$62&gt;0,MC_MACHOTE!$AL$62,""),"")</f>
        <v/>
      </c>
      <c r="AJ50" s="51"/>
      <c r="AL50" t="b">
        <f>COUNTIF(MC_MACHOTE!$CA$25:$CB$124,75)&gt;0</f>
        <v>0</v>
      </c>
      <c r="AM50">
        <v>75</v>
      </c>
    </row>
    <row r="51" spans="2:39" ht="23.45" customHeight="1" x14ac:dyDescent="0.45">
      <c r="B51" s="47" t="str">
        <f>MC_MACHOTE!$C$3</f>
        <v>MACHOTE</v>
      </c>
      <c r="C51" s="46" t="s">
        <v>872</v>
      </c>
      <c r="D51" s="47">
        <v>77</v>
      </c>
      <c r="E51" s="47" t="str">
        <f>IF(MC_MACHOTE!$X$63&gt;0,MC_MACHOTE!$CA$63,"")</f>
        <v/>
      </c>
      <c r="F51" s="47" t="str">
        <f>IF(MC_MACHOTE!$X$63&gt;0,MC_MACHOTE!$CB$63,"")</f>
        <v/>
      </c>
      <c r="G51" s="69" t="str">
        <f>IF(MC_MACHOTE!$X$63&gt;0,MC_MACHOTE!$W$63,"")</f>
        <v/>
      </c>
      <c r="H51" s="51"/>
      <c r="I51" s="43" t="str">
        <f>IF(MC_MACHOTE!$X$63&gt;0,MC_MACHOTE!$X$63,"")</f>
        <v/>
      </c>
      <c r="J51" s="43" t="str">
        <f>IF(MC_MACHOTE!$X$63&gt;0,MC_MACHOTE!$BH$63,"")</f>
        <v/>
      </c>
      <c r="K51" s="69" t="str">
        <f>IF(MC_MACHOTE!$X$63&gt;0,MC_MACHOTE!$BL$63,"")</f>
        <v/>
      </c>
      <c r="L51" s="51"/>
      <c r="M51" s="46" t="str">
        <f>IF(MC_MACHOTE!$X$63&gt;0,IF(N(MC_MACHOTE!$BP$63)&gt;0,MC_MACHOTE!$BP$63,""),"")</f>
        <v/>
      </c>
      <c r="N51" s="46" t="str">
        <f>IF(MC_MACHOTE!$X$63&gt;0,MC_MACHOTE!$AT$63,"")</f>
        <v/>
      </c>
      <c r="O51" s="46" t="str">
        <f>IF(MC_MACHOTE!$X$63&gt;0,MC_MACHOTE!$BO$63,"")</f>
        <v/>
      </c>
      <c r="P51" s="46" t="str">
        <f>IF(MC_MACHOTE!$X$63&gt;0,MC_MACHOTE!$BI$63,"")</f>
        <v/>
      </c>
      <c r="Q51" s="46" t="str">
        <f>IF(MC_MACHOTE!$X$63&gt;0,MC_MACHOTE!$BM$63,"")</f>
        <v/>
      </c>
      <c r="R51" s="46" t="str">
        <f>IF(MC_MACHOTE!$X$63&gt;0,MC_MACHOTE!$BQ$63,"")</f>
        <v/>
      </c>
      <c r="S51" s="46" t="str">
        <f>IF(MC_MACHOTE!$X$63&gt;0,MC_MACHOTE!$BR$63,"")</f>
        <v/>
      </c>
      <c r="T51" s="46" t="str">
        <f>IF(MC_MACHOTE!$X$63&gt;0,MC_MACHOTE!$BS$63,"")</f>
        <v/>
      </c>
      <c r="U51" s="46" t="str">
        <f>IF(MC_MACHOTE!$X$63&gt;0,IF(MC_MACHOTE!$L$63="","CU",IF(MC_MACHOTE!$L$63="AL-MC","AL",MC_MACHOTE!$L$63)),"")</f>
        <v/>
      </c>
      <c r="V51" s="46" t="str">
        <f>IF(MC_MACHOTE!$X$63&gt;0,IF(MC_MACHOTE!$M$63="","THHN",MC_MACHOTE!$M$63),"")</f>
        <v/>
      </c>
      <c r="W51" s="46" t="str">
        <f>IF(MC_MACHOTE!$X$63&gt;0,MC_MACHOTE!$BT$63,"")</f>
        <v/>
      </c>
      <c r="X51" s="47" t="str">
        <f>MC_MACHOTE!$C$3</f>
        <v>MACHOTE</v>
      </c>
      <c r="Y51" s="46" t="s">
        <v>872</v>
      </c>
      <c r="Z51" s="47">
        <v>77</v>
      </c>
      <c r="AA51" s="47" t="str">
        <f t="shared" si="2"/>
        <v/>
      </c>
      <c r="AB51" s="47" t="str">
        <f t="shared" si="3"/>
        <v/>
      </c>
      <c r="AC51" s="68" t="str">
        <f>IF(MC_MACHOTE!$X$63&gt;0,IF(MC_MACHOTE!$AJ$63&gt;0,MC_MACHOTE!$AJ$63,""),"")</f>
        <v/>
      </c>
      <c r="AD51" s="61"/>
      <c r="AE51" s="51"/>
      <c r="AF51" s="68" t="str">
        <f>IF(MC_MACHOTE!$X$63&gt;0,IF(MC_MACHOTE!$AK$63&gt;0,MC_MACHOTE!$AK$63,""),"")</f>
        <v/>
      </c>
      <c r="AG51" s="61"/>
      <c r="AH51" s="51"/>
      <c r="AI51" s="68" t="str">
        <f>IF(MC_MACHOTE!$X$63&gt;0,IF(MC_MACHOTE!$AL$63&gt;0,MC_MACHOTE!$AL$63,""),"")</f>
        <v/>
      </c>
      <c r="AJ51" s="51"/>
      <c r="AL51" t="b">
        <f>COUNTIF(MC_MACHOTE!$CA$25:$CB$124,77)&gt;0</f>
        <v>0</v>
      </c>
      <c r="AM51">
        <v>77</v>
      </c>
    </row>
    <row r="52" spans="2:39" ht="23.45" customHeight="1" x14ac:dyDescent="0.45">
      <c r="B52" s="47" t="str">
        <f>MC_MACHOTE!$C$3</f>
        <v>MACHOTE</v>
      </c>
      <c r="C52" s="46" t="s">
        <v>872</v>
      </c>
      <c r="D52" s="47">
        <v>79</v>
      </c>
      <c r="E52" s="47" t="str">
        <f>IF(MC_MACHOTE!$X$64&gt;0,MC_MACHOTE!$CA$64,"")</f>
        <v/>
      </c>
      <c r="F52" s="47" t="str">
        <f>IF(MC_MACHOTE!$X$64&gt;0,MC_MACHOTE!$CB$64,"")</f>
        <v/>
      </c>
      <c r="G52" s="69" t="str">
        <f>IF(MC_MACHOTE!$X$64&gt;0,MC_MACHOTE!$W$64,"")</f>
        <v/>
      </c>
      <c r="H52" s="51"/>
      <c r="I52" s="43" t="str">
        <f>IF(MC_MACHOTE!$X$64&gt;0,MC_MACHOTE!$X$64,"")</f>
        <v/>
      </c>
      <c r="J52" s="43" t="str">
        <f>IF(MC_MACHOTE!$X$64&gt;0,MC_MACHOTE!$BH$64,"")</f>
        <v/>
      </c>
      <c r="K52" s="69" t="str">
        <f>IF(MC_MACHOTE!$X$64&gt;0,MC_MACHOTE!$BL$64,"")</f>
        <v/>
      </c>
      <c r="L52" s="51"/>
      <c r="M52" s="46" t="str">
        <f>IF(MC_MACHOTE!$X$64&gt;0,IF(N(MC_MACHOTE!$BP$64)&gt;0,MC_MACHOTE!$BP$64,""),"")</f>
        <v/>
      </c>
      <c r="N52" s="46" t="str">
        <f>IF(MC_MACHOTE!$X$64&gt;0,MC_MACHOTE!$AT$64,"")</f>
        <v/>
      </c>
      <c r="O52" s="46" t="str">
        <f>IF(MC_MACHOTE!$X$64&gt;0,MC_MACHOTE!$BO$64,"")</f>
        <v/>
      </c>
      <c r="P52" s="46" t="str">
        <f>IF(MC_MACHOTE!$X$64&gt;0,MC_MACHOTE!$BI$64,"")</f>
        <v/>
      </c>
      <c r="Q52" s="46" t="str">
        <f>IF(MC_MACHOTE!$X$64&gt;0,MC_MACHOTE!$BM$64,"")</f>
        <v/>
      </c>
      <c r="R52" s="46" t="str">
        <f>IF(MC_MACHOTE!$X$64&gt;0,MC_MACHOTE!$BQ$64,"")</f>
        <v/>
      </c>
      <c r="S52" s="46" t="str">
        <f>IF(MC_MACHOTE!$X$64&gt;0,MC_MACHOTE!$BR$64,"")</f>
        <v/>
      </c>
      <c r="T52" s="46" t="str">
        <f>IF(MC_MACHOTE!$X$64&gt;0,MC_MACHOTE!$BS$64,"")</f>
        <v/>
      </c>
      <c r="U52" s="46" t="str">
        <f>IF(MC_MACHOTE!$X$64&gt;0,IF(MC_MACHOTE!$L$64="","CU",IF(MC_MACHOTE!$L$64="AL-MC","AL",MC_MACHOTE!$L$64)),"")</f>
        <v/>
      </c>
      <c r="V52" s="46" t="str">
        <f>IF(MC_MACHOTE!$X$64&gt;0,IF(MC_MACHOTE!$M$64="","THHN",MC_MACHOTE!$M$64),"")</f>
        <v/>
      </c>
      <c r="W52" s="46" t="str">
        <f>IF(MC_MACHOTE!$X$64&gt;0,MC_MACHOTE!$BT$64,"")</f>
        <v/>
      </c>
      <c r="X52" s="47" t="str">
        <f>MC_MACHOTE!$C$3</f>
        <v>MACHOTE</v>
      </c>
      <c r="Y52" s="46" t="s">
        <v>872</v>
      </c>
      <c r="Z52" s="47">
        <v>79</v>
      </c>
      <c r="AA52" s="47" t="str">
        <f t="shared" si="2"/>
        <v/>
      </c>
      <c r="AB52" s="47" t="str">
        <f t="shared" si="3"/>
        <v/>
      </c>
      <c r="AC52" s="68" t="str">
        <f>IF(MC_MACHOTE!$X$64&gt;0,IF(MC_MACHOTE!$AJ$64&gt;0,MC_MACHOTE!$AJ$64,""),"")</f>
        <v/>
      </c>
      <c r="AD52" s="61"/>
      <c r="AE52" s="51"/>
      <c r="AF52" s="68" t="str">
        <f>IF(MC_MACHOTE!$X$64&gt;0,IF(MC_MACHOTE!$AK$64&gt;0,MC_MACHOTE!$AK$64,""),"")</f>
        <v/>
      </c>
      <c r="AG52" s="61"/>
      <c r="AH52" s="51"/>
      <c r="AI52" s="68" t="str">
        <f>IF(MC_MACHOTE!$X$64&gt;0,IF(MC_MACHOTE!$AL$64&gt;0,MC_MACHOTE!$AL$64,""),"")</f>
        <v/>
      </c>
      <c r="AJ52" s="51"/>
      <c r="AL52" t="b">
        <f>COUNTIF(MC_MACHOTE!$CA$25:$CB$124,79)&gt;0</f>
        <v>0</v>
      </c>
      <c r="AM52">
        <v>79</v>
      </c>
    </row>
    <row r="53" spans="2:39" ht="23.45" customHeight="1" x14ac:dyDescent="0.45">
      <c r="B53" s="47" t="str">
        <f>MC_MACHOTE!$C$3</f>
        <v>MACHOTE</v>
      </c>
      <c r="C53" s="46" t="s">
        <v>872</v>
      </c>
      <c r="D53" s="47">
        <v>81</v>
      </c>
      <c r="E53" s="47" t="str">
        <f>IF(MC_MACHOTE!$X$65&gt;0,MC_MACHOTE!$CA$65,"")</f>
        <v/>
      </c>
      <c r="F53" s="47" t="str">
        <f>IF(MC_MACHOTE!$X$65&gt;0,MC_MACHOTE!$CB$65,"")</f>
        <v/>
      </c>
      <c r="G53" s="69" t="str">
        <f>IF(MC_MACHOTE!$X$65&gt;0,MC_MACHOTE!$W$65,"")</f>
        <v/>
      </c>
      <c r="H53" s="51"/>
      <c r="I53" s="43" t="str">
        <f>IF(MC_MACHOTE!$X$65&gt;0,MC_MACHOTE!$X$65,"")</f>
        <v/>
      </c>
      <c r="J53" s="43" t="str">
        <f>IF(MC_MACHOTE!$X$65&gt;0,MC_MACHOTE!$BH$65,"")</f>
        <v/>
      </c>
      <c r="K53" s="69" t="str">
        <f>IF(MC_MACHOTE!$X$65&gt;0,MC_MACHOTE!$BL$65,"")</f>
        <v/>
      </c>
      <c r="L53" s="51"/>
      <c r="M53" s="46" t="str">
        <f>IF(MC_MACHOTE!$X$65&gt;0,IF(N(MC_MACHOTE!$BP$65)&gt;0,MC_MACHOTE!$BP$65,""),"")</f>
        <v/>
      </c>
      <c r="N53" s="46" t="str">
        <f>IF(MC_MACHOTE!$X$65&gt;0,MC_MACHOTE!$AT$65,"")</f>
        <v/>
      </c>
      <c r="O53" s="46" t="str">
        <f>IF(MC_MACHOTE!$X$65&gt;0,MC_MACHOTE!$BO$65,"")</f>
        <v/>
      </c>
      <c r="P53" s="46" t="str">
        <f>IF(MC_MACHOTE!$X$65&gt;0,MC_MACHOTE!$BI$65,"")</f>
        <v/>
      </c>
      <c r="Q53" s="46" t="str">
        <f>IF(MC_MACHOTE!$X$65&gt;0,MC_MACHOTE!$BM$65,"")</f>
        <v/>
      </c>
      <c r="R53" s="46" t="str">
        <f>IF(MC_MACHOTE!$X$65&gt;0,MC_MACHOTE!$BQ$65,"")</f>
        <v/>
      </c>
      <c r="S53" s="46" t="str">
        <f>IF(MC_MACHOTE!$X$65&gt;0,MC_MACHOTE!$BR$65,"")</f>
        <v/>
      </c>
      <c r="T53" s="46" t="str">
        <f>IF(MC_MACHOTE!$X$65&gt;0,MC_MACHOTE!$BS$65,"")</f>
        <v/>
      </c>
      <c r="U53" s="46" t="str">
        <f>IF(MC_MACHOTE!$X$65&gt;0,IF(MC_MACHOTE!$L$65="","CU",IF(MC_MACHOTE!$L$65="AL-MC","AL",MC_MACHOTE!$L$65)),"")</f>
        <v/>
      </c>
      <c r="V53" s="46" t="str">
        <f>IF(MC_MACHOTE!$X$65&gt;0,IF(MC_MACHOTE!$M$65="","THHN",MC_MACHOTE!$M$65),"")</f>
        <v/>
      </c>
      <c r="W53" s="46" t="str">
        <f>IF(MC_MACHOTE!$X$65&gt;0,MC_MACHOTE!$BT$65,"")</f>
        <v/>
      </c>
      <c r="X53" s="47" t="str">
        <f>MC_MACHOTE!$C$3</f>
        <v>MACHOTE</v>
      </c>
      <c r="Y53" s="46" t="s">
        <v>872</v>
      </c>
      <c r="Z53" s="47">
        <v>81</v>
      </c>
      <c r="AA53" s="47" t="str">
        <f t="shared" si="2"/>
        <v/>
      </c>
      <c r="AB53" s="47" t="str">
        <f t="shared" si="3"/>
        <v/>
      </c>
      <c r="AC53" s="68" t="str">
        <f>IF(MC_MACHOTE!$X$65&gt;0,IF(MC_MACHOTE!$AJ$65&gt;0,MC_MACHOTE!$AJ$65,""),"")</f>
        <v/>
      </c>
      <c r="AD53" s="61"/>
      <c r="AE53" s="51"/>
      <c r="AF53" s="68" t="str">
        <f>IF(MC_MACHOTE!$X$65&gt;0,IF(MC_MACHOTE!$AK$65&gt;0,MC_MACHOTE!$AK$65,""),"")</f>
        <v/>
      </c>
      <c r="AG53" s="61"/>
      <c r="AH53" s="51"/>
      <c r="AI53" s="68" t="str">
        <f>IF(MC_MACHOTE!$X$65&gt;0,IF(MC_MACHOTE!$AL$65&gt;0,MC_MACHOTE!$AL$65,""),"")</f>
        <v/>
      </c>
      <c r="AJ53" s="51"/>
      <c r="AL53" t="b">
        <f>COUNTIF(MC_MACHOTE!$CA$25:$CB$124,81)&gt;0</f>
        <v>0</v>
      </c>
      <c r="AM53">
        <v>81</v>
      </c>
    </row>
    <row r="54" spans="2:39" ht="23.45" customHeight="1" x14ac:dyDescent="0.45">
      <c r="B54" s="47" t="str">
        <f>MC_MACHOTE!$C$3</f>
        <v>MACHOTE</v>
      </c>
      <c r="C54" s="46" t="s">
        <v>872</v>
      </c>
      <c r="D54" s="47">
        <v>83</v>
      </c>
      <c r="E54" s="47" t="str">
        <f>IF(MC_MACHOTE!$X$66&gt;0,MC_MACHOTE!$CA$66,"")</f>
        <v/>
      </c>
      <c r="F54" s="47" t="str">
        <f>IF(MC_MACHOTE!$X$66&gt;0,MC_MACHOTE!$CB$66,"")</f>
        <v/>
      </c>
      <c r="G54" s="69" t="str">
        <f>IF(MC_MACHOTE!$X$66&gt;0,MC_MACHOTE!$W$66,"")</f>
        <v/>
      </c>
      <c r="H54" s="51"/>
      <c r="I54" s="43" t="str">
        <f>IF(MC_MACHOTE!$X$66&gt;0,MC_MACHOTE!$X$66,"")</f>
        <v/>
      </c>
      <c r="J54" s="43" t="str">
        <f>IF(MC_MACHOTE!$X$66&gt;0,MC_MACHOTE!$BH$66,"")</f>
        <v/>
      </c>
      <c r="K54" s="69" t="str">
        <f>IF(MC_MACHOTE!$X$66&gt;0,MC_MACHOTE!$BL$66,"")</f>
        <v/>
      </c>
      <c r="L54" s="51"/>
      <c r="M54" s="46" t="str">
        <f>IF(MC_MACHOTE!$X$66&gt;0,IF(N(MC_MACHOTE!$BP$66)&gt;0,MC_MACHOTE!$BP$66,""),"")</f>
        <v/>
      </c>
      <c r="N54" s="46" t="str">
        <f>IF(MC_MACHOTE!$X$66&gt;0,MC_MACHOTE!$AT$66,"")</f>
        <v/>
      </c>
      <c r="O54" s="46" t="str">
        <f>IF(MC_MACHOTE!$X$66&gt;0,MC_MACHOTE!$BO$66,"")</f>
        <v/>
      </c>
      <c r="P54" s="46" t="str">
        <f>IF(MC_MACHOTE!$X$66&gt;0,MC_MACHOTE!$BI$66,"")</f>
        <v/>
      </c>
      <c r="Q54" s="46" t="str">
        <f>IF(MC_MACHOTE!$X$66&gt;0,MC_MACHOTE!$BM$66,"")</f>
        <v/>
      </c>
      <c r="R54" s="46" t="str">
        <f>IF(MC_MACHOTE!$X$66&gt;0,MC_MACHOTE!$BQ$66,"")</f>
        <v/>
      </c>
      <c r="S54" s="46" t="str">
        <f>IF(MC_MACHOTE!$X$66&gt;0,MC_MACHOTE!$BR$66,"")</f>
        <v/>
      </c>
      <c r="T54" s="46" t="str">
        <f>IF(MC_MACHOTE!$X$66&gt;0,MC_MACHOTE!$BS$66,"")</f>
        <v/>
      </c>
      <c r="U54" s="46" t="str">
        <f>IF(MC_MACHOTE!$X$66&gt;0,IF(MC_MACHOTE!$L$66="","CU",IF(MC_MACHOTE!$L$66="AL-MC","AL",MC_MACHOTE!$L$66)),"")</f>
        <v/>
      </c>
      <c r="V54" s="46" t="str">
        <f>IF(MC_MACHOTE!$X$66&gt;0,IF(MC_MACHOTE!$M$66="","THHN",MC_MACHOTE!$M$66),"")</f>
        <v/>
      </c>
      <c r="W54" s="46" t="str">
        <f>IF(MC_MACHOTE!$X$66&gt;0,MC_MACHOTE!$BT$66,"")</f>
        <v/>
      </c>
      <c r="X54" s="47" t="str">
        <f>MC_MACHOTE!$C$3</f>
        <v>MACHOTE</v>
      </c>
      <c r="Y54" s="46" t="s">
        <v>872</v>
      </c>
      <c r="Z54" s="47">
        <v>83</v>
      </c>
      <c r="AA54" s="47" t="str">
        <f t="shared" si="2"/>
        <v/>
      </c>
      <c r="AB54" s="47" t="str">
        <f t="shared" si="3"/>
        <v/>
      </c>
      <c r="AC54" s="68" t="str">
        <f>IF(MC_MACHOTE!$X$66&gt;0,IF(MC_MACHOTE!$AJ$66&gt;0,MC_MACHOTE!$AJ$66,""),"")</f>
        <v/>
      </c>
      <c r="AD54" s="61"/>
      <c r="AE54" s="51"/>
      <c r="AF54" s="68" t="str">
        <f>IF(MC_MACHOTE!$X$66&gt;0,IF(MC_MACHOTE!$AK$66&gt;0,MC_MACHOTE!$AK$66,""),"")</f>
        <v/>
      </c>
      <c r="AG54" s="61"/>
      <c r="AH54" s="51"/>
      <c r="AI54" s="68" t="str">
        <f>IF(MC_MACHOTE!$X$66&gt;0,IF(MC_MACHOTE!$AL$66&gt;0,MC_MACHOTE!$AL$66,""),"")</f>
        <v/>
      </c>
      <c r="AJ54" s="51"/>
      <c r="AL54" t="b">
        <f>COUNTIF(MC_MACHOTE!$CA$25:$CB$124,83)&gt;0</f>
        <v>0</v>
      </c>
      <c r="AM54">
        <v>83</v>
      </c>
    </row>
    <row r="55" spans="2:39" ht="23.45" customHeight="1" x14ac:dyDescent="0.45">
      <c r="B55" s="47" t="str">
        <f>MC_MACHOTE!$C$3</f>
        <v>MACHOTE</v>
      </c>
      <c r="C55" s="46" t="s">
        <v>872</v>
      </c>
      <c r="D55" s="47">
        <v>85</v>
      </c>
      <c r="E55" s="47" t="str">
        <f>IF(MC_MACHOTE!$X$67&gt;0,MC_MACHOTE!$CA$67,"")</f>
        <v/>
      </c>
      <c r="F55" s="47" t="str">
        <f>IF(MC_MACHOTE!$X$67&gt;0,MC_MACHOTE!$CB$67,"")</f>
        <v/>
      </c>
      <c r="G55" s="69" t="str">
        <f>IF(MC_MACHOTE!$X$67&gt;0,MC_MACHOTE!$W$67,"")</f>
        <v/>
      </c>
      <c r="H55" s="51"/>
      <c r="I55" s="43" t="str">
        <f>IF(MC_MACHOTE!$X$67&gt;0,MC_MACHOTE!$X$67,"")</f>
        <v/>
      </c>
      <c r="J55" s="43" t="str">
        <f>IF(MC_MACHOTE!$X$67&gt;0,MC_MACHOTE!$BH$67,"")</f>
        <v/>
      </c>
      <c r="K55" s="69" t="str">
        <f>IF(MC_MACHOTE!$X$67&gt;0,MC_MACHOTE!$BL$67,"")</f>
        <v/>
      </c>
      <c r="L55" s="51"/>
      <c r="M55" s="46" t="str">
        <f>IF(MC_MACHOTE!$X$67&gt;0,IF(N(MC_MACHOTE!$BP$67)&gt;0,MC_MACHOTE!$BP$67,""),"")</f>
        <v/>
      </c>
      <c r="N55" s="46" t="str">
        <f>IF(MC_MACHOTE!$X$67&gt;0,MC_MACHOTE!$AT$67,"")</f>
        <v/>
      </c>
      <c r="O55" s="46" t="str">
        <f>IF(MC_MACHOTE!$X$67&gt;0,MC_MACHOTE!$BO$67,"")</f>
        <v/>
      </c>
      <c r="P55" s="46" t="str">
        <f>IF(MC_MACHOTE!$X$67&gt;0,MC_MACHOTE!$BI$67,"")</f>
        <v/>
      </c>
      <c r="Q55" s="46" t="str">
        <f>IF(MC_MACHOTE!$X$67&gt;0,MC_MACHOTE!$BM$67,"")</f>
        <v/>
      </c>
      <c r="R55" s="46" t="str">
        <f>IF(MC_MACHOTE!$X$67&gt;0,MC_MACHOTE!$BQ$67,"")</f>
        <v/>
      </c>
      <c r="S55" s="46" t="str">
        <f>IF(MC_MACHOTE!$X$67&gt;0,MC_MACHOTE!$BR$67,"")</f>
        <v/>
      </c>
      <c r="T55" s="46" t="str">
        <f>IF(MC_MACHOTE!$X$67&gt;0,MC_MACHOTE!$BS$67,"")</f>
        <v/>
      </c>
      <c r="U55" s="46" t="str">
        <f>IF(MC_MACHOTE!$X$67&gt;0,IF(MC_MACHOTE!$L$67="","CU",IF(MC_MACHOTE!$L$67="AL-MC","AL",MC_MACHOTE!$L$67)),"")</f>
        <v/>
      </c>
      <c r="V55" s="46" t="str">
        <f>IF(MC_MACHOTE!$X$67&gt;0,IF(MC_MACHOTE!$M$67="","THHN",MC_MACHOTE!$M$67),"")</f>
        <v/>
      </c>
      <c r="W55" s="46" t="str">
        <f>IF(MC_MACHOTE!$X$67&gt;0,MC_MACHOTE!$BT$67,"")</f>
        <v/>
      </c>
      <c r="X55" s="47" t="str">
        <f>MC_MACHOTE!$C$3</f>
        <v>MACHOTE</v>
      </c>
      <c r="Y55" s="46" t="s">
        <v>872</v>
      </c>
      <c r="Z55" s="47">
        <v>85</v>
      </c>
      <c r="AA55" s="47" t="str">
        <f t="shared" si="2"/>
        <v/>
      </c>
      <c r="AB55" s="47" t="str">
        <f t="shared" si="3"/>
        <v/>
      </c>
      <c r="AC55" s="68" t="str">
        <f>IF(MC_MACHOTE!$X$67&gt;0,IF(MC_MACHOTE!$AJ$67&gt;0,MC_MACHOTE!$AJ$67,""),"")</f>
        <v/>
      </c>
      <c r="AD55" s="61"/>
      <c r="AE55" s="51"/>
      <c r="AF55" s="68" t="str">
        <f>IF(MC_MACHOTE!$X$67&gt;0,IF(MC_MACHOTE!$AK$67&gt;0,MC_MACHOTE!$AK$67,""),"")</f>
        <v/>
      </c>
      <c r="AG55" s="61"/>
      <c r="AH55" s="51"/>
      <c r="AI55" s="68" t="str">
        <f>IF(MC_MACHOTE!$X$67&gt;0,IF(MC_MACHOTE!$AL$67&gt;0,MC_MACHOTE!$AL$67,""),"")</f>
        <v/>
      </c>
      <c r="AJ55" s="51"/>
      <c r="AL55" t="b">
        <f>COUNTIF(MC_MACHOTE!$CA$25:$CB$124,85)&gt;0</f>
        <v>0</v>
      </c>
      <c r="AM55">
        <v>85</v>
      </c>
    </row>
    <row r="56" spans="2:39" ht="23.45" customHeight="1" x14ac:dyDescent="0.45">
      <c r="B56" s="47" t="str">
        <f>MC_MACHOTE!$C$3</f>
        <v>MACHOTE</v>
      </c>
      <c r="C56" s="46" t="s">
        <v>872</v>
      </c>
      <c r="D56" s="47">
        <v>87</v>
      </c>
      <c r="E56" s="47" t="str">
        <f>IF(MC_MACHOTE!$X$68&gt;0,MC_MACHOTE!$CA$68,"")</f>
        <v/>
      </c>
      <c r="F56" s="47" t="str">
        <f>IF(MC_MACHOTE!$X$68&gt;0,MC_MACHOTE!$CB$68,"")</f>
        <v/>
      </c>
      <c r="G56" s="69" t="str">
        <f>IF(MC_MACHOTE!$X$68&gt;0,MC_MACHOTE!$W$68,"")</f>
        <v/>
      </c>
      <c r="H56" s="51"/>
      <c r="I56" s="43" t="str">
        <f>IF(MC_MACHOTE!$X$68&gt;0,MC_MACHOTE!$X$68,"")</f>
        <v/>
      </c>
      <c r="J56" s="43" t="str">
        <f>IF(MC_MACHOTE!$X$68&gt;0,MC_MACHOTE!$BH$68,"")</f>
        <v/>
      </c>
      <c r="K56" s="69" t="str">
        <f>IF(MC_MACHOTE!$X$68&gt;0,MC_MACHOTE!$BL$68,"")</f>
        <v/>
      </c>
      <c r="L56" s="51"/>
      <c r="M56" s="46" t="str">
        <f>IF(MC_MACHOTE!$X$68&gt;0,IF(N(MC_MACHOTE!$BP$68)&gt;0,MC_MACHOTE!$BP$68,""),"")</f>
        <v/>
      </c>
      <c r="N56" s="46" t="str">
        <f>IF(MC_MACHOTE!$X$68&gt;0,MC_MACHOTE!$AT$68,"")</f>
        <v/>
      </c>
      <c r="O56" s="46" t="str">
        <f>IF(MC_MACHOTE!$X$68&gt;0,MC_MACHOTE!$BO$68,"")</f>
        <v/>
      </c>
      <c r="P56" s="46" t="str">
        <f>IF(MC_MACHOTE!$X$68&gt;0,MC_MACHOTE!$BI$68,"")</f>
        <v/>
      </c>
      <c r="Q56" s="46" t="str">
        <f>IF(MC_MACHOTE!$X$68&gt;0,MC_MACHOTE!$BM$68,"")</f>
        <v/>
      </c>
      <c r="R56" s="46" t="str">
        <f>IF(MC_MACHOTE!$X$68&gt;0,MC_MACHOTE!$BQ$68,"")</f>
        <v/>
      </c>
      <c r="S56" s="46" t="str">
        <f>IF(MC_MACHOTE!$X$68&gt;0,MC_MACHOTE!$BR$68,"")</f>
        <v/>
      </c>
      <c r="T56" s="46" t="str">
        <f>IF(MC_MACHOTE!$X$68&gt;0,MC_MACHOTE!$BS$68,"")</f>
        <v/>
      </c>
      <c r="U56" s="46" t="str">
        <f>IF(MC_MACHOTE!$X$68&gt;0,IF(MC_MACHOTE!$L$68="","CU",IF(MC_MACHOTE!$L$68="AL-MC","AL",MC_MACHOTE!$L$68)),"")</f>
        <v/>
      </c>
      <c r="V56" s="46" t="str">
        <f>IF(MC_MACHOTE!$X$68&gt;0,IF(MC_MACHOTE!$M$68="","THHN",MC_MACHOTE!$M$68),"")</f>
        <v/>
      </c>
      <c r="W56" s="46" t="str">
        <f>IF(MC_MACHOTE!$X$68&gt;0,MC_MACHOTE!$BT$68,"")</f>
        <v/>
      </c>
      <c r="X56" s="47" t="str">
        <f>MC_MACHOTE!$C$3</f>
        <v>MACHOTE</v>
      </c>
      <c r="Y56" s="46" t="s">
        <v>872</v>
      </c>
      <c r="Z56" s="47">
        <v>87</v>
      </c>
      <c r="AA56" s="47" t="str">
        <f t="shared" si="2"/>
        <v/>
      </c>
      <c r="AB56" s="47" t="str">
        <f t="shared" si="3"/>
        <v/>
      </c>
      <c r="AC56" s="68" t="str">
        <f>IF(MC_MACHOTE!$X$68&gt;0,IF(MC_MACHOTE!$AJ$68&gt;0,MC_MACHOTE!$AJ$68,""),"")</f>
        <v/>
      </c>
      <c r="AD56" s="61"/>
      <c r="AE56" s="51"/>
      <c r="AF56" s="68" t="str">
        <f>IF(MC_MACHOTE!$X$68&gt;0,IF(MC_MACHOTE!$AK$68&gt;0,MC_MACHOTE!$AK$68,""),"")</f>
        <v/>
      </c>
      <c r="AG56" s="61"/>
      <c r="AH56" s="51"/>
      <c r="AI56" s="68" t="str">
        <f>IF(MC_MACHOTE!$X$68&gt;0,IF(MC_MACHOTE!$AL$68&gt;0,MC_MACHOTE!$AL$68,""),"")</f>
        <v/>
      </c>
      <c r="AJ56" s="51"/>
      <c r="AL56" t="b">
        <f>COUNTIF(MC_MACHOTE!$CA$25:$CB$124,87)&gt;0</f>
        <v>0</v>
      </c>
      <c r="AM56">
        <v>87</v>
      </c>
    </row>
    <row r="57" spans="2:39" ht="23.45" customHeight="1" x14ac:dyDescent="0.45">
      <c r="B57" s="47" t="str">
        <f>MC_MACHOTE!$C$3</f>
        <v>MACHOTE</v>
      </c>
      <c r="C57" s="46" t="s">
        <v>872</v>
      </c>
      <c r="D57" s="47">
        <v>89</v>
      </c>
      <c r="E57" s="47" t="str">
        <f>IF(MC_MACHOTE!$X$69&gt;0,MC_MACHOTE!$CA$69,"")</f>
        <v/>
      </c>
      <c r="F57" s="47" t="str">
        <f>IF(MC_MACHOTE!$X$69&gt;0,MC_MACHOTE!$CB$69,"")</f>
        <v/>
      </c>
      <c r="G57" s="69" t="str">
        <f>IF(MC_MACHOTE!$X$69&gt;0,MC_MACHOTE!$W$69,"")</f>
        <v/>
      </c>
      <c r="H57" s="51"/>
      <c r="I57" s="43" t="str">
        <f>IF(MC_MACHOTE!$X$69&gt;0,MC_MACHOTE!$X$69,"")</f>
        <v/>
      </c>
      <c r="J57" s="43" t="str">
        <f>IF(MC_MACHOTE!$X$69&gt;0,MC_MACHOTE!$BH$69,"")</f>
        <v/>
      </c>
      <c r="K57" s="69" t="str">
        <f>IF(MC_MACHOTE!$X$69&gt;0,MC_MACHOTE!$BL$69,"")</f>
        <v/>
      </c>
      <c r="L57" s="51"/>
      <c r="M57" s="46" t="str">
        <f>IF(MC_MACHOTE!$X$69&gt;0,IF(N(MC_MACHOTE!$BP$69)&gt;0,MC_MACHOTE!$BP$69,""),"")</f>
        <v/>
      </c>
      <c r="N57" s="46" t="str">
        <f>IF(MC_MACHOTE!$X$69&gt;0,MC_MACHOTE!$AT$69,"")</f>
        <v/>
      </c>
      <c r="O57" s="46" t="str">
        <f>IF(MC_MACHOTE!$X$69&gt;0,MC_MACHOTE!$BO$69,"")</f>
        <v/>
      </c>
      <c r="P57" s="46" t="str">
        <f>IF(MC_MACHOTE!$X$69&gt;0,MC_MACHOTE!$BI$69,"")</f>
        <v/>
      </c>
      <c r="Q57" s="46" t="str">
        <f>IF(MC_MACHOTE!$X$69&gt;0,MC_MACHOTE!$BM$69,"")</f>
        <v/>
      </c>
      <c r="R57" s="46" t="str">
        <f>IF(MC_MACHOTE!$X$69&gt;0,MC_MACHOTE!$BQ$69,"")</f>
        <v/>
      </c>
      <c r="S57" s="46" t="str">
        <f>IF(MC_MACHOTE!$X$69&gt;0,MC_MACHOTE!$BR$69,"")</f>
        <v/>
      </c>
      <c r="T57" s="46" t="str">
        <f>IF(MC_MACHOTE!$X$69&gt;0,MC_MACHOTE!$BS$69,"")</f>
        <v/>
      </c>
      <c r="U57" s="46" t="str">
        <f>IF(MC_MACHOTE!$X$69&gt;0,IF(MC_MACHOTE!$L$69="","CU",IF(MC_MACHOTE!$L$69="AL-MC","AL",MC_MACHOTE!$L$69)),"")</f>
        <v/>
      </c>
      <c r="V57" s="46" t="str">
        <f>IF(MC_MACHOTE!$X$69&gt;0,IF(MC_MACHOTE!$M$69="","THHN",MC_MACHOTE!$M$69),"")</f>
        <v/>
      </c>
      <c r="W57" s="46" t="str">
        <f>IF(MC_MACHOTE!$X$69&gt;0,MC_MACHOTE!$BT$69,"")</f>
        <v/>
      </c>
      <c r="X57" s="47" t="str">
        <f>MC_MACHOTE!$C$3</f>
        <v>MACHOTE</v>
      </c>
      <c r="Y57" s="46" t="s">
        <v>872</v>
      </c>
      <c r="Z57" s="47">
        <v>89</v>
      </c>
      <c r="AA57" s="47" t="str">
        <f t="shared" si="2"/>
        <v/>
      </c>
      <c r="AB57" s="47" t="str">
        <f t="shared" si="3"/>
        <v/>
      </c>
      <c r="AC57" s="68" t="str">
        <f>IF(MC_MACHOTE!$X$69&gt;0,IF(MC_MACHOTE!$AJ$69&gt;0,MC_MACHOTE!$AJ$69,""),"")</f>
        <v/>
      </c>
      <c r="AD57" s="61"/>
      <c r="AE57" s="51"/>
      <c r="AF57" s="68" t="str">
        <f>IF(MC_MACHOTE!$X$69&gt;0,IF(MC_MACHOTE!$AK$69&gt;0,MC_MACHOTE!$AK$69,""),"")</f>
        <v/>
      </c>
      <c r="AG57" s="61"/>
      <c r="AH57" s="51"/>
      <c r="AI57" s="68" t="str">
        <f>IF(MC_MACHOTE!$X$69&gt;0,IF(MC_MACHOTE!$AL$69&gt;0,MC_MACHOTE!$AL$69,""),"")</f>
        <v/>
      </c>
      <c r="AJ57" s="51"/>
      <c r="AL57" t="b">
        <f>COUNTIF(MC_MACHOTE!$CA$25:$CB$124,89)&gt;0</f>
        <v>0</v>
      </c>
      <c r="AM57">
        <v>89</v>
      </c>
    </row>
    <row r="58" spans="2:39" ht="23.45" customHeight="1" x14ac:dyDescent="0.45">
      <c r="B58" s="47" t="str">
        <f>MC_MACHOTE!$C$3</f>
        <v>MACHOTE</v>
      </c>
      <c r="C58" s="46" t="s">
        <v>872</v>
      </c>
      <c r="D58" s="47">
        <v>91</v>
      </c>
      <c r="E58" s="47" t="str">
        <f>IF(MC_MACHOTE!$X$70&gt;0,MC_MACHOTE!$CA$70,"")</f>
        <v/>
      </c>
      <c r="F58" s="47" t="str">
        <f>IF(MC_MACHOTE!$X$70&gt;0,MC_MACHOTE!$CB$70,"")</f>
        <v/>
      </c>
      <c r="G58" s="69" t="str">
        <f>IF(MC_MACHOTE!$X$70&gt;0,MC_MACHOTE!$W$70,"")</f>
        <v/>
      </c>
      <c r="H58" s="51"/>
      <c r="I58" s="43" t="str">
        <f>IF(MC_MACHOTE!$X$70&gt;0,MC_MACHOTE!$X$70,"")</f>
        <v/>
      </c>
      <c r="J58" s="43" t="str">
        <f>IF(MC_MACHOTE!$X$70&gt;0,MC_MACHOTE!$BH$70,"")</f>
        <v/>
      </c>
      <c r="K58" s="69" t="str">
        <f>IF(MC_MACHOTE!$X$70&gt;0,MC_MACHOTE!$BL$70,"")</f>
        <v/>
      </c>
      <c r="L58" s="51"/>
      <c r="M58" s="46" t="str">
        <f>IF(MC_MACHOTE!$X$70&gt;0,IF(N(MC_MACHOTE!$BP$70)&gt;0,MC_MACHOTE!$BP$70,""),"")</f>
        <v/>
      </c>
      <c r="N58" s="46" t="str">
        <f>IF(MC_MACHOTE!$X$70&gt;0,MC_MACHOTE!$AT$70,"")</f>
        <v/>
      </c>
      <c r="O58" s="46" t="str">
        <f>IF(MC_MACHOTE!$X$70&gt;0,MC_MACHOTE!$BO$70,"")</f>
        <v/>
      </c>
      <c r="P58" s="46" t="str">
        <f>IF(MC_MACHOTE!$X$70&gt;0,MC_MACHOTE!$BI$70,"")</f>
        <v/>
      </c>
      <c r="Q58" s="46" t="str">
        <f>IF(MC_MACHOTE!$X$70&gt;0,MC_MACHOTE!$BM$70,"")</f>
        <v/>
      </c>
      <c r="R58" s="46" t="str">
        <f>IF(MC_MACHOTE!$X$70&gt;0,MC_MACHOTE!$BQ$70,"")</f>
        <v/>
      </c>
      <c r="S58" s="46" t="str">
        <f>IF(MC_MACHOTE!$X$70&gt;0,MC_MACHOTE!$BR$70,"")</f>
        <v/>
      </c>
      <c r="T58" s="46" t="str">
        <f>IF(MC_MACHOTE!$X$70&gt;0,MC_MACHOTE!$BS$70,"")</f>
        <v/>
      </c>
      <c r="U58" s="46" t="str">
        <f>IF(MC_MACHOTE!$X$70&gt;0,IF(MC_MACHOTE!$L$70="","CU",IF(MC_MACHOTE!$L$70="AL-MC","AL",MC_MACHOTE!$L$70)),"")</f>
        <v/>
      </c>
      <c r="V58" s="46" t="str">
        <f>IF(MC_MACHOTE!$X$70&gt;0,IF(MC_MACHOTE!$M$70="","THHN",MC_MACHOTE!$M$70),"")</f>
        <v/>
      </c>
      <c r="W58" s="46" t="str">
        <f>IF(MC_MACHOTE!$X$70&gt;0,MC_MACHOTE!$BT$70,"")</f>
        <v/>
      </c>
      <c r="X58" s="47" t="str">
        <f>MC_MACHOTE!$C$3</f>
        <v>MACHOTE</v>
      </c>
      <c r="Y58" s="46" t="s">
        <v>872</v>
      </c>
      <c r="Z58" s="47">
        <v>91</v>
      </c>
      <c r="AA58" s="47" t="str">
        <f t="shared" si="2"/>
        <v/>
      </c>
      <c r="AB58" s="47" t="str">
        <f t="shared" si="3"/>
        <v/>
      </c>
      <c r="AC58" s="68" t="str">
        <f>IF(MC_MACHOTE!$X$70&gt;0,IF(MC_MACHOTE!$AJ$70&gt;0,MC_MACHOTE!$AJ$70,""),"")</f>
        <v/>
      </c>
      <c r="AD58" s="61"/>
      <c r="AE58" s="51"/>
      <c r="AF58" s="68" t="str">
        <f>IF(MC_MACHOTE!$X$70&gt;0,IF(MC_MACHOTE!$AK$70&gt;0,MC_MACHOTE!$AK$70,""),"")</f>
        <v/>
      </c>
      <c r="AG58" s="61"/>
      <c r="AH58" s="51"/>
      <c r="AI58" s="68" t="str">
        <f>IF(MC_MACHOTE!$X$70&gt;0,IF(MC_MACHOTE!$AL$70&gt;0,MC_MACHOTE!$AL$70,""),"")</f>
        <v/>
      </c>
      <c r="AJ58" s="51"/>
      <c r="AL58" t="b">
        <f>COUNTIF(MC_MACHOTE!$CA$25:$CB$124,91)&gt;0</f>
        <v>0</v>
      </c>
      <c r="AM58">
        <v>91</v>
      </c>
    </row>
    <row r="59" spans="2:39" ht="23.45" customHeight="1" x14ac:dyDescent="0.45">
      <c r="B59" s="47" t="str">
        <f>MC_MACHOTE!$C$3</f>
        <v>MACHOTE</v>
      </c>
      <c r="C59" s="46" t="s">
        <v>872</v>
      </c>
      <c r="D59" s="47">
        <v>93</v>
      </c>
      <c r="E59" s="47" t="str">
        <f>IF(MC_MACHOTE!$X$71&gt;0,MC_MACHOTE!$CA$71,"")</f>
        <v/>
      </c>
      <c r="F59" s="47" t="str">
        <f>IF(MC_MACHOTE!$X$71&gt;0,MC_MACHOTE!$CB$71,"")</f>
        <v/>
      </c>
      <c r="G59" s="69" t="str">
        <f>IF(MC_MACHOTE!$X$71&gt;0,MC_MACHOTE!$W$71,"")</f>
        <v/>
      </c>
      <c r="H59" s="51"/>
      <c r="I59" s="43" t="str">
        <f>IF(MC_MACHOTE!$X$71&gt;0,MC_MACHOTE!$X$71,"")</f>
        <v/>
      </c>
      <c r="J59" s="43" t="str">
        <f>IF(MC_MACHOTE!$X$71&gt;0,MC_MACHOTE!$BH$71,"")</f>
        <v/>
      </c>
      <c r="K59" s="69" t="str">
        <f>IF(MC_MACHOTE!$X$71&gt;0,MC_MACHOTE!$BL$71,"")</f>
        <v/>
      </c>
      <c r="L59" s="51"/>
      <c r="M59" s="46" t="str">
        <f>IF(MC_MACHOTE!$X$71&gt;0,IF(N(MC_MACHOTE!$BP$71)&gt;0,MC_MACHOTE!$BP$71,""),"")</f>
        <v/>
      </c>
      <c r="N59" s="46" t="str">
        <f>IF(MC_MACHOTE!$X$71&gt;0,MC_MACHOTE!$AT$71,"")</f>
        <v/>
      </c>
      <c r="O59" s="46" t="str">
        <f>IF(MC_MACHOTE!$X$71&gt;0,MC_MACHOTE!$BO$71,"")</f>
        <v/>
      </c>
      <c r="P59" s="46" t="str">
        <f>IF(MC_MACHOTE!$X$71&gt;0,MC_MACHOTE!$BI$71,"")</f>
        <v/>
      </c>
      <c r="Q59" s="46" t="str">
        <f>IF(MC_MACHOTE!$X$71&gt;0,MC_MACHOTE!$BM$71,"")</f>
        <v/>
      </c>
      <c r="R59" s="46" t="str">
        <f>IF(MC_MACHOTE!$X$71&gt;0,MC_MACHOTE!$BQ$71,"")</f>
        <v/>
      </c>
      <c r="S59" s="46" t="str">
        <f>IF(MC_MACHOTE!$X$71&gt;0,MC_MACHOTE!$BR$71,"")</f>
        <v/>
      </c>
      <c r="T59" s="46" t="str">
        <f>IF(MC_MACHOTE!$X$71&gt;0,MC_MACHOTE!$BS$71,"")</f>
        <v/>
      </c>
      <c r="U59" s="46" t="str">
        <f>IF(MC_MACHOTE!$X$71&gt;0,IF(MC_MACHOTE!$L$71="","CU",IF(MC_MACHOTE!$L$71="AL-MC","AL",MC_MACHOTE!$L$71)),"")</f>
        <v/>
      </c>
      <c r="V59" s="46" t="str">
        <f>IF(MC_MACHOTE!$X$71&gt;0,IF(MC_MACHOTE!$M$71="","THHN",MC_MACHOTE!$M$71),"")</f>
        <v/>
      </c>
      <c r="W59" s="46" t="str">
        <f>IF(MC_MACHOTE!$X$71&gt;0,MC_MACHOTE!$BT$71,"")</f>
        <v/>
      </c>
      <c r="X59" s="47" t="str">
        <f>MC_MACHOTE!$C$3</f>
        <v>MACHOTE</v>
      </c>
      <c r="Y59" s="46" t="s">
        <v>872</v>
      </c>
      <c r="Z59" s="47">
        <v>93</v>
      </c>
      <c r="AA59" s="47" t="str">
        <f t="shared" si="2"/>
        <v/>
      </c>
      <c r="AB59" s="47" t="str">
        <f t="shared" si="3"/>
        <v/>
      </c>
      <c r="AC59" s="68" t="str">
        <f>IF(MC_MACHOTE!$X$71&gt;0,IF(MC_MACHOTE!$AJ$71&gt;0,MC_MACHOTE!$AJ$71,""),"")</f>
        <v/>
      </c>
      <c r="AD59" s="61"/>
      <c r="AE59" s="51"/>
      <c r="AF59" s="68" t="str">
        <f>IF(MC_MACHOTE!$X$71&gt;0,IF(MC_MACHOTE!$AK$71&gt;0,MC_MACHOTE!$AK$71,""),"")</f>
        <v/>
      </c>
      <c r="AG59" s="61"/>
      <c r="AH59" s="51"/>
      <c r="AI59" s="68" t="str">
        <f>IF(MC_MACHOTE!$X$71&gt;0,IF(MC_MACHOTE!$AL$71&gt;0,MC_MACHOTE!$AL$71,""),"")</f>
        <v/>
      </c>
      <c r="AJ59" s="51"/>
      <c r="AL59" t="b">
        <f>COUNTIF(MC_MACHOTE!$CA$25:$CB$124,93)&gt;0</f>
        <v>0</v>
      </c>
      <c r="AM59">
        <v>93</v>
      </c>
    </row>
    <row r="60" spans="2:39" ht="23.45" customHeight="1" x14ac:dyDescent="0.45">
      <c r="B60" s="47" t="str">
        <f>MC_MACHOTE!$C$3</f>
        <v>MACHOTE</v>
      </c>
      <c r="C60" s="46" t="s">
        <v>872</v>
      </c>
      <c r="D60" s="47">
        <v>95</v>
      </c>
      <c r="E60" s="47" t="str">
        <f>IF(MC_MACHOTE!$X$72&gt;0,MC_MACHOTE!$CA$72,"")</f>
        <v/>
      </c>
      <c r="F60" s="47" t="str">
        <f>IF(MC_MACHOTE!$X$72&gt;0,MC_MACHOTE!$CB$72,"")</f>
        <v/>
      </c>
      <c r="G60" s="69" t="str">
        <f>IF(MC_MACHOTE!$X$72&gt;0,MC_MACHOTE!$W$72,"")</f>
        <v/>
      </c>
      <c r="H60" s="51"/>
      <c r="I60" s="43" t="str">
        <f>IF(MC_MACHOTE!$X$72&gt;0,MC_MACHOTE!$X$72,"")</f>
        <v/>
      </c>
      <c r="J60" s="43" t="str">
        <f>IF(MC_MACHOTE!$X$72&gt;0,MC_MACHOTE!$BH$72,"")</f>
        <v/>
      </c>
      <c r="K60" s="69" t="str">
        <f>IF(MC_MACHOTE!$X$72&gt;0,MC_MACHOTE!$BL$72,"")</f>
        <v/>
      </c>
      <c r="L60" s="51"/>
      <c r="M60" s="46" t="str">
        <f>IF(MC_MACHOTE!$X$72&gt;0,IF(N(MC_MACHOTE!$BP$72)&gt;0,MC_MACHOTE!$BP$72,""),"")</f>
        <v/>
      </c>
      <c r="N60" s="46" t="str">
        <f>IF(MC_MACHOTE!$X$72&gt;0,MC_MACHOTE!$AT$72,"")</f>
        <v/>
      </c>
      <c r="O60" s="46" t="str">
        <f>IF(MC_MACHOTE!$X$72&gt;0,MC_MACHOTE!$BO$72,"")</f>
        <v/>
      </c>
      <c r="P60" s="46" t="str">
        <f>IF(MC_MACHOTE!$X$72&gt;0,MC_MACHOTE!$BI$72,"")</f>
        <v/>
      </c>
      <c r="Q60" s="46" t="str">
        <f>IF(MC_MACHOTE!$X$72&gt;0,MC_MACHOTE!$BM$72,"")</f>
        <v/>
      </c>
      <c r="R60" s="46" t="str">
        <f>IF(MC_MACHOTE!$X$72&gt;0,MC_MACHOTE!$BQ$72,"")</f>
        <v/>
      </c>
      <c r="S60" s="46" t="str">
        <f>IF(MC_MACHOTE!$X$72&gt;0,MC_MACHOTE!$BR$72,"")</f>
        <v/>
      </c>
      <c r="T60" s="46" t="str">
        <f>IF(MC_MACHOTE!$X$72&gt;0,MC_MACHOTE!$BS$72,"")</f>
        <v/>
      </c>
      <c r="U60" s="46" t="str">
        <f>IF(MC_MACHOTE!$X$72&gt;0,IF(MC_MACHOTE!$L$72="","CU",IF(MC_MACHOTE!$L$72="AL-MC","AL",MC_MACHOTE!$L$72)),"")</f>
        <v/>
      </c>
      <c r="V60" s="46" t="str">
        <f>IF(MC_MACHOTE!$X$72&gt;0,IF(MC_MACHOTE!$M$72="","THHN",MC_MACHOTE!$M$72),"")</f>
        <v/>
      </c>
      <c r="W60" s="46" t="str">
        <f>IF(MC_MACHOTE!$X$72&gt;0,MC_MACHOTE!$BT$72,"")</f>
        <v/>
      </c>
      <c r="X60" s="47" t="str">
        <f>MC_MACHOTE!$C$3</f>
        <v>MACHOTE</v>
      </c>
      <c r="Y60" s="46" t="s">
        <v>872</v>
      </c>
      <c r="Z60" s="47">
        <v>95</v>
      </c>
      <c r="AA60" s="47" t="str">
        <f t="shared" si="2"/>
        <v/>
      </c>
      <c r="AB60" s="47" t="str">
        <f t="shared" si="3"/>
        <v/>
      </c>
      <c r="AC60" s="68" t="str">
        <f>IF(MC_MACHOTE!$X$72&gt;0,IF(MC_MACHOTE!$AJ$72&gt;0,MC_MACHOTE!$AJ$72,""),"")</f>
        <v/>
      </c>
      <c r="AD60" s="61"/>
      <c r="AE60" s="51"/>
      <c r="AF60" s="68" t="str">
        <f>IF(MC_MACHOTE!$X$72&gt;0,IF(MC_MACHOTE!$AK$72&gt;0,MC_MACHOTE!$AK$72,""),"")</f>
        <v/>
      </c>
      <c r="AG60" s="61"/>
      <c r="AH60" s="51"/>
      <c r="AI60" s="68" t="str">
        <f>IF(MC_MACHOTE!$X$72&gt;0,IF(MC_MACHOTE!$AL$72&gt;0,MC_MACHOTE!$AL$72,""),"")</f>
        <v/>
      </c>
      <c r="AJ60" s="51"/>
      <c r="AL60" t="b">
        <f>COUNTIF(MC_MACHOTE!$CA$25:$CB$124,95)&gt;0</f>
        <v>0</v>
      </c>
      <c r="AM60">
        <v>95</v>
      </c>
    </row>
    <row r="61" spans="2:39" ht="23.45" customHeight="1" x14ac:dyDescent="0.45">
      <c r="B61" s="47" t="str">
        <f>MC_MACHOTE!$C$3</f>
        <v>MACHOTE</v>
      </c>
      <c r="C61" s="46" t="s">
        <v>872</v>
      </c>
      <c r="D61" s="47">
        <v>97</v>
      </c>
      <c r="E61" s="47" t="str">
        <f>IF(MC_MACHOTE!$X$73&gt;0,MC_MACHOTE!$CA$73,"")</f>
        <v/>
      </c>
      <c r="F61" s="47" t="str">
        <f>IF(MC_MACHOTE!$X$73&gt;0,MC_MACHOTE!$CB$73,"")</f>
        <v/>
      </c>
      <c r="G61" s="69" t="str">
        <f>IF(MC_MACHOTE!$X$73&gt;0,MC_MACHOTE!$W$73,"")</f>
        <v/>
      </c>
      <c r="H61" s="51"/>
      <c r="I61" s="43" t="str">
        <f>IF(MC_MACHOTE!$X$73&gt;0,MC_MACHOTE!$X$73,"")</f>
        <v/>
      </c>
      <c r="J61" s="43" t="str">
        <f>IF(MC_MACHOTE!$X$73&gt;0,MC_MACHOTE!$BH$73,"")</f>
        <v/>
      </c>
      <c r="K61" s="69" t="str">
        <f>IF(MC_MACHOTE!$X$73&gt;0,MC_MACHOTE!$BL$73,"")</f>
        <v/>
      </c>
      <c r="L61" s="51"/>
      <c r="M61" s="46" t="str">
        <f>IF(MC_MACHOTE!$X$73&gt;0,IF(N(MC_MACHOTE!$BP$73)&gt;0,MC_MACHOTE!$BP$73,""),"")</f>
        <v/>
      </c>
      <c r="N61" s="46" t="str">
        <f>IF(MC_MACHOTE!$X$73&gt;0,MC_MACHOTE!$AT$73,"")</f>
        <v/>
      </c>
      <c r="O61" s="46" t="str">
        <f>IF(MC_MACHOTE!$X$73&gt;0,MC_MACHOTE!$BO$73,"")</f>
        <v/>
      </c>
      <c r="P61" s="46" t="str">
        <f>IF(MC_MACHOTE!$X$73&gt;0,MC_MACHOTE!$BI$73,"")</f>
        <v/>
      </c>
      <c r="Q61" s="46" t="str">
        <f>IF(MC_MACHOTE!$X$73&gt;0,MC_MACHOTE!$BM$73,"")</f>
        <v/>
      </c>
      <c r="R61" s="46" t="str">
        <f>IF(MC_MACHOTE!$X$73&gt;0,MC_MACHOTE!$BQ$73,"")</f>
        <v/>
      </c>
      <c r="S61" s="46" t="str">
        <f>IF(MC_MACHOTE!$X$73&gt;0,MC_MACHOTE!$BR$73,"")</f>
        <v/>
      </c>
      <c r="T61" s="46" t="str">
        <f>IF(MC_MACHOTE!$X$73&gt;0,MC_MACHOTE!$BS$73,"")</f>
        <v/>
      </c>
      <c r="U61" s="46" t="str">
        <f>IF(MC_MACHOTE!$X$73&gt;0,IF(MC_MACHOTE!$L$73="","CU",IF(MC_MACHOTE!$L$73="AL-MC","AL",MC_MACHOTE!$L$73)),"")</f>
        <v/>
      </c>
      <c r="V61" s="46" t="str">
        <f>IF(MC_MACHOTE!$X$73&gt;0,IF(MC_MACHOTE!$M$73="","THHN",MC_MACHOTE!$M$73),"")</f>
        <v/>
      </c>
      <c r="W61" s="46" t="str">
        <f>IF(MC_MACHOTE!$X$73&gt;0,MC_MACHOTE!$BT$73,"")</f>
        <v/>
      </c>
      <c r="X61" s="47" t="str">
        <f>MC_MACHOTE!$C$3</f>
        <v>MACHOTE</v>
      </c>
      <c r="Y61" s="46" t="s">
        <v>872</v>
      </c>
      <c r="Z61" s="47">
        <v>97</v>
      </c>
      <c r="AA61" s="47" t="str">
        <f t="shared" si="2"/>
        <v/>
      </c>
      <c r="AB61" s="47" t="str">
        <f t="shared" si="3"/>
        <v/>
      </c>
      <c r="AC61" s="68" t="str">
        <f>IF(MC_MACHOTE!$X$73&gt;0,IF(MC_MACHOTE!$AJ$73&gt;0,MC_MACHOTE!$AJ$73,""),"")</f>
        <v/>
      </c>
      <c r="AD61" s="61"/>
      <c r="AE61" s="51"/>
      <c r="AF61" s="68" t="str">
        <f>IF(MC_MACHOTE!$X$73&gt;0,IF(MC_MACHOTE!$AK$73&gt;0,MC_MACHOTE!$AK$73,""),"")</f>
        <v/>
      </c>
      <c r="AG61" s="61"/>
      <c r="AH61" s="51"/>
      <c r="AI61" s="68" t="str">
        <f>IF(MC_MACHOTE!$X$73&gt;0,IF(MC_MACHOTE!$AL$73&gt;0,MC_MACHOTE!$AL$73,""),"")</f>
        <v/>
      </c>
      <c r="AJ61" s="51"/>
      <c r="AL61" t="b">
        <f>COUNTIF(MC_MACHOTE!$CA$25:$CB$124,97)&gt;0</f>
        <v>0</v>
      </c>
      <c r="AM61">
        <v>97</v>
      </c>
    </row>
    <row r="62" spans="2:39" ht="23.45" customHeight="1" x14ac:dyDescent="0.45">
      <c r="B62" s="47" t="str">
        <f>MC_MACHOTE!$C$3</f>
        <v>MACHOTE</v>
      </c>
      <c r="C62" s="46" t="s">
        <v>872</v>
      </c>
      <c r="D62" s="47">
        <v>99</v>
      </c>
      <c r="E62" s="47" t="str">
        <f>IF(MC_MACHOTE!$X$74&gt;0,MC_MACHOTE!$CA$74,"")</f>
        <v/>
      </c>
      <c r="F62" s="47" t="str">
        <f>IF(MC_MACHOTE!$X$74&gt;0,MC_MACHOTE!$CB$74,"")</f>
        <v/>
      </c>
      <c r="G62" s="69" t="str">
        <f>IF(MC_MACHOTE!$X$74&gt;0,MC_MACHOTE!$W$74,"")</f>
        <v/>
      </c>
      <c r="H62" s="51"/>
      <c r="I62" s="43" t="str">
        <f>IF(MC_MACHOTE!$X$74&gt;0,MC_MACHOTE!$X$74,"")</f>
        <v/>
      </c>
      <c r="J62" s="43" t="str">
        <f>IF(MC_MACHOTE!$X$74&gt;0,MC_MACHOTE!$BH$74,"")</f>
        <v/>
      </c>
      <c r="K62" s="69" t="str">
        <f>IF(MC_MACHOTE!$X$74&gt;0,MC_MACHOTE!$BL$74,"")</f>
        <v/>
      </c>
      <c r="L62" s="51"/>
      <c r="M62" s="46" t="str">
        <f>IF(MC_MACHOTE!$X$74&gt;0,IF(N(MC_MACHOTE!$BP$74)&gt;0,MC_MACHOTE!$BP$74,""),"")</f>
        <v/>
      </c>
      <c r="N62" s="46" t="str">
        <f>IF(MC_MACHOTE!$X$74&gt;0,MC_MACHOTE!$AT$74,"")</f>
        <v/>
      </c>
      <c r="O62" s="46" t="str">
        <f>IF(MC_MACHOTE!$X$74&gt;0,MC_MACHOTE!$BO$74,"")</f>
        <v/>
      </c>
      <c r="P62" s="46" t="str">
        <f>IF(MC_MACHOTE!$X$74&gt;0,MC_MACHOTE!$BI$74,"")</f>
        <v/>
      </c>
      <c r="Q62" s="46" t="str">
        <f>IF(MC_MACHOTE!$X$74&gt;0,MC_MACHOTE!$BM$74,"")</f>
        <v/>
      </c>
      <c r="R62" s="46" t="str">
        <f>IF(MC_MACHOTE!$X$74&gt;0,MC_MACHOTE!$BQ$74,"")</f>
        <v/>
      </c>
      <c r="S62" s="46" t="str">
        <f>IF(MC_MACHOTE!$X$74&gt;0,MC_MACHOTE!$BR$74,"")</f>
        <v/>
      </c>
      <c r="T62" s="46" t="str">
        <f>IF(MC_MACHOTE!$X$74&gt;0,MC_MACHOTE!$BS$74,"")</f>
        <v/>
      </c>
      <c r="U62" s="46" t="str">
        <f>IF(MC_MACHOTE!$X$74&gt;0,IF(MC_MACHOTE!$L$74="","CU",IF(MC_MACHOTE!$L$74="AL-MC","AL",MC_MACHOTE!$L$74)),"")</f>
        <v/>
      </c>
      <c r="V62" s="46" t="str">
        <f>IF(MC_MACHOTE!$X$74&gt;0,IF(MC_MACHOTE!$M$74="","THHN",MC_MACHOTE!$M$74),"")</f>
        <v/>
      </c>
      <c r="W62" s="46" t="str">
        <f>IF(MC_MACHOTE!$X$74&gt;0,MC_MACHOTE!$BT$74,"")</f>
        <v/>
      </c>
      <c r="X62" s="47" t="str">
        <f>MC_MACHOTE!$C$3</f>
        <v>MACHOTE</v>
      </c>
      <c r="Y62" s="46" t="s">
        <v>872</v>
      </c>
      <c r="Z62" s="47">
        <v>99</v>
      </c>
      <c r="AA62" s="47" t="str">
        <f t="shared" si="2"/>
        <v/>
      </c>
      <c r="AB62" s="47" t="str">
        <f t="shared" si="3"/>
        <v/>
      </c>
      <c r="AC62" s="68" t="str">
        <f>IF(MC_MACHOTE!$X$74&gt;0,IF(MC_MACHOTE!$AJ$74&gt;0,MC_MACHOTE!$AJ$74,""),"")</f>
        <v/>
      </c>
      <c r="AD62" s="61"/>
      <c r="AE62" s="51"/>
      <c r="AF62" s="68" t="str">
        <f>IF(MC_MACHOTE!$X$74&gt;0,IF(MC_MACHOTE!$AK$74&gt;0,MC_MACHOTE!$AK$74,""),"")</f>
        <v/>
      </c>
      <c r="AG62" s="61"/>
      <c r="AH62" s="51"/>
      <c r="AI62" s="68" t="str">
        <f>IF(MC_MACHOTE!$X$74&gt;0,IF(MC_MACHOTE!$AL$74&gt;0,MC_MACHOTE!$AL$74,""),"")</f>
        <v/>
      </c>
      <c r="AJ62" s="51"/>
      <c r="AL62" t="b">
        <f>COUNTIF(MC_MACHOTE!$CA$25:$CB$124,99)&gt;0</f>
        <v>0</v>
      </c>
      <c r="AM62">
        <v>99</v>
      </c>
    </row>
    <row r="63" spans="2:39" ht="23.45" customHeight="1" x14ac:dyDescent="0.45">
      <c r="B63" s="47" t="str">
        <f>MC_MACHOTE!$C$3</f>
        <v>MACHOTE</v>
      </c>
      <c r="C63" s="46" t="s">
        <v>872</v>
      </c>
      <c r="D63" s="47">
        <v>2</v>
      </c>
      <c r="E63" s="47" t="str">
        <f>IF(MC_MACHOTE!$X$75&gt;0,MC_MACHOTE!$CA$75,"")</f>
        <v/>
      </c>
      <c r="F63" s="47" t="str">
        <f>IF(MC_MACHOTE!$X$75&gt;0,MC_MACHOTE!$CB$75,"")</f>
        <v/>
      </c>
      <c r="G63" s="69" t="str">
        <f>IF(MC_MACHOTE!$X$75&gt;0,MC_MACHOTE!$W$75,"")</f>
        <v/>
      </c>
      <c r="H63" s="51"/>
      <c r="I63" s="43" t="str">
        <f>IF(MC_MACHOTE!$X$75&gt;0,MC_MACHOTE!$X$75,"")</f>
        <v/>
      </c>
      <c r="J63" s="43" t="str">
        <f>IF(MC_MACHOTE!$X$75&gt;0,MC_MACHOTE!$BH$75,"")</f>
        <v/>
      </c>
      <c r="K63" s="69" t="str">
        <f>IF(MC_MACHOTE!$X$75&gt;0,MC_MACHOTE!$BL$75,"")</f>
        <v/>
      </c>
      <c r="L63" s="51"/>
      <c r="M63" s="46" t="str">
        <f>IF(MC_MACHOTE!$X$75&gt;0,IF(N(MC_MACHOTE!$BP$75)&gt;0,MC_MACHOTE!$BP$75,""),"")</f>
        <v/>
      </c>
      <c r="N63" s="46" t="str">
        <f>IF(MC_MACHOTE!$X$75&gt;0,MC_MACHOTE!$AT$75,"")</f>
        <v/>
      </c>
      <c r="O63" s="46" t="str">
        <f>IF(MC_MACHOTE!$X$75&gt;0,MC_MACHOTE!$BO$75,"")</f>
        <v/>
      </c>
      <c r="P63" s="46" t="str">
        <f>IF(MC_MACHOTE!$X$75&gt;0,MC_MACHOTE!$BI$75,"")</f>
        <v/>
      </c>
      <c r="Q63" s="46" t="str">
        <f>IF(MC_MACHOTE!$X$75&gt;0,MC_MACHOTE!$BM$75,"")</f>
        <v/>
      </c>
      <c r="R63" s="46" t="str">
        <f>IF(MC_MACHOTE!$X$75&gt;0,MC_MACHOTE!$BQ$75,"")</f>
        <v/>
      </c>
      <c r="S63" s="46" t="str">
        <f>IF(MC_MACHOTE!$X$75&gt;0,MC_MACHOTE!$BR$75,"")</f>
        <v/>
      </c>
      <c r="T63" s="46" t="str">
        <f>IF(MC_MACHOTE!$X$75&gt;0,MC_MACHOTE!$BS$75,"")</f>
        <v/>
      </c>
      <c r="U63" s="46" t="str">
        <f>IF(MC_MACHOTE!$X$75&gt;0,IF(MC_MACHOTE!$L$75="","CU",IF(MC_MACHOTE!$L$75="AL-MC","AL",MC_MACHOTE!$L$75)),"")</f>
        <v/>
      </c>
      <c r="V63" s="46" t="str">
        <f>IF(MC_MACHOTE!$X$75&gt;0,IF(MC_MACHOTE!$M$75="","THHN",MC_MACHOTE!$M$75),"")</f>
        <v/>
      </c>
      <c r="W63" s="46" t="str">
        <f>IF(MC_MACHOTE!$X$75&gt;0,MC_MACHOTE!$BT$75,"")</f>
        <v/>
      </c>
      <c r="X63" s="47" t="str">
        <f>MC_MACHOTE!$C$3</f>
        <v>MACHOTE</v>
      </c>
      <c r="Y63" s="46" t="s">
        <v>872</v>
      </c>
      <c r="Z63" s="47">
        <v>2</v>
      </c>
      <c r="AA63" s="47" t="str">
        <f t="shared" si="2"/>
        <v/>
      </c>
      <c r="AB63" s="47" t="str">
        <f t="shared" si="3"/>
        <v/>
      </c>
      <c r="AC63" s="68" t="str">
        <f>IF(MC_MACHOTE!$X$75&gt;0,IF(MC_MACHOTE!$AJ$75&gt;0,MC_MACHOTE!$AJ$75,""),"")</f>
        <v/>
      </c>
      <c r="AD63" s="61"/>
      <c r="AE63" s="51"/>
      <c r="AF63" s="68" t="str">
        <f>IF(MC_MACHOTE!$X$75&gt;0,IF(MC_MACHOTE!$AK$75&gt;0,MC_MACHOTE!$AK$75,""),"")</f>
        <v/>
      </c>
      <c r="AG63" s="61"/>
      <c r="AH63" s="51"/>
      <c r="AI63" s="68" t="str">
        <f>IF(MC_MACHOTE!$X$75&gt;0,IF(MC_MACHOTE!$AL$75&gt;0,MC_MACHOTE!$AL$75,""),"")</f>
        <v/>
      </c>
      <c r="AJ63" s="51"/>
      <c r="AL63" t="b">
        <f>COUNTIF(MC_MACHOTE!$CA$25:$CB$124,2)&gt;0</f>
        <v>0</v>
      </c>
      <c r="AM63">
        <v>2</v>
      </c>
    </row>
    <row r="64" spans="2:39" ht="23.45" customHeight="1" x14ac:dyDescent="0.45">
      <c r="B64" s="47" t="str">
        <f>MC_MACHOTE!$C$3</f>
        <v>MACHOTE</v>
      </c>
      <c r="C64" s="46" t="s">
        <v>872</v>
      </c>
      <c r="D64" s="47">
        <v>4</v>
      </c>
      <c r="E64" s="47" t="str">
        <f>IF(MC_MACHOTE!$X$76&gt;0,MC_MACHOTE!$CA$76,"")</f>
        <v/>
      </c>
      <c r="F64" s="47" t="str">
        <f>IF(MC_MACHOTE!$X$76&gt;0,MC_MACHOTE!$CB$76,"")</f>
        <v/>
      </c>
      <c r="G64" s="69" t="str">
        <f>IF(MC_MACHOTE!$X$76&gt;0,MC_MACHOTE!$W$76,"")</f>
        <v/>
      </c>
      <c r="H64" s="51"/>
      <c r="I64" s="43" t="str">
        <f>IF(MC_MACHOTE!$X$76&gt;0,MC_MACHOTE!$X$76,"")</f>
        <v/>
      </c>
      <c r="J64" s="43" t="str">
        <f>IF(MC_MACHOTE!$X$76&gt;0,MC_MACHOTE!$BH$76,"")</f>
        <v/>
      </c>
      <c r="K64" s="69" t="str">
        <f>IF(MC_MACHOTE!$X$76&gt;0,MC_MACHOTE!$BL$76,"")</f>
        <v/>
      </c>
      <c r="L64" s="51"/>
      <c r="M64" s="46" t="str">
        <f>IF(MC_MACHOTE!$X$76&gt;0,IF(N(MC_MACHOTE!$BP$76)&gt;0,MC_MACHOTE!$BP$76,""),"")</f>
        <v/>
      </c>
      <c r="N64" s="46" t="str">
        <f>IF(MC_MACHOTE!$X$76&gt;0,MC_MACHOTE!$AT$76,"")</f>
        <v/>
      </c>
      <c r="O64" s="46" t="str">
        <f>IF(MC_MACHOTE!$X$76&gt;0,MC_MACHOTE!$BO$76,"")</f>
        <v/>
      </c>
      <c r="P64" s="46" t="str">
        <f>IF(MC_MACHOTE!$X$76&gt;0,MC_MACHOTE!$BI$76,"")</f>
        <v/>
      </c>
      <c r="Q64" s="46" t="str">
        <f>IF(MC_MACHOTE!$X$76&gt;0,MC_MACHOTE!$BM$76,"")</f>
        <v/>
      </c>
      <c r="R64" s="46" t="str">
        <f>IF(MC_MACHOTE!$X$76&gt;0,MC_MACHOTE!$BQ$76,"")</f>
        <v/>
      </c>
      <c r="S64" s="46" t="str">
        <f>IF(MC_MACHOTE!$X$76&gt;0,MC_MACHOTE!$BR$76,"")</f>
        <v/>
      </c>
      <c r="T64" s="46" t="str">
        <f>IF(MC_MACHOTE!$X$76&gt;0,MC_MACHOTE!$BS$76,"")</f>
        <v/>
      </c>
      <c r="U64" s="46" t="str">
        <f>IF(MC_MACHOTE!$X$76&gt;0,IF(MC_MACHOTE!$L$76="","CU",IF(MC_MACHOTE!$L$76="AL-MC","AL",MC_MACHOTE!$L$76)),"")</f>
        <v/>
      </c>
      <c r="V64" s="46" t="str">
        <f>IF(MC_MACHOTE!$X$76&gt;0,IF(MC_MACHOTE!$M$76="","THHN",MC_MACHOTE!$M$76),"")</f>
        <v/>
      </c>
      <c r="W64" s="46" t="str">
        <f>IF(MC_MACHOTE!$X$76&gt;0,MC_MACHOTE!$BT$76,"")</f>
        <v/>
      </c>
      <c r="X64" s="47" t="str">
        <f>MC_MACHOTE!$C$3</f>
        <v>MACHOTE</v>
      </c>
      <c r="Y64" s="46" t="s">
        <v>872</v>
      </c>
      <c r="Z64" s="47">
        <v>4</v>
      </c>
      <c r="AA64" s="47" t="str">
        <f t="shared" si="2"/>
        <v/>
      </c>
      <c r="AB64" s="47" t="str">
        <f t="shared" si="3"/>
        <v/>
      </c>
      <c r="AC64" s="68" t="str">
        <f>IF(MC_MACHOTE!$X$76&gt;0,IF(MC_MACHOTE!$AJ$76&gt;0,MC_MACHOTE!$AJ$76,""),"")</f>
        <v/>
      </c>
      <c r="AD64" s="61"/>
      <c r="AE64" s="51"/>
      <c r="AF64" s="68" t="str">
        <f>IF(MC_MACHOTE!$X$76&gt;0,IF(MC_MACHOTE!$AK$76&gt;0,MC_MACHOTE!$AK$76,""),"")</f>
        <v/>
      </c>
      <c r="AG64" s="61"/>
      <c r="AH64" s="51"/>
      <c r="AI64" s="68" t="str">
        <f>IF(MC_MACHOTE!$X$76&gt;0,IF(MC_MACHOTE!$AL$76&gt;0,MC_MACHOTE!$AL$76,""),"")</f>
        <v/>
      </c>
      <c r="AJ64" s="51"/>
      <c r="AL64" t="b">
        <f>COUNTIF(MC_MACHOTE!$CA$25:$CB$124,4)&gt;0</f>
        <v>0</v>
      </c>
      <c r="AM64">
        <v>4</v>
      </c>
    </row>
    <row r="65" spans="2:39" ht="23.45" customHeight="1" x14ac:dyDescent="0.45">
      <c r="B65" s="47" t="str">
        <f>MC_MACHOTE!$C$3</f>
        <v>MACHOTE</v>
      </c>
      <c r="C65" s="46" t="s">
        <v>872</v>
      </c>
      <c r="D65" s="47">
        <v>6</v>
      </c>
      <c r="E65" s="47" t="str">
        <f>IF(MC_MACHOTE!$X$77&gt;0,MC_MACHOTE!$CA$77,"")</f>
        <v/>
      </c>
      <c r="F65" s="47" t="str">
        <f>IF(MC_MACHOTE!$X$77&gt;0,MC_MACHOTE!$CB$77,"")</f>
        <v/>
      </c>
      <c r="G65" s="69" t="str">
        <f>IF(MC_MACHOTE!$X$77&gt;0,MC_MACHOTE!$W$77,"")</f>
        <v/>
      </c>
      <c r="H65" s="51"/>
      <c r="I65" s="43" t="str">
        <f>IF(MC_MACHOTE!$X$77&gt;0,MC_MACHOTE!$X$77,"")</f>
        <v/>
      </c>
      <c r="J65" s="43" t="str">
        <f>IF(MC_MACHOTE!$X$77&gt;0,MC_MACHOTE!$BH$77,"")</f>
        <v/>
      </c>
      <c r="K65" s="69" t="str">
        <f>IF(MC_MACHOTE!$X$77&gt;0,MC_MACHOTE!$BL$77,"")</f>
        <v/>
      </c>
      <c r="L65" s="51"/>
      <c r="M65" s="46" t="str">
        <f>IF(MC_MACHOTE!$X$77&gt;0,IF(N(MC_MACHOTE!$BP$77)&gt;0,MC_MACHOTE!$BP$77,""),"")</f>
        <v/>
      </c>
      <c r="N65" s="46" t="str">
        <f>IF(MC_MACHOTE!$X$77&gt;0,MC_MACHOTE!$AT$77,"")</f>
        <v/>
      </c>
      <c r="O65" s="46" t="str">
        <f>IF(MC_MACHOTE!$X$77&gt;0,MC_MACHOTE!$BO$77,"")</f>
        <v/>
      </c>
      <c r="P65" s="46" t="str">
        <f>IF(MC_MACHOTE!$X$77&gt;0,MC_MACHOTE!$BI$77,"")</f>
        <v/>
      </c>
      <c r="Q65" s="46" t="str">
        <f>IF(MC_MACHOTE!$X$77&gt;0,MC_MACHOTE!$BM$77,"")</f>
        <v/>
      </c>
      <c r="R65" s="46" t="str">
        <f>IF(MC_MACHOTE!$X$77&gt;0,MC_MACHOTE!$BQ$77,"")</f>
        <v/>
      </c>
      <c r="S65" s="46" t="str">
        <f>IF(MC_MACHOTE!$X$77&gt;0,MC_MACHOTE!$BR$77,"")</f>
        <v/>
      </c>
      <c r="T65" s="46" t="str">
        <f>IF(MC_MACHOTE!$X$77&gt;0,MC_MACHOTE!$BS$77,"")</f>
        <v/>
      </c>
      <c r="U65" s="46" t="str">
        <f>IF(MC_MACHOTE!$X$77&gt;0,IF(MC_MACHOTE!$L$77="","CU",IF(MC_MACHOTE!$L$77="AL-MC","AL",MC_MACHOTE!$L$77)),"")</f>
        <v/>
      </c>
      <c r="V65" s="46" t="str">
        <f>IF(MC_MACHOTE!$X$77&gt;0,IF(MC_MACHOTE!$M$77="","THHN",MC_MACHOTE!$M$77),"")</f>
        <v/>
      </c>
      <c r="W65" s="46" t="str">
        <f>IF(MC_MACHOTE!$X$77&gt;0,MC_MACHOTE!$BT$77,"")</f>
        <v/>
      </c>
      <c r="X65" s="47" t="str">
        <f>MC_MACHOTE!$C$3</f>
        <v>MACHOTE</v>
      </c>
      <c r="Y65" s="46" t="s">
        <v>872</v>
      </c>
      <c r="Z65" s="47">
        <v>6</v>
      </c>
      <c r="AA65" s="47" t="str">
        <f t="shared" si="2"/>
        <v/>
      </c>
      <c r="AB65" s="47" t="str">
        <f t="shared" si="3"/>
        <v/>
      </c>
      <c r="AC65" s="68" t="str">
        <f>IF(MC_MACHOTE!$X$77&gt;0,IF(MC_MACHOTE!$AJ$77&gt;0,MC_MACHOTE!$AJ$77,""),"")</f>
        <v/>
      </c>
      <c r="AD65" s="61"/>
      <c r="AE65" s="51"/>
      <c r="AF65" s="68" t="str">
        <f>IF(MC_MACHOTE!$X$77&gt;0,IF(MC_MACHOTE!$AK$77&gt;0,MC_MACHOTE!$AK$77,""),"")</f>
        <v/>
      </c>
      <c r="AG65" s="61"/>
      <c r="AH65" s="51"/>
      <c r="AI65" s="68" t="str">
        <f>IF(MC_MACHOTE!$X$77&gt;0,IF(MC_MACHOTE!$AL$77&gt;0,MC_MACHOTE!$AL$77,""),"")</f>
        <v/>
      </c>
      <c r="AJ65" s="51"/>
      <c r="AL65" t="b">
        <f>COUNTIF(MC_MACHOTE!$CA$25:$CB$124,6)&gt;0</f>
        <v>0</v>
      </c>
      <c r="AM65">
        <v>6</v>
      </c>
    </row>
    <row r="66" spans="2:39" ht="23.45" customHeight="1" x14ac:dyDescent="0.45">
      <c r="B66" s="47" t="str">
        <f>MC_MACHOTE!$C$3</f>
        <v>MACHOTE</v>
      </c>
      <c r="C66" s="46" t="s">
        <v>872</v>
      </c>
      <c r="D66" s="47">
        <v>8</v>
      </c>
      <c r="E66" s="47" t="str">
        <f>IF(MC_MACHOTE!$X$78&gt;0,MC_MACHOTE!$CA$78,"")</f>
        <v/>
      </c>
      <c r="F66" s="47" t="str">
        <f>IF(MC_MACHOTE!$X$78&gt;0,MC_MACHOTE!$CB$78,"")</f>
        <v/>
      </c>
      <c r="G66" s="69" t="str">
        <f>IF(MC_MACHOTE!$X$78&gt;0,MC_MACHOTE!$W$78,"")</f>
        <v/>
      </c>
      <c r="H66" s="51"/>
      <c r="I66" s="43" t="str">
        <f>IF(MC_MACHOTE!$X$78&gt;0,MC_MACHOTE!$X$78,"")</f>
        <v/>
      </c>
      <c r="J66" s="43" t="str">
        <f>IF(MC_MACHOTE!$X$78&gt;0,MC_MACHOTE!$BH$78,"")</f>
        <v/>
      </c>
      <c r="K66" s="69" t="str">
        <f>IF(MC_MACHOTE!$X$78&gt;0,MC_MACHOTE!$BL$78,"")</f>
        <v/>
      </c>
      <c r="L66" s="51"/>
      <c r="M66" s="46" t="str">
        <f>IF(MC_MACHOTE!$X$78&gt;0,IF(N(MC_MACHOTE!$BP$78)&gt;0,MC_MACHOTE!$BP$78,""),"")</f>
        <v/>
      </c>
      <c r="N66" s="46" t="str">
        <f>IF(MC_MACHOTE!$X$78&gt;0,MC_MACHOTE!$AT$78,"")</f>
        <v/>
      </c>
      <c r="O66" s="46" t="str">
        <f>IF(MC_MACHOTE!$X$78&gt;0,MC_MACHOTE!$BO$78,"")</f>
        <v/>
      </c>
      <c r="P66" s="46" t="str">
        <f>IF(MC_MACHOTE!$X$78&gt;0,MC_MACHOTE!$BI$78,"")</f>
        <v/>
      </c>
      <c r="Q66" s="46" t="str">
        <f>IF(MC_MACHOTE!$X$78&gt;0,MC_MACHOTE!$BM$78,"")</f>
        <v/>
      </c>
      <c r="R66" s="46" t="str">
        <f>IF(MC_MACHOTE!$X$78&gt;0,MC_MACHOTE!$BQ$78,"")</f>
        <v/>
      </c>
      <c r="S66" s="46" t="str">
        <f>IF(MC_MACHOTE!$X$78&gt;0,MC_MACHOTE!$BR$78,"")</f>
        <v/>
      </c>
      <c r="T66" s="46" t="str">
        <f>IF(MC_MACHOTE!$X$78&gt;0,MC_MACHOTE!$BS$78,"")</f>
        <v/>
      </c>
      <c r="U66" s="46" t="str">
        <f>IF(MC_MACHOTE!$X$78&gt;0,IF(MC_MACHOTE!$L$78="","CU",IF(MC_MACHOTE!$L$78="AL-MC","AL",MC_MACHOTE!$L$78)),"")</f>
        <v/>
      </c>
      <c r="V66" s="46" t="str">
        <f>IF(MC_MACHOTE!$X$78&gt;0,IF(MC_MACHOTE!$M$78="","THHN",MC_MACHOTE!$M$78),"")</f>
        <v/>
      </c>
      <c r="W66" s="46" t="str">
        <f>IF(MC_MACHOTE!$X$78&gt;0,MC_MACHOTE!$BT$78,"")</f>
        <v/>
      </c>
      <c r="X66" s="47" t="str">
        <f>MC_MACHOTE!$C$3</f>
        <v>MACHOTE</v>
      </c>
      <c r="Y66" s="46" t="s">
        <v>872</v>
      </c>
      <c r="Z66" s="47">
        <v>8</v>
      </c>
      <c r="AA66" s="47" t="str">
        <f t="shared" si="2"/>
        <v/>
      </c>
      <c r="AB66" s="47" t="str">
        <f t="shared" si="3"/>
        <v/>
      </c>
      <c r="AC66" s="68" t="str">
        <f>IF(MC_MACHOTE!$X$78&gt;0,IF(MC_MACHOTE!$AJ$78&gt;0,MC_MACHOTE!$AJ$78,""),"")</f>
        <v/>
      </c>
      <c r="AD66" s="61"/>
      <c r="AE66" s="51"/>
      <c r="AF66" s="68" t="str">
        <f>IF(MC_MACHOTE!$X$78&gt;0,IF(MC_MACHOTE!$AK$78&gt;0,MC_MACHOTE!$AK$78,""),"")</f>
        <v/>
      </c>
      <c r="AG66" s="61"/>
      <c r="AH66" s="51"/>
      <c r="AI66" s="68" t="str">
        <f>IF(MC_MACHOTE!$X$78&gt;0,IF(MC_MACHOTE!$AL$78&gt;0,MC_MACHOTE!$AL$78,""),"")</f>
        <v/>
      </c>
      <c r="AJ66" s="51"/>
      <c r="AL66" t="b">
        <f>COUNTIF(MC_MACHOTE!$CA$25:$CB$124,8)&gt;0</f>
        <v>0</v>
      </c>
      <c r="AM66">
        <v>8</v>
      </c>
    </row>
    <row r="67" spans="2:39" ht="23.45" customHeight="1" x14ac:dyDescent="0.45">
      <c r="B67" s="47" t="str">
        <f>MC_MACHOTE!$C$3</f>
        <v>MACHOTE</v>
      </c>
      <c r="C67" s="46" t="s">
        <v>872</v>
      </c>
      <c r="D67" s="47">
        <v>10</v>
      </c>
      <c r="E67" s="47" t="str">
        <f>IF(MC_MACHOTE!$X$79&gt;0,MC_MACHOTE!$CA$79,"")</f>
        <v/>
      </c>
      <c r="F67" s="47" t="str">
        <f>IF(MC_MACHOTE!$X$79&gt;0,MC_MACHOTE!$CB$79,"")</f>
        <v/>
      </c>
      <c r="G67" s="69" t="str">
        <f>IF(MC_MACHOTE!$X$79&gt;0,MC_MACHOTE!$W$79,"")</f>
        <v/>
      </c>
      <c r="H67" s="51"/>
      <c r="I67" s="43" t="str">
        <f>IF(MC_MACHOTE!$X$79&gt;0,MC_MACHOTE!$X$79,"")</f>
        <v/>
      </c>
      <c r="J67" s="43" t="str">
        <f>IF(MC_MACHOTE!$X$79&gt;0,MC_MACHOTE!$BH$79,"")</f>
        <v/>
      </c>
      <c r="K67" s="69" t="str">
        <f>IF(MC_MACHOTE!$X$79&gt;0,MC_MACHOTE!$BL$79,"")</f>
        <v/>
      </c>
      <c r="L67" s="51"/>
      <c r="M67" s="46" t="str">
        <f>IF(MC_MACHOTE!$X$79&gt;0,IF(N(MC_MACHOTE!$BP$79)&gt;0,MC_MACHOTE!$BP$79,""),"")</f>
        <v/>
      </c>
      <c r="N67" s="46" t="str">
        <f>IF(MC_MACHOTE!$X$79&gt;0,MC_MACHOTE!$AT$79,"")</f>
        <v/>
      </c>
      <c r="O67" s="46" t="str">
        <f>IF(MC_MACHOTE!$X$79&gt;0,MC_MACHOTE!$BO$79,"")</f>
        <v/>
      </c>
      <c r="P67" s="46" t="str">
        <f>IF(MC_MACHOTE!$X$79&gt;0,MC_MACHOTE!$BI$79,"")</f>
        <v/>
      </c>
      <c r="Q67" s="46" t="str">
        <f>IF(MC_MACHOTE!$X$79&gt;0,MC_MACHOTE!$BM$79,"")</f>
        <v/>
      </c>
      <c r="R67" s="46" t="str">
        <f>IF(MC_MACHOTE!$X$79&gt;0,MC_MACHOTE!$BQ$79,"")</f>
        <v/>
      </c>
      <c r="S67" s="46" t="str">
        <f>IF(MC_MACHOTE!$X$79&gt;0,MC_MACHOTE!$BR$79,"")</f>
        <v/>
      </c>
      <c r="T67" s="46" t="str">
        <f>IF(MC_MACHOTE!$X$79&gt;0,MC_MACHOTE!$BS$79,"")</f>
        <v/>
      </c>
      <c r="U67" s="46" t="str">
        <f>IF(MC_MACHOTE!$X$79&gt;0,IF(MC_MACHOTE!$L$79="","CU",IF(MC_MACHOTE!$L$79="AL-MC","AL",MC_MACHOTE!$L$79)),"")</f>
        <v/>
      </c>
      <c r="V67" s="46" t="str">
        <f>IF(MC_MACHOTE!$X$79&gt;0,IF(MC_MACHOTE!$M$79="","THHN",MC_MACHOTE!$M$79),"")</f>
        <v/>
      </c>
      <c r="W67" s="46" t="str">
        <f>IF(MC_MACHOTE!$X$79&gt;0,MC_MACHOTE!$BT$79,"")</f>
        <v/>
      </c>
      <c r="X67" s="47" t="str">
        <f>MC_MACHOTE!$C$3</f>
        <v>MACHOTE</v>
      </c>
      <c r="Y67" s="46" t="s">
        <v>872</v>
      </c>
      <c r="Z67" s="47">
        <v>10</v>
      </c>
      <c r="AA67" s="47" t="str">
        <f t="shared" si="2"/>
        <v/>
      </c>
      <c r="AB67" s="47" t="str">
        <f t="shared" si="3"/>
        <v/>
      </c>
      <c r="AC67" s="68" t="str">
        <f>IF(MC_MACHOTE!$X$79&gt;0,IF(MC_MACHOTE!$AJ$79&gt;0,MC_MACHOTE!$AJ$79,""),"")</f>
        <v/>
      </c>
      <c r="AD67" s="61"/>
      <c r="AE67" s="51"/>
      <c r="AF67" s="68" t="str">
        <f>IF(MC_MACHOTE!$X$79&gt;0,IF(MC_MACHOTE!$AK$79&gt;0,MC_MACHOTE!$AK$79,""),"")</f>
        <v/>
      </c>
      <c r="AG67" s="61"/>
      <c r="AH67" s="51"/>
      <c r="AI67" s="68" t="str">
        <f>IF(MC_MACHOTE!$X$79&gt;0,IF(MC_MACHOTE!$AL$79&gt;0,MC_MACHOTE!$AL$79,""),"")</f>
        <v/>
      </c>
      <c r="AJ67" s="51"/>
      <c r="AL67" t="b">
        <f>COUNTIF(MC_MACHOTE!$CA$25:$CB$124,10)&gt;0</f>
        <v>0</v>
      </c>
      <c r="AM67">
        <v>10</v>
      </c>
    </row>
    <row r="68" spans="2:39" ht="23.45" customHeight="1" x14ac:dyDescent="0.45">
      <c r="B68" s="47" t="str">
        <f>MC_MACHOTE!$C$3</f>
        <v>MACHOTE</v>
      </c>
      <c r="C68" s="46" t="s">
        <v>872</v>
      </c>
      <c r="D68" s="47">
        <v>12</v>
      </c>
      <c r="E68" s="47" t="str">
        <f>IF(MC_MACHOTE!$X$80&gt;0,MC_MACHOTE!$CA$80,"")</f>
        <v/>
      </c>
      <c r="F68" s="47" t="str">
        <f>IF(MC_MACHOTE!$X$80&gt;0,MC_MACHOTE!$CB$80,"")</f>
        <v/>
      </c>
      <c r="G68" s="69" t="str">
        <f>IF(MC_MACHOTE!$X$80&gt;0,MC_MACHOTE!$W$80,"")</f>
        <v/>
      </c>
      <c r="H68" s="51"/>
      <c r="I68" s="43" t="str">
        <f>IF(MC_MACHOTE!$X$80&gt;0,MC_MACHOTE!$X$80,"")</f>
        <v/>
      </c>
      <c r="J68" s="43" t="str">
        <f>IF(MC_MACHOTE!$X$80&gt;0,MC_MACHOTE!$BH$80,"")</f>
        <v/>
      </c>
      <c r="K68" s="69" t="str">
        <f>IF(MC_MACHOTE!$X$80&gt;0,MC_MACHOTE!$BL$80,"")</f>
        <v/>
      </c>
      <c r="L68" s="51"/>
      <c r="M68" s="46" t="str">
        <f>IF(MC_MACHOTE!$X$80&gt;0,IF(N(MC_MACHOTE!$BP$80)&gt;0,MC_MACHOTE!$BP$80,""),"")</f>
        <v/>
      </c>
      <c r="N68" s="46" t="str">
        <f>IF(MC_MACHOTE!$X$80&gt;0,MC_MACHOTE!$AT$80,"")</f>
        <v/>
      </c>
      <c r="O68" s="46" t="str">
        <f>IF(MC_MACHOTE!$X$80&gt;0,MC_MACHOTE!$BO$80,"")</f>
        <v/>
      </c>
      <c r="P68" s="46" t="str">
        <f>IF(MC_MACHOTE!$X$80&gt;0,MC_MACHOTE!$BI$80,"")</f>
        <v/>
      </c>
      <c r="Q68" s="46" t="str">
        <f>IF(MC_MACHOTE!$X$80&gt;0,MC_MACHOTE!$BM$80,"")</f>
        <v/>
      </c>
      <c r="R68" s="46" t="str">
        <f>IF(MC_MACHOTE!$X$80&gt;0,MC_MACHOTE!$BQ$80,"")</f>
        <v/>
      </c>
      <c r="S68" s="46" t="str">
        <f>IF(MC_MACHOTE!$X$80&gt;0,MC_MACHOTE!$BR$80,"")</f>
        <v/>
      </c>
      <c r="T68" s="46" t="str">
        <f>IF(MC_MACHOTE!$X$80&gt;0,MC_MACHOTE!$BS$80,"")</f>
        <v/>
      </c>
      <c r="U68" s="46" t="str">
        <f>IF(MC_MACHOTE!$X$80&gt;0,IF(MC_MACHOTE!$L$80="","CU",IF(MC_MACHOTE!$L$80="AL-MC","AL",MC_MACHOTE!$L$80)),"")</f>
        <v/>
      </c>
      <c r="V68" s="46" t="str">
        <f>IF(MC_MACHOTE!$X$80&gt;0,IF(MC_MACHOTE!$M$80="","THHN",MC_MACHOTE!$M$80),"")</f>
        <v/>
      </c>
      <c r="W68" s="46" t="str">
        <f>IF(MC_MACHOTE!$X$80&gt;0,MC_MACHOTE!$BT$80,"")</f>
        <v/>
      </c>
      <c r="X68" s="47" t="str">
        <f>MC_MACHOTE!$C$3</f>
        <v>MACHOTE</v>
      </c>
      <c r="Y68" s="46" t="s">
        <v>872</v>
      </c>
      <c r="Z68" s="47">
        <v>12</v>
      </c>
      <c r="AA68" s="47" t="str">
        <f t="shared" si="2"/>
        <v/>
      </c>
      <c r="AB68" s="47" t="str">
        <f t="shared" si="3"/>
        <v/>
      </c>
      <c r="AC68" s="68" t="str">
        <f>IF(MC_MACHOTE!$X$80&gt;0,IF(MC_MACHOTE!$AJ$80&gt;0,MC_MACHOTE!$AJ$80,""),"")</f>
        <v/>
      </c>
      <c r="AD68" s="61"/>
      <c r="AE68" s="51"/>
      <c r="AF68" s="68" t="str">
        <f>IF(MC_MACHOTE!$X$80&gt;0,IF(MC_MACHOTE!$AK$80&gt;0,MC_MACHOTE!$AK$80,""),"")</f>
        <v/>
      </c>
      <c r="AG68" s="61"/>
      <c r="AH68" s="51"/>
      <c r="AI68" s="68" t="str">
        <f>IF(MC_MACHOTE!$X$80&gt;0,IF(MC_MACHOTE!$AL$80&gt;0,MC_MACHOTE!$AL$80,""),"")</f>
        <v/>
      </c>
      <c r="AJ68" s="51"/>
      <c r="AL68" t="b">
        <f>COUNTIF(MC_MACHOTE!$CA$25:$CB$124,12)&gt;0</f>
        <v>0</v>
      </c>
      <c r="AM68">
        <v>12</v>
      </c>
    </row>
    <row r="69" spans="2:39" ht="23.45" customHeight="1" x14ac:dyDescent="0.45">
      <c r="B69" s="47" t="str">
        <f>MC_MACHOTE!$C$3</f>
        <v>MACHOTE</v>
      </c>
      <c r="C69" s="46" t="s">
        <v>872</v>
      </c>
      <c r="D69" s="47">
        <v>14</v>
      </c>
      <c r="E69" s="47" t="str">
        <f>IF(MC_MACHOTE!$X$81&gt;0,MC_MACHOTE!$CA$81,"")</f>
        <v/>
      </c>
      <c r="F69" s="47" t="str">
        <f>IF(MC_MACHOTE!$X$81&gt;0,MC_MACHOTE!$CB$81,"")</f>
        <v/>
      </c>
      <c r="G69" s="69" t="str">
        <f>IF(MC_MACHOTE!$X$81&gt;0,MC_MACHOTE!$W$81,"")</f>
        <v/>
      </c>
      <c r="H69" s="51"/>
      <c r="I69" s="43" t="str">
        <f>IF(MC_MACHOTE!$X$81&gt;0,MC_MACHOTE!$X$81,"")</f>
        <v/>
      </c>
      <c r="J69" s="43" t="str">
        <f>IF(MC_MACHOTE!$X$81&gt;0,MC_MACHOTE!$BH$81,"")</f>
        <v/>
      </c>
      <c r="K69" s="69" t="str">
        <f>IF(MC_MACHOTE!$X$81&gt;0,MC_MACHOTE!$BL$81,"")</f>
        <v/>
      </c>
      <c r="L69" s="51"/>
      <c r="M69" s="46" t="str">
        <f>IF(MC_MACHOTE!$X$81&gt;0,IF(N(MC_MACHOTE!$BP$81)&gt;0,MC_MACHOTE!$BP$81,""),"")</f>
        <v/>
      </c>
      <c r="N69" s="46" t="str">
        <f>IF(MC_MACHOTE!$X$81&gt;0,MC_MACHOTE!$AT$81,"")</f>
        <v/>
      </c>
      <c r="O69" s="46" t="str">
        <f>IF(MC_MACHOTE!$X$81&gt;0,MC_MACHOTE!$BO$81,"")</f>
        <v/>
      </c>
      <c r="P69" s="46" t="str">
        <f>IF(MC_MACHOTE!$X$81&gt;0,MC_MACHOTE!$BI$81,"")</f>
        <v/>
      </c>
      <c r="Q69" s="46" t="str">
        <f>IF(MC_MACHOTE!$X$81&gt;0,MC_MACHOTE!$BM$81,"")</f>
        <v/>
      </c>
      <c r="R69" s="46" t="str">
        <f>IF(MC_MACHOTE!$X$81&gt;0,MC_MACHOTE!$BQ$81,"")</f>
        <v/>
      </c>
      <c r="S69" s="46" t="str">
        <f>IF(MC_MACHOTE!$X$81&gt;0,MC_MACHOTE!$BR$81,"")</f>
        <v/>
      </c>
      <c r="T69" s="46" t="str">
        <f>IF(MC_MACHOTE!$X$81&gt;0,MC_MACHOTE!$BS$81,"")</f>
        <v/>
      </c>
      <c r="U69" s="46" t="str">
        <f>IF(MC_MACHOTE!$X$81&gt;0,IF(MC_MACHOTE!$L$81="","CU",IF(MC_MACHOTE!$L$81="AL-MC","AL",MC_MACHOTE!$L$81)),"")</f>
        <v/>
      </c>
      <c r="V69" s="46" t="str">
        <f>IF(MC_MACHOTE!$X$81&gt;0,IF(MC_MACHOTE!$M$81="","THHN",MC_MACHOTE!$M$81),"")</f>
        <v/>
      </c>
      <c r="W69" s="46" t="str">
        <f>IF(MC_MACHOTE!$X$81&gt;0,MC_MACHOTE!$BT$81,"")</f>
        <v/>
      </c>
      <c r="X69" s="47" t="str">
        <f>MC_MACHOTE!$C$3</f>
        <v>MACHOTE</v>
      </c>
      <c r="Y69" s="46" t="s">
        <v>872</v>
      </c>
      <c r="Z69" s="47">
        <v>14</v>
      </c>
      <c r="AA69" s="47" t="str">
        <f t="shared" si="2"/>
        <v/>
      </c>
      <c r="AB69" s="47" t="str">
        <f t="shared" si="3"/>
        <v/>
      </c>
      <c r="AC69" s="68" t="str">
        <f>IF(MC_MACHOTE!$X$81&gt;0,IF(MC_MACHOTE!$AJ$81&gt;0,MC_MACHOTE!$AJ$81,""),"")</f>
        <v/>
      </c>
      <c r="AD69" s="61"/>
      <c r="AE69" s="51"/>
      <c r="AF69" s="68" t="str">
        <f>IF(MC_MACHOTE!$X$81&gt;0,IF(MC_MACHOTE!$AK$81&gt;0,MC_MACHOTE!$AK$81,""),"")</f>
        <v/>
      </c>
      <c r="AG69" s="61"/>
      <c r="AH69" s="51"/>
      <c r="AI69" s="68" t="str">
        <f>IF(MC_MACHOTE!$X$81&gt;0,IF(MC_MACHOTE!$AL$81&gt;0,MC_MACHOTE!$AL$81,""),"")</f>
        <v/>
      </c>
      <c r="AJ69" s="51"/>
      <c r="AL69" t="b">
        <f>COUNTIF(MC_MACHOTE!$CA$25:$CB$124,14)&gt;0</f>
        <v>0</v>
      </c>
      <c r="AM69">
        <v>14</v>
      </c>
    </row>
    <row r="70" spans="2:39" ht="23.45" customHeight="1" x14ac:dyDescent="0.45">
      <c r="B70" s="47" t="str">
        <f>MC_MACHOTE!$C$3</f>
        <v>MACHOTE</v>
      </c>
      <c r="C70" s="46" t="s">
        <v>872</v>
      </c>
      <c r="D70" s="47">
        <v>16</v>
      </c>
      <c r="E70" s="47" t="str">
        <f>IF(MC_MACHOTE!$X$82&gt;0,MC_MACHOTE!$CA$82,"")</f>
        <v/>
      </c>
      <c r="F70" s="47" t="str">
        <f>IF(MC_MACHOTE!$X$82&gt;0,MC_MACHOTE!$CB$82,"")</f>
        <v/>
      </c>
      <c r="G70" s="69" t="str">
        <f>IF(MC_MACHOTE!$X$82&gt;0,MC_MACHOTE!$W$82,"")</f>
        <v/>
      </c>
      <c r="H70" s="51"/>
      <c r="I70" s="43" t="str">
        <f>IF(MC_MACHOTE!$X$82&gt;0,MC_MACHOTE!$X$82,"")</f>
        <v/>
      </c>
      <c r="J70" s="43" t="str">
        <f>IF(MC_MACHOTE!$X$82&gt;0,MC_MACHOTE!$BH$82,"")</f>
        <v/>
      </c>
      <c r="K70" s="69" t="str">
        <f>IF(MC_MACHOTE!$X$82&gt;0,MC_MACHOTE!$BL$82,"")</f>
        <v/>
      </c>
      <c r="L70" s="51"/>
      <c r="M70" s="46" t="str">
        <f>IF(MC_MACHOTE!$X$82&gt;0,IF(N(MC_MACHOTE!$BP$82)&gt;0,MC_MACHOTE!$BP$82,""),"")</f>
        <v/>
      </c>
      <c r="N70" s="46" t="str">
        <f>IF(MC_MACHOTE!$X$82&gt;0,MC_MACHOTE!$AT$82,"")</f>
        <v/>
      </c>
      <c r="O70" s="46" t="str">
        <f>IF(MC_MACHOTE!$X$82&gt;0,MC_MACHOTE!$BO$82,"")</f>
        <v/>
      </c>
      <c r="P70" s="46" t="str">
        <f>IF(MC_MACHOTE!$X$82&gt;0,MC_MACHOTE!$BI$82,"")</f>
        <v/>
      </c>
      <c r="Q70" s="46" t="str">
        <f>IF(MC_MACHOTE!$X$82&gt;0,MC_MACHOTE!$BM$82,"")</f>
        <v/>
      </c>
      <c r="R70" s="46" t="str">
        <f>IF(MC_MACHOTE!$X$82&gt;0,MC_MACHOTE!$BQ$82,"")</f>
        <v/>
      </c>
      <c r="S70" s="46" t="str">
        <f>IF(MC_MACHOTE!$X$82&gt;0,MC_MACHOTE!$BR$82,"")</f>
        <v/>
      </c>
      <c r="T70" s="46" t="str">
        <f>IF(MC_MACHOTE!$X$82&gt;0,MC_MACHOTE!$BS$82,"")</f>
        <v/>
      </c>
      <c r="U70" s="46" t="str">
        <f>IF(MC_MACHOTE!$X$82&gt;0,IF(MC_MACHOTE!$L$82="","CU",IF(MC_MACHOTE!$L$82="AL-MC","AL",MC_MACHOTE!$L$82)),"")</f>
        <v/>
      </c>
      <c r="V70" s="46" t="str">
        <f>IF(MC_MACHOTE!$X$82&gt;0,IF(MC_MACHOTE!$M$82="","THHN",MC_MACHOTE!$M$82),"")</f>
        <v/>
      </c>
      <c r="W70" s="46" t="str">
        <f>IF(MC_MACHOTE!$X$82&gt;0,MC_MACHOTE!$BT$82,"")</f>
        <v/>
      </c>
      <c r="X70" s="47" t="str">
        <f>MC_MACHOTE!$C$3</f>
        <v>MACHOTE</v>
      </c>
      <c r="Y70" s="46" t="s">
        <v>872</v>
      </c>
      <c r="Z70" s="47">
        <v>16</v>
      </c>
      <c r="AA70" s="47" t="str">
        <f t="shared" si="2"/>
        <v/>
      </c>
      <c r="AB70" s="47" t="str">
        <f t="shared" si="3"/>
        <v/>
      </c>
      <c r="AC70" s="68" t="str">
        <f>IF(MC_MACHOTE!$X$82&gt;0,IF(MC_MACHOTE!$AJ$82&gt;0,MC_MACHOTE!$AJ$82,""),"")</f>
        <v/>
      </c>
      <c r="AD70" s="61"/>
      <c r="AE70" s="51"/>
      <c r="AF70" s="68" t="str">
        <f>IF(MC_MACHOTE!$X$82&gt;0,IF(MC_MACHOTE!$AK$82&gt;0,MC_MACHOTE!$AK$82,""),"")</f>
        <v/>
      </c>
      <c r="AG70" s="61"/>
      <c r="AH70" s="51"/>
      <c r="AI70" s="68" t="str">
        <f>IF(MC_MACHOTE!$X$82&gt;0,IF(MC_MACHOTE!$AL$82&gt;0,MC_MACHOTE!$AL$82,""),"")</f>
        <v/>
      </c>
      <c r="AJ70" s="51"/>
      <c r="AL70" t="b">
        <f>COUNTIF(MC_MACHOTE!$CA$25:$CB$124,16)&gt;0</f>
        <v>0</v>
      </c>
      <c r="AM70">
        <v>16</v>
      </c>
    </row>
    <row r="71" spans="2:39" ht="23.45" customHeight="1" x14ac:dyDescent="0.45">
      <c r="B71" s="47" t="str">
        <f>MC_MACHOTE!$C$3</f>
        <v>MACHOTE</v>
      </c>
      <c r="C71" s="46" t="s">
        <v>872</v>
      </c>
      <c r="D71" s="47">
        <v>18</v>
      </c>
      <c r="E71" s="47" t="str">
        <f>IF(MC_MACHOTE!$X$83&gt;0,MC_MACHOTE!$CA$83,"")</f>
        <v/>
      </c>
      <c r="F71" s="47" t="str">
        <f>IF(MC_MACHOTE!$X$83&gt;0,MC_MACHOTE!$CB$83,"")</f>
        <v/>
      </c>
      <c r="G71" s="69" t="str">
        <f>IF(MC_MACHOTE!$X$83&gt;0,MC_MACHOTE!$W$83,"")</f>
        <v/>
      </c>
      <c r="H71" s="51"/>
      <c r="I71" s="43" t="str">
        <f>IF(MC_MACHOTE!$X$83&gt;0,MC_MACHOTE!$X$83,"")</f>
        <v/>
      </c>
      <c r="J71" s="43" t="str">
        <f>IF(MC_MACHOTE!$X$83&gt;0,MC_MACHOTE!$BH$83,"")</f>
        <v/>
      </c>
      <c r="K71" s="69" t="str">
        <f>IF(MC_MACHOTE!$X$83&gt;0,MC_MACHOTE!$BL$83,"")</f>
        <v/>
      </c>
      <c r="L71" s="51"/>
      <c r="M71" s="46" t="str">
        <f>IF(MC_MACHOTE!$X$83&gt;0,IF(N(MC_MACHOTE!$BP$83)&gt;0,MC_MACHOTE!$BP$83,""),"")</f>
        <v/>
      </c>
      <c r="N71" s="46" t="str">
        <f>IF(MC_MACHOTE!$X$83&gt;0,MC_MACHOTE!$AT$83,"")</f>
        <v/>
      </c>
      <c r="O71" s="46" t="str">
        <f>IF(MC_MACHOTE!$X$83&gt;0,MC_MACHOTE!$BO$83,"")</f>
        <v/>
      </c>
      <c r="P71" s="46" t="str">
        <f>IF(MC_MACHOTE!$X$83&gt;0,MC_MACHOTE!$BI$83,"")</f>
        <v/>
      </c>
      <c r="Q71" s="46" t="str">
        <f>IF(MC_MACHOTE!$X$83&gt;0,MC_MACHOTE!$BM$83,"")</f>
        <v/>
      </c>
      <c r="R71" s="46" t="str">
        <f>IF(MC_MACHOTE!$X$83&gt;0,MC_MACHOTE!$BQ$83,"")</f>
        <v/>
      </c>
      <c r="S71" s="46" t="str">
        <f>IF(MC_MACHOTE!$X$83&gt;0,MC_MACHOTE!$BR$83,"")</f>
        <v/>
      </c>
      <c r="T71" s="46" t="str">
        <f>IF(MC_MACHOTE!$X$83&gt;0,MC_MACHOTE!$BS$83,"")</f>
        <v/>
      </c>
      <c r="U71" s="46" t="str">
        <f>IF(MC_MACHOTE!$X$83&gt;0,IF(MC_MACHOTE!$L$83="","CU",IF(MC_MACHOTE!$L$83="AL-MC","AL",MC_MACHOTE!$L$83)),"")</f>
        <v/>
      </c>
      <c r="V71" s="46" t="str">
        <f>IF(MC_MACHOTE!$X$83&gt;0,IF(MC_MACHOTE!$M$83="","THHN",MC_MACHOTE!$M$83),"")</f>
        <v/>
      </c>
      <c r="W71" s="46" t="str">
        <f>IF(MC_MACHOTE!$X$83&gt;0,MC_MACHOTE!$BT$83,"")</f>
        <v/>
      </c>
      <c r="X71" s="47" t="str">
        <f>MC_MACHOTE!$C$3</f>
        <v>MACHOTE</v>
      </c>
      <c r="Y71" s="46" t="s">
        <v>872</v>
      </c>
      <c r="Z71" s="47">
        <v>18</v>
      </c>
      <c r="AA71" s="47" t="str">
        <f t="shared" si="2"/>
        <v/>
      </c>
      <c r="AB71" s="47" t="str">
        <f t="shared" si="3"/>
        <v/>
      </c>
      <c r="AC71" s="68" t="str">
        <f>IF(MC_MACHOTE!$X$83&gt;0,IF(MC_MACHOTE!$AJ$83&gt;0,MC_MACHOTE!$AJ$83,""),"")</f>
        <v/>
      </c>
      <c r="AD71" s="61"/>
      <c r="AE71" s="51"/>
      <c r="AF71" s="68" t="str">
        <f>IF(MC_MACHOTE!$X$83&gt;0,IF(MC_MACHOTE!$AK$83&gt;0,MC_MACHOTE!$AK$83,""),"")</f>
        <v/>
      </c>
      <c r="AG71" s="61"/>
      <c r="AH71" s="51"/>
      <c r="AI71" s="68" t="str">
        <f>IF(MC_MACHOTE!$X$83&gt;0,IF(MC_MACHOTE!$AL$83&gt;0,MC_MACHOTE!$AL$83,""),"")</f>
        <v/>
      </c>
      <c r="AJ71" s="51"/>
      <c r="AL71" t="b">
        <f>COUNTIF(MC_MACHOTE!$CA$25:$CB$124,18)&gt;0</f>
        <v>0</v>
      </c>
      <c r="AM71">
        <v>18</v>
      </c>
    </row>
    <row r="72" spans="2:39" ht="23.45" customHeight="1" x14ac:dyDescent="0.45">
      <c r="B72" s="47" t="str">
        <f>MC_MACHOTE!$C$3</f>
        <v>MACHOTE</v>
      </c>
      <c r="C72" s="46" t="s">
        <v>872</v>
      </c>
      <c r="D72" s="47">
        <v>20</v>
      </c>
      <c r="E72" s="47" t="str">
        <f>IF(MC_MACHOTE!$X$84&gt;0,MC_MACHOTE!$CA$84,"")</f>
        <v/>
      </c>
      <c r="F72" s="47" t="str">
        <f>IF(MC_MACHOTE!$X$84&gt;0,MC_MACHOTE!$CB$84,"")</f>
        <v/>
      </c>
      <c r="G72" s="69" t="str">
        <f>IF(MC_MACHOTE!$X$84&gt;0,MC_MACHOTE!$W$84,"")</f>
        <v/>
      </c>
      <c r="H72" s="51"/>
      <c r="I72" s="43" t="str">
        <f>IF(MC_MACHOTE!$X$84&gt;0,MC_MACHOTE!$X$84,"")</f>
        <v/>
      </c>
      <c r="J72" s="43" t="str">
        <f>IF(MC_MACHOTE!$X$84&gt;0,MC_MACHOTE!$BH$84,"")</f>
        <v/>
      </c>
      <c r="K72" s="69" t="str">
        <f>IF(MC_MACHOTE!$X$84&gt;0,MC_MACHOTE!$BL$84,"")</f>
        <v/>
      </c>
      <c r="L72" s="51"/>
      <c r="M72" s="46" t="str">
        <f>IF(MC_MACHOTE!$X$84&gt;0,IF(N(MC_MACHOTE!$BP$84)&gt;0,MC_MACHOTE!$BP$84,""),"")</f>
        <v/>
      </c>
      <c r="N72" s="46" t="str">
        <f>IF(MC_MACHOTE!$X$84&gt;0,MC_MACHOTE!$AT$84,"")</f>
        <v/>
      </c>
      <c r="O72" s="46" t="str">
        <f>IF(MC_MACHOTE!$X$84&gt;0,MC_MACHOTE!$BO$84,"")</f>
        <v/>
      </c>
      <c r="P72" s="46" t="str">
        <f>IF(MC_MACHOTE!$X$84&gt;0,MC_MACHOTE!$BI$84,"")</f>
        <v/>
      </c>
      <c r="Q72" s="46" t="str">
        <f>IF(MC_MACHOTE!$X$84&gt;0,MC_MACHOTE!$BM$84,"")</f>
        <v/>
      </c>
      <c r="R72" s="46" t="str">
        <f>IF(MC_MACHOTE!$X$84&gt;0,MC_MACHOTE!$BQ$84,"")</f>
        <v/>
      </c>
      <c r="S72" s="46" t="str">
        <f>IF(MC_MACHOTE!$X$84&gt;0,MC_MACHOTE!$BR$84,"")</f>
        <v/>
      </c>
      <c r="T72" s="46" t="str">
        <f>IF(MC_MACHOTE!$X$84&gt;0,MC_MACHOTE!$BS$84,"")</f>
        <v/>
      </c>
      <c r="U72" s="46" t="str">
        <f>IF(MC_MACHOTE!$X$84&gt;0,IF(MC_MACHOTE!$L$84="","CU",IF(MC_MACHOTE!$L$84="AL-MC","AL",MC_MACHOTE!$L$84)),"")</f>
        <v/>
      </c>
      <c r="V72" s="46" t="str">
        <f>IF(MC_MACHOTE!$X$84&gt;0,IF(MC_MACHOTE!$M$84="","THHN",MC_MACHOTE!$M$84),"")</f>
        <v/>
      </c>
      <c r="W72" s="46" t="str">
        <f>IF(MC_MACHOTE!$X$84&gt;0,MC_MACHOTE!$BT$84,"")</f>
        <v/>
      </c>
      <c r="X72" s="47" t="str">
        <f>MC_MACHOTE!$C$3</f>
        <v>MACHOTE</v>
      </c>
      <c r="Y72" s="46" t="s">
        <v>872</v>
      </c>
      <c r="Z72" s="47">
        <v>20</v>
      </c>
      <c r="AA72" s="47" t="str">
        <f t="shared" si="2"/>
        <v/>
      </c>
      <c r="AB72" s="47" t="str">
        <f t="shared" si="3"/>
        <v/>
      </c>
      <c r="AC72" s="68" t="str">
        <f>IF(MC_MACHOTE!$X$84&gt;0,IF(MC_MACHOTE!$AJ$84&gt;0,MC_MACHOTE!$AJ$84,""),"")</f>
        <v/>
      </c>
      <c r="AD72" s="61"/>
      <c r="AE72" s="51"/>
      <c r="AF72" s="68" t="str">
        <f>IF(MC_MACHOTE!$X$84&gt;0,IF(MC_MACHOTE!$AK$84&gt;0,MC_MACHOTE!$AK$84,""),"")</f>
        <v/>
      </c>
      <c r="AG72" s="61"/>
      <c r="AH72" s="51"/>
      <c r="AI72" s="68" t="str">
        <f>IF(MC_MACHOTE!$X$84&gt;0,IF(MC_MACHOTE!$AL$84&gt;0,MC_MACHOTE!$AL$84,""),"")</f>
        <v/>
      </c>
      <c r="AJ72" s="51"/>
      <c r="AL72" t="b">
        <f>COUNTIF(MC_MACHOTE!$CA$25:$CB$124,20)&gt;0</f>
        <v>0</v>
      </c>
      <c r="AM72">
        <v>20</v>
      </c>
    </row>
    <row r="73" spans="2:39" ht="23.45" customHeight="1" x14ac:dyDescent="0.45">
      <c r="B73" s="47" t="str">
        <f>MC_MACHOTE!$C$3</f>
        <v>MACHOTE</v>
      </c>
      <c r="C73" s="46" t="s">
        <v>872</v>
      </c>
      <c r="D73" s="47">
        <v>22</v>
      </c>
      <c r="E73" s="47" t="str">
        <f>IF(MC_MACHOTE!$X$85&gt;0,MC_MACHOTE!$CA$85,"")</f>
        <v/>
      </c>
      <c r="F73" s="47" t="str">
        <f>IF(MC_MACHOTE!$X$85&gt;0,MC_MACHOTE!$CB$85,"")</f>
        <v/>
      </c>
      <c r="G73" s="69" t="str">
        <f>IF(MC_MACHOTE!$X$85&gt;0,MC_MACHOTE!$W$85,"")</f>
        <v/>
      </c>
      <c r="H73" s="51"/>
      <c r="I73" s="43" t="str">
        <f>IF(MC_MACHOTE!$X$85&gt;0,MC_MACHOTE!$X$85,"")</f>
        <v/>
      </c>
      <c r="J73" s="43" t="str">
        <f>IF(MC_MACHOTE!$X$85&gt;0,MC_MACHOTE!$BH$85,"")</f>
        <v/>
      </c>
      <c r="K73" s="69" t="str">
        <f>IF(MC_MACHOTE!$X$85&gt;0,MC_MACHOTE!$BL$85,"")</f>
        <v/>
      </c>
      <c r="L73" s="51"/>
      <c r="M73" s="46" t="str">
        <f>IF(MC_MACHOTE!$X$85&gt;0,IF(N(MC_MACHOTE!$BP$85)&gt;0,MC_MACHOTE!$BP$85,""),"")</f>
        <v/>
      </c>
      <c r="N73" s="46" t="str">
        <f>IF(MC_MACHOTE!$X$85&gt;0,MC_MACHOTE!$AT$85,"")</f>
        <v/>
      </c>
      <c r="O73" s="46" t="str">
        <f>IF(MC_MACHOTE!$X$85&gt;0,MC_MACHOTE!$BO$85,"")</f>
        <v/>
      </c>
      <c r="P73" s="46" t="str">
        <f>IF(MC_MACHOTE!$X$85&gt;0,MC_MACHOTE!$BI$85,"")</f>
        <v/>
      </c>
      <c r="Q73" s="46" t="str">
        <f>IF(MC_MACHOTE!$X$85&gt;0,MC_MACHOTE!$BM$85,"")</f>
        <v/>
      </c>
      <c r="R73" s="46" t="str">
        <f>IF(MC_MACHOTE!$X$85&gt;0,MC_MACHOTE!$BQ$85,"")</f>
        <v/>
      </c>
      <c r="S73" s="46" t="str">
        <f>IF(MC_MACHOTE!$X$85&gt;0,MC_MACHOTE!$BR$85,"")</f>
        <v/>
      </c>
      <c r="T73" s="46" t="str">
        <f>IF(MC_MACHOTE!$X$85&gt;0,MC_MACHOTE!$BS$85,"")</f>
        <v/>
      </c>
      <c r="U73" s="46" t="str">
        <f>IF(MC_MACHOTE!$X$85&gt;0,IF(MC_MACHOTE!$L$85="","CU",IF(MC_MACHOTE!$L$85="AL-MC","AL",MC_MACHOTE!$L$85)),"")</f>
        <v/>
      </c>
      <c r="V73" s="46" t="str">
        <f>IF(MC_MACHOTE!$X$85&gt;0,IF(MC_MACHOTE!$M$85="","THHN",MC_MACHOTE!$M$85),"")</f>
        <v/>
      </c>
      <c r="W73" s="46" t="str">
        <f>IF(MC_MACHOTE!$X$85&gt;0,MC_MACHOTE!$BT$85,"")</f>
        <v/>
      </c>
      <c r="X73" s="47" t="str">
        <f>MC_MACHOTE!$C$3</f>
        <v>MACHOTE</v>
      </c>
      <c r="Y73" s="46" t="s">
        <v>872</v>
      </c>
      <c r="Z73" s="47">
        <v>22</v>
      </c>
      <c r="AA73" s="47" t="str">
        <f t="shared" si="2"/>
        <v/>
      </c>
      <c r="AB73" s="47" t="str">
        <f t="shared" si="3"/>
        <v/>
      </c>
      <c r="AC73" s="68" t="str">
        <f>IF(MC_MACHOTE!$X$85&gt;0,IF(MC_MACHOTE!$AJ$85&gt;0,MC_MACHOTE!$AJ$85,""),"")</f>
        <v/>
      </c>
      <c r="AD73" s="61"/>
      <c r="AE73" s="51"/>
      <c r="AF73" s="68" t="str">
        <f>IF(MC_MACHOTE!$X$85&gt;0,IF(MC_MACHOTE!$AK$85&gt;0,MC_MACHOTE!$AK$85,""),"")</f>
        <v/>
      </c>
      <c r="AG73" s="61"/>
      <c r="AH73" s="51"/>
      <c r="AI73" s="68" t="str">
        <f>IF(MC_MACHOTE!$X$85&gt;0,IF(MC_MACHOTE!$AL$85&gt;0,MC_MACHOTE!$AL$85,""),"")</f>
        <v/>
      </c>
      <c r="AJ73" s="51"/>
      <c r="AL73" t="b">
        <f>COUNTIF(MC_MACHOTE!$CA$25:$CB$124,22)&gt;0</f>
        <v>0</v>
      </c>
      <c r="AM73">
        <v>22</v>
      </c>
    </row>
    <row r="74" spans="2:39" ht="23.45" customHeight="1" x14ac:dyDescent="0.45">
      <c r="B74" s="47" t="str">
        <f>MC_MACHOTE!$C$3</f>
        <v>MACHOTE</v>
      </c>
      <c r="C74" s="46" t="s">
        <v>872</v>
      </c>
      <c r="D74" s="47">
        <v>24</v>
      </c>
      <c r="E74" s="47" t="str">
        <f>IF(MC_MACHOTE!$X$86&gt;0,MC_MACHOTE!$CA$86,"")</f>
        <v/>
      </c>
      <c r="F74" s="47" t="str">
        <f>IF(MC_MACHOTE!$X$86&gt;0,MC_MACHOTE!$CB$86,"")</f>
        <v/>
      </c>
      <c r="G74" s="69" t="str">
        <f>IF(MC_MACHOTE!$X$86&gt;0,MC_MACHOTE!$W$86,"")</f>
        <v/>
      </c>
      <c r="H74" s="51"/>
      <c r="I74" s="43" t="str">
        <f>IF(MC_MACHOTE!$X$86&gt;0,MC_MACHOTE!$X$86,"")</f>
        <v/>
      </c>
      <c r="J74" s="43" t="str">
        <f>IF(MC_MACHOTE!$X$86&gt;0,MC_MACHOTE!$BH$86,"")</f>
        <v/>
      </c>
      <c r="K74" s="69" t="str">
        <f>IF(MC_MACHOTE!$X$86&gt;0,MC_MACHOTE!$BL$86,"")</f>
        <v/>
      </c>
      <c r="L74" s="51"/>
      <c r="M74" s="46" t="str">
        <f>IF(MC_MACHOTE!$X$86&gt;0,IF(N(MC_MACHOTE!$BP$86)&gt;0,MC_MACHOTE!$BP$86,""),"")</f>
        <v/>
      </c>
      <c r="N74" s="46" t="str">
        <f>IF(MC_MACHOTE!$X$86&gt;0,MC_MACHOTE!$AT$86,"")</f>
        <v/>
      </c>
      <c r="O74" s="46" t="str">
        <f>IF(MC_MACHOTE!$X$86&gt;0,MC_MACHOTE!$BO$86,"")</f>
        <v/>
      </c>
      <c r="P74" s="46" t="str">
        <f>IF(MC_MACHOTE!$X$86&gt;0,MC_MACHOTE!$BI$86,"")</f>
        <v/>
      </c>
      <c r="Q74" s="46" t="str">
        <f>IF(MC_MACHOTE!$X$86&gt;0,MC_MACHOTE!$BM$86,"")</f>
        <v/>
      </c>
      <c r="R74" s="46" t="str">
        <f>IF(MC_MACHOTE!$X$86&gt;0,MC_MACHOTE!$BQ$86,"")</f>
        <v/>
      </c>
      <c r="S74" s="46" t="str">
        <f>IF(MC_MACHOTE!$X$86&gt;0,MC_MACHOTE!$BR$86,"")</f>
        <v/>
      </c>
      <c r="T74" s="46" t="str">
        <f>IF(MC_MACHOTE!$X$86&gt;0,MC_MACHOTE!$BS$86,"")</f>
        <v/>
      </c>
      <c r="U74" s="46" t="str">
        <f>IF(MC_MACHOTE!$X$86&gt;0,IF(MC_MACHOTE!$L$86="","CU",IF(MC_MACHOTE!$L$86="AL-MC","AL",MC_MACHOTE!$L$86)),"")</f>
        <v/>
      </c>
      <c r="V74" s="46" t="str">
        <f>IF(MC_MACHOTE!$X$86&gt;0,IF(MC_MACHOTE!$M$86="","THHN",MC_MACHOTE!$M$86),"")</f>
        <v/>
      </c>
      <c r="W74" s="46" t="str">
        <f>IF(MC_MACHOTE!$X$86&gt;0,MC_MACHOTE!$BT$86,"")</f>
        <v/>
      </c>
      <c r="X74" s="47" t="str">
        <f>MC_MACHOTE!$C$3</f>
        <v>MACHOTE</v>
      </c>
      <c r="Y74" s="46" t="s">
        <v>872</v>
      </c>
      <c r="Z74" s="47">
        <v>24</v>
      </c>
      <c r="AA74" s="47" t="str">
        <f t="shared" si="2"/>
        <v/>
      </c>
      <c r="AB74" s="47" t="str">
        <f t="shared" si="3"/>
        <v/>
      </c>
      <c r="AC74" s="68" t="str">
        <f>IF(MC_MACHOTE!$X$86&gt;0,IF(MC_MACHOTE!$AJ$86&gt;0,MC_MACHOTE!$AJ$86,""),"")</f>
        <v/>
      </c>
      <c r="AD74" s="61"/>
      <c r="AE74" s="51"/>
      <c r="AF74" s="68" t="str">
        <f>IF(MC_MACHOTE!$X$86&gt;0,IF(MC_MACHOTE!$AK$86&gt;0,MC_MACHOTE!$AK$86,""),"")</f>
        <v/>
      </c>
      <c r="AG74" s="61"/>
      <c r="AH74" s="51"/>
      <c r="AI74" s="68" t="str">
        <f>IF(MC_MACHOTE!$X$86&gt;0,IF(MC_MACHOTE!$AL$86&gt;0,MC_MACHOTE!$AL$86,""),"")</f>
        <v/>
      </c>
      <c r="AJ74" s="51"/>
      <c r="AL74" t="b">
        <f>COUNTIF(MC_MACHOTE!$CA$25:$CB$124,24)&gt;0</f>
        <v>0</v>
      </c>
      <c r="AM74">
        <v>24</v>
      </c>
    </row>
    <row r="75" spans="2:39" ht="23.45" customHeight="1" x14ac:dyDescent="0.45">
      <c r="B75" s="47" t="str">
        <f>MC_MACHOTE!$C$3</f>
        <v>MACHOTE</v>
      </c>
      <c r="C75" s="46" t="s">
        <v>872</v>
      </c>
      <c r="D75" s="47">
        <v>26</v>
      </c>
      <c r="E75" s="47" t="str">
        <f>IF(MC_MACHOTE!$X$87&gt;0,MC_MACHOTE!$CA$87,"")</f>
        <v/>
      </c>
      <c r="F75" s="47" t="str">
        <f>IF(MC_MACHOTE!$X$87&gt;0,MC_MACHOTE!$CB$87,"")</f>
        <v/>
      </c>
      <c r="G75" s="69" t="str">
        <f>IF(MC_MACHOTE!$X$87&gt;0,MC_MACHOTE!$W$87,"")</f>
        <v/>
      </c>
      <c r="H75" s="51"/>
      <c r="I75" s="43" t="str">
        <f>IF(MC_MACHOTE!$X$87&gt;0,MC_MACHOTE!$X$87,"")</f>
        <v/>
      </c>
      <c r="J75" s="43" t="str">
        <f>IF(MC_MACHOTE!$X$87&gt;0,MC_MACHOTE!$BH$87,"")</f>
        <v/>
      </c>
      <c r="K75" s="69" t="str">
        <f>IF(MC_MACHOTE!$X$87&gt;0,MC_MACHOTE!$BL$87,"")</f>
        <v/>
      </c>
      <c r="L75" s="51"/>
      <c r="M75" s="46" t="str">
        <f>IF(MC_MACHOTE!$X$87&gt;0,IF(N(MC_MACHOTE!$BP$87)&gt;0,MC_MACHOTE!$BP$87,""),"")</f>
        <v/>
      </c>
      <c r="N75" s="46" t="str">
        <f>IF(MC_MACHOTE!$X$87&gt;0,MC_MACHOTE!$AT$87,"")</f>
        <v/>
      </c>
      <c r="O75" s="46" t="str">
        <f>IF(MC_MACHOTE!$X$87&gt;0,MC_MACHOTE!$BO$87,"")</f>
        <v/>
      </c>
      <c r="P75" s="46" t="str">
        <f>IF(MC_MACHOTE!$X$87&gt;0,MC_MACHOTE!$BI$87,"")</f>
        <v/>
      </c>
      <c r="Q75" s="46" t="str">
        <f>IF(MC_MACHOTE!$X$87&gt;0,MC_MACHOTE!$BM$87,"")</f>
        <v/>
      </c>
      <c r="R75" s="46" t="str">
        <f>IF(MC_MACHOTE!$X$87&gt;0,MC_MACHOTE!$BQ$87,"")</f>
        <v/>
      </c>
      <c r="S75" s="46" t="str">
        <f>IF(MC_MACHOTE!$X$87&gt;0,MC_MACHOTE!$BR$87,"")</f>
        <v/>
      </c>
      <c r="T75" s="46" t="str">
        <f>IF(MC_MACHOTE!$X$87&gt;0,MC_MACHOTE!$BS$87,"")</f>
        <v/>
      </c>
      <c r="U75" s="46" t="str">
        <f>IF(MC_MACHOTE!$X$87&gt;0,IF(MC_MACHOTE!$L$87="","CU",IF(MC_MACHOTE!$L$87="AL-MC","AL",MC_MACHOTE!$L$87)),"")</f>
        <v/>
      </c>
      <c r="V75" s="46" t="str">
        <f>IF(MC_MACHOTE!$X$87&gt;0,IF(MC_MACHOTE!$M$87="","THHN",MC_MACHOTE!$M$87),"")</f>
        <v/>
      </c>
      <c r="W75" s="46" t="str">
        <f>IF(MC_MACHOTE!$X$87&gt;0,MC_MACHOTE!$BT$87,"")</f>
        <v/>
      </c>
      <c r="X75" s="47" t="str">
        <f>MC_MACHOTE!$C$3</f>
        <v>MACHOTE</v>
      </c>
      <c r="Y75" s="46" t="s">
        <v>872</v>
      </c>
      <c r="Z75" s="47">
        <v>26</v>
      </c>
      <c r="AA75" s="47" t="str">
        <f t="shared" si="2"/>
        <v/>
      </c>
      <c r="AB75" s="47" t="str">
        <f t="shared" si="3"/>
        <v/>
      </c>
      <c r="AC75" s="68" t="str">
        <f>IF(MC_MACHOTE!$X$87&gt;0,IF(MC_MACHOTE!$AJ$87&gt;0,MC_MACHOTE!$AJ$87,""),"")</f>
        <v/>
      </c>
      <c r="AD75" s="61"/>
      <c r="AE75" s="51"/>
      <c r="AF75" s="68" t="str">
        <f>IF(MC_MACHOTE!$X$87&gt;0,IF(MC_MACHOTE!$AK$87&gt;0,MC_MACHOTE!$AK$87,""),"")</f>
        <v/>
      </c>
      <c r="AG75" s="61"/>
      <c r="AH75" s="51"/>
      <c r="AI75" s="68" t="str">
        <f>IF(MC_MACHOTE!$X$87&gt;0,IF(MC_MACHOTE!$AL$87&gt;0,MC_MACHOTE!$AL$87,""),"")</f>
        <v/>
      </c>
      <c r="AJ75" s="51"/>
      <c r="AL75" t="b">
        <f>COUNTIF(MC_MACHOTE!$CA$25:$CB$124,26)&gt;0</f>
        <v>0</v>
      </c>
      <c r="AM75">
        <v>26</v>
      </c>
    </row>
    <row r="76" spans="2:39" ht="23.45" customHeight="1" x14ac:dyDescent="0.45">
      <c r="B76" s="47" t="str">
        <f>MC_MACHOTE!$C$3</f>
        <v>MACHOTE</v>
      </c>
      <c r="C76" s="46" t="s">
        <v>872</v>
      </c>
      <c r="D76" s="47">
        <v>28</v>
      </c>
      <c r="E76" s="47" t="str">
        <f>IF(MC_MACHOTE!$X$88&gt;0,MC_MACHOTE!$CA$88,"")</f>
        <v/>
      </c>
      <c r="F76" s="47" t="str">
        <f>IF(MC_MACHOTE!$X$88&gt;0,MC_MACHOTE!$CB$88,"")</f>
        <v/>
      </c>
      <c r="G76" s="69" t="str">
        <f>IF(MC_MACHOTE!$X$88&gt;0,MC_MACHOTE!$W$88,"")</f>
        <v/>
      </c>
      <c r="H76" s="51"/>
      <c r="I76" s="43" t="str">
        <f>IF(MC_MACHOTE!$X$88&gt;0,MC_MACHOTE!$X$88,"")</f>
        <v/>
      </c>
      <c r="J76" s="43" t="str">
        <f>IF(MC_MACHOTE!$X$88&gt;0,MC_MACHOTE!$BH$88,"")</f>
        <v/>
      </c>
      <c r="K76" s="69" t="str">
        <f>IF(MC_MACHOTE!$X$88&gt;0,MC_MACHOTE!$BL$88,"")</f>
        <v/>
      </c>
      <c r="L76" s="51"/>
      <c r="M76" s="46" t="str">
        <f>IF(MC_MACHOTE!$X$88&gt;0,IF(N(MC_MACHOTE!$BP$88)&gt;0,MC_MACHOTE!$BP$88,""),"")</f>
        <v/>
      </c>
      <c r="N76" s="46" t="str">
        <f>IF(MC_MACHOTE!$X$88&gt;0,MC_MACHOTE!$AT$88,"")</f>
        <v/>
      </c>
      <c r="O76" s="46" t="str">
        <f>IF(MC_MACHOTE!$X$88&gt;0,MC_MACHOTE!$BO$88,"")</f>
        <v/>
      </c>
      <c r="P76" s="46" t="str">
        <f>IF(MC_MACHOTE!$X$88&gt;0,MC_MACHOTE!$BI$88,"")</f>
        <v/>
      </c>
      <c r="Q76" s="46" t="str">
        <f>IF(MC_MACHOTE!$X$88&gt;0,MC_MACHOTE!$BM$88,"")</f>
        <v/>
      </c>
      <c r="R76" s="46" t="str">
        <f>IF(MC_MACHOTE!$X$88&gt;0,MC_MACHOTE!$BQ$88,"")</f>
        <v/>
      </c>
      <c r="S76" s="46" t="str">
        <f>IF(MC_MACHOTE!$X$88&gt;0,MC_MACHOTE!$BR$88,"")</f>
        <v/>
      </c>
      <c r="T76" s="46" t="str">
        <f>IF(MC_MACHOTE!$X$88&gt;0,MC_MACHOTE!$BS$88,"")</f>
        <v/>
      </c>
      <c r="U76" s="46" t="str">
        <f>IF(MC_MACHOTE!$X$88&gt;0,IF(MC_MACHOTE!$L$88="","CU",IF(MC_MACHOTE!$L$88="AL-MC","AL",MC_MACHOTE!$L$88)),"")</f>
        <v/>
      </c>
      <c r="V76" s="46" t="str">
        <f>IF(MC_MACHOTE!$X$88&gt;0,IF(MC_MACHOTE!$M$88="","THHN",MC_MACHOTE!$M$88),"")</f>
        <v/>
      </c>
      <c r="W76" s="46" t="str">
        <f>IF(MC_MACHOTE!$X$88&gt;0,MC_MACHOTE!$BT$88,"")</f>
        <v/>
      </c>
      <c r="X76" s="47" t="str">
        <f>MC_MACHOTE!$C$3</f>
        <v>MACHOTE</v>
      </c>
      <c r="Y76" s="46" t="s">
        <v>872</v>
      </c>
      <c r="Z76" s="47">
        <v>28</v>
      </c>
      <c r="AA76" s="47" t="str">
        <f t="shared" si="2"/>
        <v/>
      </c>
      <c r="AB76" s="47" t="str">
        <f t="shared" si="3"/>
        <v/>
      </c>
      <c r="AC76" s="68" t="str">
        <f>IF(MC_MACHOTE!$X$88&gt;0,IF(MC_MACHOTE!$AJ$88&gt;0,MC_MACHOTE!$AJ$88,""),"")</f>
        <v/>
      </c>
      <c r="AD76" s="61"/>
      <c r="AE76" s="51"/>
      <c r="AF76" s="68" t="str">
        <f>IF(MC_MACHOTE!$X$88&gt;0,IF(MC_MACHOTE!$AK$88&gt;0,MC_MACHOTE!$AK$88,""),"")</f>
        <v/>
      </c>
      <c r="AG76" s="61"/>
      <c r="AH76" s="51"/>
      <c r="AI76" s="68" t="str">
        <f>IF(MC_MACHOTE!$X$88&gt;0,IF(MC_MACHOTE!$AL$88&gt;0,MC_MACHOTE!$AL$88,""),"")</f>
        <v/>
      </c>
      <c r="AJ76" s="51"/>
      <c r="AL76" t="b">
        <f>COUNTIF(MC_MACHOTE!$CA$25:$CB$124,28)&gt;0</f>
        <v>0</v>
      </c>
      <c r="AM76">
        <v>28</v>
      </c>
    </row>
    <row r="77" spans="2:39" ht="23.45" customHeight="1" x14ac:dyDescent="0.45">
      <c r="B77" s="47" t="str">
        <f>MC_MACHOTE!$C$3</f>
        <v>MACHOTE</v>
      </c>
      <c r="C77" s="46" t="s">
        <v>872</v>
      </c>
      <c r="D77" s="47">
        <v>30</v>
      </c>
      <c r="E77" s="47" t="str">
        <f>IF(MC_MACHOTE!$X$89&gt;0,MC_MACHOTE!$CA$89,"")</f>
        <v/>
      </c>
      <c r="F77" s="47" t="str">
        <f>IF(MC_MACHOTE!$X$89&gt;0,MC_MACHOTE!$CB$89,"")</f>
        <v/>
      </c>
      <c r="G77" s="69" t="str">
        <f>IF(MC_MACHOTE!$X$89&gt;0,MC_MACHOTE!$W$89,"")</f>
        <v/>
      </c>
      <c r="H77" s="51"/>
      <c r="I77" s="43" t="str">
        <f>IF(MC_MACHOTE!$X$89&gt;0,MC_MACHOTE!$X$89,"")</f>
        <v/>
      </c>
      <c r="J77" s="43" t="str">
        <f>IF(MC_MACHOTE!$X$89&gt;0,MC_MACHOTE!$BH$89,"")</f>
        <v/>
      </c>
      <c r="K77" s="69" t="str">
        <f>IF(MC_MACHOTE!$X$89&gt;0,MC_MACHOTE!$BL$89,"")</f>
        <v/>
      </c>
      <c r="L77" s="51"/>
      <c r="M77" s="46" t="str">
        <f>IF(MC_MACHOTE!$X$89&gt;0,IF(N(MC_MACHOTE!$BP$89)&gt;0,MC_MACHOTE!$BP$89,""),"")</f>
        <v/>
      </c>
      <c r="N77" s="46" t="str">
        <f>IF(MC_MACHOTE!$X$89&gt;0,MC_MACHOTE!$AT$89,"")</f>
        <v/>
      </c>
      <c r="O77" s="46" t="str">
        <f>IF(MC_MACHOTE!$X$89&gt;0,MC_MACHOTE!$BO$89,"")</f>
        <v/>
      </c>
      <c r="P77" s="46" t="str">
        <f>IF(MC_MACHOTE!$X$89&gt;0,MC_MACHOTE!$BI$89,"")</f>
        <v/>
      </c>
      <c r="Q77" s="46" t="str">
        <f>IF(MC_MACHOTE!$X$89&gt;0,MC_MACHOTE!$BM$89,"")</f>
        <v/>
      </c>
      <c r="R77" s="46" t="str">
        <f>IF(MC_MACHOTE!$X$89&gt;0,MC_MACHOTE!$BQ$89,"")</f>
        <v/>
      </c>
      <c r="S77" s="46" t="str">
        <f>IF(MC_MACHOTE!$X$89&gt;0,MC_MACHOTE!$BR$89,"")</f>
        <v/>
      </c>
      <c r="T77" s="46" t="str">
        <f>IF(MC_MACHOTE!$X$89&gt;0,MC_MACHOTE!$BS$89,"")</f>
        <v/>
      </c>
      <c r="U77" s="46" t="str">
        <f>IF(MC_MACHOTE!$X$89&gt;0,IF(MC_MACHOTE!$L$89="","CU",IF(MC_MACHOTE!$L$89="AL-MC","AL",MC_MACHOTE!$L$89)),"")</f>
        <v/>
      </c>
      <c r="V77" s="46" t="str">
        <f>IF(MC_MACHOTE!$X$89&gt;0,IF(MC_MACHOTE!$M$89="","THHN",MC_MACHOTE!$M$89),"")</f>
        <v/>
      </c>
      <c r="W77" s="46" t="str">
        <f>IF(MC_MACHOTE!$X$89&gt;0,MC_MACHOTE!$BT$89,"")</f>
        <v/>
      </c>
      <c r="X77" s="47" t="str">
        <f>MC_MACHOTE!$C$3</f>
        <v>MACHOTE</v>
      </c>
      <c r="Y77" s="46" t="s">
        <v>872</v>
      </c>
      <c r="Z77" s="47">
        <v>30</v>
      </c>
      <c r="AA77" s="47" t="str">
        <f t="shared" ref="AA77:AA112" si="4">E77</f>
        <v/>
      </c>
      <c r="AB77" s="47" t="str">
        <f t="shared" ref="AB77:AB112" si="5">F77</f>
        <v/>
      </c>
      <c r="AC77" s="68" t="str">
        <f>IF(MC_MACHOTE!$X$89&gt;0,IF(MC_MACHOTE!$AJ$89&gt;0,MC_MACHOTE!$AJ$89,""),"")</f>
        <v/>
      </c>
      <c r="AD77" s="61"/>
      <c r="AE77" s="51"/>
      <c r="AF77" s="68" t="str">
        <f>IF(MC_MACHOTE!$X$89&gt;0,IF(MC_MACHOTE!$AK$89&gt;0,MC_MACHOTE!$AK$89,""),"")</f>
        <v/>
      </c>
      <c r="AG77" s="61"/>
      <c r="AH77" s="51"/>
      <c r="AI77" s="68" t="str">
        <f>IF(MC_MACHOTE!$X$89&gt;0,IF(MC_MACHOTE!$AL$89&gt;0,MC_MACHOTE!$AL$89,""),"")</f>
        <v/>
      </c>
      <c r="AJ77" s="51"/>
      <c r="AL77" t="b">
        <f>COUNTIF(MC_MACHOTE!$CA$25:$CB$124,30)&gt;0</f>
        <v>0</v>
      </c>
      <c r="AM77">
        <v>30</v>
      </c>
    </row>
    <row r="78" spans="2:39" ht="23.45" customHeight="1" x14ac:dyDescent="0.45">
      <c r="B78" s="47" t="str">
        <f>MC_MACHOTE!$C$3</f>
        <v>MACHOTE</v>
      </c>
      <c r="C78" s="46" t="s">
        <v>872</v>
      </c>
      <c r="D78" s="47">
        <v>32</v>
      </c>
      <c r="E78" s="47" t="str">
        <f>IF(MC_MACHOTE!$X$90&gt;0,MC_MACHOTE!$CA$90,"")</f>
        <v/>
      </c>
      <c r="F78" s="47" t="str">
        <f>IF(MC_MACHOTE!$X$90&gt;0,MC_MACHOTE!$CB$90,"")</f>
        <v/>
      </c>
      <c r="G78" s="69" t="str">
        <f>IF(MC_MACHOTE!$X$90&gt;0,MC_MACHOTE!$W$90,"")</f>
        <v/>
      </c>
      <c r="H78" s="51"/>
      <c r="I78" s="43" t="str">
        <f>IF(MC_MACHOTE!$X$90&gt;0,MC_MACHOTE!$X$90,"")</f>
        <v/>
      </c>
      <c r="J78" s="43" t="str">
        <f>IF(MC_MACHOTE!$X$90&gt;0,MC_MACHOTE!$BH$90,"")</f>
        <v/>
      </c>
      <c r="K78" s="69" t="str">
        <f>IF(MC_MACHOTE!$X$90&gt;0,MC_MACHOTE!$BL$90,"")</f>
        <v/>
      </c>
      <c r="L78" s="51"/>
      <c r="M78" s="46" t="str">
        <f>IF(MC_MACHOTE!$X$90&gt;0,IF(N(MC_MACHOTE!$BP$90)&gt;0,MC_MACHOTE!$BP$90,""),"")</f>
        <v/>
      </c>
      <c r="N78" s="46" t="str">
        <f>IF(MC_MACHOTE!$X$90&gt;0,MC_MACHOTE!$AT$90,"")</f>
        <v/>
      </c>
      <c r="O78" s="46" t="str">
        <f>IF(MC_MACHOTE!$X$90&gt;0,MC_MACHOTE!$BO$90,"")</f>
        <v/>
      </c>
      <c r="P78" s="46" t="str">
        <f>IF(MC_MACHOTE!$X$90&gt;0,MC_MACHOTE!$BI$90,"")</f>
        <v/>
      </c>
      <c r="Q78" s="46" t="str">
        <f>IF(MC_MACHOTE!$X$90&gt;0,MC_MACHOTE!$BM$90,"")</f>
        <v/>
      </c>
      <c r="R78" s="46" t="str">
        <f>IF(MC_MACHOTE!$X$90&gt;0,MC_MACHOTE!$BQ$90,"")</f>
        <v/>
      </c>
      <c r="S78" s="46" t="str">
        <f>IF(MC_MACHOTE!$X$90&gt;0,MC_MACHOTE!$BR$90,"")</f>
        <v/>
      </c>
      <c r="T78" s="46" t="str">
        <f>IF(MC_MACHOTE!$X$90&gt;0,MC_MACHOTE!$BS$90,"")</f>
        <v/>
      </c>
      <c r="U78" s="46" t="str">
        <f>IF(MC_MACHOTE!$X$90&gt;0,IF(MC_MACHOTE!$L$90="","CU",IF(MC_MACHOTE!$L$90="AL-MC","AL",MC_MACHOTE!$L$90)),"")</f>
        <v/>
      </c>
      <c r="V78" s="46" t="str">
        <f>IF(MC_MACHOTE!$X$90&gt;0,IF(MC_MACHOTE!$M$90="","THHN",MC_MACHOTE!$M$90),"")</f>
        <v/>
      </c>
      <c r="W78" s="46" t="str">
        <f>IF(MC_MACHOTE!$X$90&gt;0,MC_MACHOTE!$BT$90,"")</f>
        <v/>
      </c>
      <c r="X78" s="47" t="str">
        <f>MC_MACHOTE!$C$3</f>
        <v>MACHOTE</v>
      </c>
      <c r="Y78" s="46" t="s">
        <v>872</v>
      </c>
      <c r="Z78" s="47">
        <v>32</v>
      </c>
      <c r="AA78" s="47" t="str">
        <f t="shared" si="4"/>
        <v/>
      </c>
      <c r="AB78" s="47" t="str">
        <f t="shared" si="5"/>
        <v/>
      </c>
      <c r="AC78" s="68" t="str">
        <f>IF(MC_MACHOTE!$X$90&gt;0,IF(MC_MACHOTE!$AJ$90&gt;0,MC_MACHOTE!$AJ$90,""),"")</f>
        <v/>
      </c>
      <c r="AD78" s="61"/>
      <c r="AE78" s="51"/>
      <c r="AF78" s="68" t="str">
        <f>IF(MC_MACHOTE!$X$90&gt;0,IF(MC_MACHOTE!$AK$90&gt;0,MC_MACHOTE!$AK$90,""),"")</f>
        <v/>
      </c>
      <c r="AG78" s="61"/>
      <c r="AH78" s="51"/>
      <c r="AI78" s="68" t="str">
        <f>IF(MC_MACHOTE!$X$90&gt;0,IF(MC_MACHOTE!$AL$90&gt;0,MC_MACHOTE!$AL$90,""),"")</f>
        <v/>
      </c>
      <c r="AJ78" s="51"/>
      <c r="AL78" t="b">
        <f>COUNTIF(MC_MACHOTE!$CA$25:$CB$124,32)&gt;0</f>
        <v>0</v>
      </c>
      <c r="AM78">
        <v>32</v>
      </c>
    </row>
    <row r="79" spans="2:39" ht="23.45" customHeight="1" x14ac:dyDescent="0.45">
      <c r="B79" s="47" t="str">
        <f>MC_MACHOTE!$C$3</f>
        <v>MACHOTE</v>
      </c>
      <c r="C79" s="46" t="s">
        <v>872</v>
      </c>
      <c r="D79" s="47">
        <v>34</v>
      </c>
      <c r="E79" s="47" t="str">
        <f>IF(MC_MACHOTE!$X$91&gt;0,MC_MACHOTE!$CA$91,"")</f>
        <v/>
      </c>
      <c r="F79" s="47" t="str">
        <f>IF(MC_MACHOTE!$X$91&gt;0,MC_MACHOTE!$CB$91,"")</f>
        <v/>
      </c>
      <c r="G79" s="69" t="str">
        <f>IF(MC_MACHOTE!$X$91&gt;0,MC_MACHOTE!$W$91,"")</f>
        <v/>
      </c>
      <c r="H79" s="51"/>
      <c r="I79" s="43" t="str">
        <f>IF(MC_MACHOTE!$X$91&gt;0,MC_MACHOTE!$X$91,"")</f>
        <v/>
      </c>
      <c r="J79" s="43" t="str">
        <f>IF(MC_MACHOTE!$X$91&gt;0,MC_MACHOTE!$BH$91,"")</f>
        <v/>
      </c>
      <c r="K79" s="69" t="str">
        <f>IF(MC_MACHOTE!$X$91&gt;0,MC_MACHOTE!$BL$91,"")</f>
        <v/>
      </c>
      <c r="L79" s="51"/>
      <c r="M79" s="46" t="str">
        <f>IF(MC_MACHOTE!$X$91&gt;0,IF(N(MC_MACHOTE!$BP$91)&gt;0,MC_MACHOTE!$BP$91,""),"")</f>
        <v/>
      </c>
      <c r="N79" s="46" t="str">
        <f>IF(MC_MACHOTE!$X$91&gt;0,MC_MACHOTE!$AT$91,"")</f>
        <v/>
      </c>
      <c r="O79" s="46" t="str">
        <f>IF(MC_MACHOTE!$X$91&gt;0,MC_MACHOTE!$BO$91,"")</f>
        <v/>
      </c>
      <c r="P79" s="46" t="str">
        <f>IF(MC_MACHOTE!$X$91&gt;0,MC_MACHOTE!$BI$91,"")</f>
        <v/>
      </c>
      <c r="Q79" s="46" t="str">
        <f>IF(MC_MACHOTE!$X$91&gt;0,MC_MACHOTE!$BM$91,"")</f>
        <v/>
      </c>
      <c r="R79" s="46" t="str">
        <f>IF(MC_MACHOTE!$X$91&gt;0,MC_MACHOTE!$BQ$91,"")</f>
        <v/>
      </c>
      <c r="S79" s="46" t="str">
        <f>IF(MC_MACHOTE!$X$91&gt;0,MC_MACHOTE!$BR$91,"")</f>
        <v/>
      </c>
      <c r="T79" s="46" t="str">
        <f>IF(MC_MACHOTE!$X$91&gt;0,MC_MACHOTE!$BS$91,"")</f>
        <v/>
      </c>
      <c r="U79" s="46" t="str">
        <f>IF(MC_MACHOTE!$X$91&gt;0,IF(MC_MACHOTE!$L$91="","CU",IF(MC_MACHOTE!$L$91="AL-MC","AL",MC_MACHOTE!$L$91)),"")</f>
        <v/>
      </c>
      <c r="V79" s="46" t="str">
        <f>IF(MC_MACHOTE!$X$91&gt;0,IF(MC_MACHOTE!$M$91="","THHN",MC_MACHOTE!$M$91),"")</f>
        <v/>
      </c>
      <c r="W79" s="46" t="str">
        <f>IF(MC_MACHOTE!$X$91&gt;0,MC_MACHOTE!$BT$91,"")</f>
        <v/>
      </c>
      <c r="X79" s="47" t="str">
        <f>MC_MACHOTE!$C$3</f>
        <v>MACHOTE</v>
      </c>
      <c r="Y79" s="46" t="s">
        <v>872</v>
      </c>
      <c r="Z79" s="47">
        <v>34</v>
      </c>
      <c r="AA79" s="47" t="str">
        <f t="shared" si="4"/>
        <v/>
      </c>
      <c r="AB79" s="47" t="str">
        <f t="shared" si="5"/>
        <v/>
      </c>
      <c r="AC79" s="68" t="str">
        <f>IF(MC_MACHOTE!$X$91&gt;0,IF(MC_MACHOTE!$AJ$91&gt;0,MC_MACHOTE!$AJ$91,""),"")</f>
        <v/>
      </c>
      <c r="AD79" s="61"/>
      <c r="AE79" s="51"/>
      <c r="AF79" s="68" t="str">
        <f>IF(MC_MACHOTE!$X$91&gt;0,IF(MC_MACHOTE!$AK$91&gt;0,MC_MACHOTE!$AK$91,""),"")</f>
        <v/>
      </c>
      <c r="AG79" s="61"/>
      <c r="AH79" s="51"/>
      <c r="AI79" s="68" t="str">
        <f>IF(MC_MACHOTE!$X$91&gt;0,IF(MC_MACHOTE!$AL$91&gt;0,MC_MACHOTE!$AL$91,""),"")</f>
        <v/>
      </c>
      <c r="AJ79" s="51"/>
      <c r="AL79" t="b">
        <f>COUNTIF(MC_MACHOTE!$CA$25:$CB$124,34)&gt;0</f>
        <v>0</v>
      </c>
      <c r="AM79">
        <v>34</v>
      </c>
    </row>
    <row r="80" spans="2:39" ht="23.45" customHeight="1" x14ac:dyDescent="0.45">
      <c r="B80" s="47" t="str">
        <f>MC_MACHOTE!$C$3</f>
        <v>MACHOTE</v>
      </c>
      <c r="C80" s="46" t="s">
        <v>872</v>
      </c>
      <c r="D80" s="47">
        <v>36</v>
      </c>
      <c r="E80" s="47" t="str">
        <f>IF(MC_MACHOTE!$X$92&gt;0,MC_MACHOTE!$CA$92,"")</f>
        <v/>
      </c>
      <c r="F80" s="47" t="str">
        <f>IF(MC_MACHOTE!$X$92&gt;0,MC_MACHOTE!$CB$92,"")</f>
        <v/>
      </c>
      <c r="G80" s="69" t="str">
        <f>IF(MC_MACHOTE!$X$92&gt;0,MC_MACHOTE!$W$92,"")</f>
        <v/>
      </c>
      <c r="H80" s="51"/>
      <c r="I80" s="43" t="str">
        <f>IF(MC_MACHOTE!$X$92&gt;0,MC_MACHOTE!$X$92,"")</f>
        <v/>
      </c>
      <c r="J80" s="43" t="str">
        <f>IF(MC_MACHOTE!$X$92&gt;0,MC_MACHOTE!$BH$92,"")</f>
        <v/>
      </c>
      <c r="K80" s="69" t="str">
        <f>IF(MC_MACHOTE!$X$92&gt;0,MC_MACHOTE!$BL$92,"")</f>
        <v/>
      </c>
      <c r="L80" s="51"/>
      <c r="M80" s="46" t="str">
        <f>IF(MC_MACHOTE!$X$92&gt;0,IF(N(MC_MACHOTE!$BP$92)&gt;0,MC_MACHOTE!$BP$92,""),"")</f>
        <v/>
      </c>
      <c r="N80" s="46" t="str">
        <f>IF(MC_MACHOTE!$X$92&gt;0,MC_MACHOTE!$AT$92,"")</f>
        <v/>
      </c>
      <c r="O80" s="46" t="str">
        <f>IF(MC_MACHOTE!$X$92&gt;0,MC_MACHOTE!$BO$92,"")</f>
        <v/>
      </c>
      <c r="P80" s="46" t="str">
        <f>IF(MC_MACHOTE!$X$92&gt;0,MC_MACHOTE!$BI$92,"")</f>
        <v/>
      </c>
      <c r="Q80" s="46" t="str">
        <f>IF(MC_MACHOTE!$X$92&gt;0,MC_MACHOTE!$BM$92,"")</f>
        <v/>
      </c>
      <c r="R80" s="46" t="str">
        <f>IF(MC_MACHOTE!$X$92&gt;0,MC_MACHOTE!$BQ$92,"")</f>
        <v/>
      </c>
      <c r="S80" s="46" t="str">
        <f>IF(MC_MACHOTE!$X$92&gt;0,MC_MACHOTE!$BR$92,"")</f>
        <v/>
      </c>
      <c r="T80" s="46" t="str">
        <f>IF(MC_MACHOTE!$X$92&gt;0,MC_MACHOTE!$BS$92,"")</f>
        <v/>
      </c>
      <c r="U80" s="46" t="str">
        <f>IF(MC_MACHOTE!$X$92&gt;0,IF(MC_MACHOTE!$L$92="","CU",IF(MC_MACHOTE!$L$92="AL-MC","AL",MC_MACHOTE!$L$92)),"")</f>
        <v/>
      </c>
      <c r="V80" s="46" t="str">
        <f>IF(MC_MACHOTE!$X$92&gt;0,IF(MC_MACHOTE!$M$92="","THHN",MC_MACHOTE!$M$92),"")</f>
        <v/>
      </c>
      <c r="W80" s="46" t="str">
        <f>IF(MC_MACHOTE!$X$92&gt;0,MC_MACHOTE!$BT$92,"")</f>
        <v/>
      </c>
      <c r="X80" s="47" t="str">
        <f>MC_MACHOTE!$C$3</f>
        <v>MACHOTE</v>
      </c>
      <c r="Y80" s="46" t="s">
        <v>872</v>
      </c>
      <c r="Z80" s="47">
        <v>36</v>
      </c>
      <c r="AA80" s="47" t="str">
        <f t="shared" si="4"/>
        <v/>
      </c>
      <c r="AB80" s="47" t="str">
        <f t="shared" si="5"/>
        <v/>
      </c>
      <c r="AC80" s="68" t="str">
        <f>IF(MC_MACHOTE!$X$92&gt;0,IF(MC_MACHOTE!$AJ$92&gt;0,MC_MACHOTE!$AJ$92,""),"")</f>
        <v/>
      </c>
      <c r="AD80" s="61"/>
      <c r="AE80" s="51"/>
      <c r="AF80" s="68" t="str">
        <f>IF(MC_MACHOTE!$X$92&gt;0,IF(MC_MACHOTE!$AK$92&gt;0,MC_MACHOTE!$AK$92,""),"")</f>
        <v/>
      </c>
      <c r="AG80" s="61"/>
      <c r="AH80" s="51"/>
      <c r="AI80" s="68" t="str">
        <f>IF(MC_MACHOTE!$X$92&gt;0,IF(MC_MACHOTE!$AL$92&gt;0,MC_MACHOTE!$AL$92,""),"")</f>
        <v/>
      </c>
      <c r="AJ80" s="51"/>
      <c r="AL80" t="b">
        <f>COUNTIF(MC_MACHOTE!$CA$25:$CB$124,36)&gt;0</f>
        <v>0</v>
      </c>
      <c r="AM80">
        <v>36</v>
      </c>
    </row>
    <row r="81" spans="2:39" ht="23.45" customHeight="1" x14ac:dyDescent="0.45">
      <c r="B81" s="47" t="str">
        <f>MC_MACHOTE!$C$3</f>
        <v>MACHOTE</v>
      </c>
      <c r="C81" s="46" t="s">
        <v>872</v>
      </c>
      <c r="D81" s="47">
        <v>38</v>
      </c>
      <c r="E81" s="47" t="str">
        <f>IF(MC_MACHOTE!$X$93&gt;0,MC_MACHOTE!$CA$93,"")</f>
        <v/>
      </c>
      <c r="F81" s="47" t="str">
        <f>IF(MC_MACHOTE!$X$93&gt;0,MC_MACHOTE!$CB$93,"")</f>
        <v/>
      </c>
      <c r="G81" s="69" t="str">
        <f>IF(MC_MACHOTE!$X$93&gt;0,MC_MACHOTE!$W$93,"")</f>
        <v/>
      </c>
      <c r="H81" s="51"/>
      <c r="I81" s="43" t="str">
        <f>IF(MC_MACHOTE!$X$93&gt;0,MC_MACHOTE!$X$93,"")</f>
        <v/>
      </c>
      <c r="J81" s="43" t="str">
        <f>IF(MC_MACHOTE!$X$93&gt;0,MC_MACHOTE!$BH$93,"")</f>
        <v/>
      </c>
      <c r="K81" s="69" t="str">
        <f>IF(MC_MACHOTE!$X$93&gt;0,MC_MACHOTE!$BL$93,"")</f>
        <v/>
      </c>
      <c r="L81" s="51"/>
      <c r="M81" s="46" t="str">
        <f>IF(MC_MACHOTE!$X$93&gt;0,IF(N(MC_MACHOTE!$BP$93)&gt;0,MC_MACHOTE!$BP$93,""),"")</f>
        <v/>
      </c>
      <c r="N81" s="46" t="str">
        <f>IF(MC_MACHOTE!$X$93&gt;0,MC_MACHOTE!$AT$93,"")</f>
        <v/>
      </c>
      <c r="O81" s="46" t="str">
        <f>IF(MC_MACHOTE!$X$93&gt;0,MC_MACHOTE!$BO$93,"")</f>
        <v/>
      </c>
      <c r="P81" s="46" t="str">
        <f>IF(MC_MACHOTE!$X$93&gt;0,MC_MACHOTE!$BI$93,"")</f>
        <v/>
      </c>
      <c r="Q81" s="46" t="str">
        <f>IF(MC_MACHOTE!$X$93&gt;0,MC_MACHOTE!$BM$93,"")</f>
        <v/>
      </c>
      <c r="R81" s="46" t="str">
        <f>IF(MC_MACHOTE!$X$93&gt;0,MC_MACHOTE!$BQ$93,"")</f>
        <v/>
      </c>
      <c r="S81" s="46" t="str">
        <f>IF(MC_MACHOTE!$X$93&gt;0,MC_MACHOTE!$BR$93,"")</f>
        <v/>
      </c>
      <c r="T81" s="46" t="str">
        <f>IF(MC_MACHOTE!$X$93&gt;0,MC_MACHOTE!$BS$93,"")</f>
        <v/>
      </c>
      <c r="U81" s="46" t="str">
        <f>IF(MC_MACHOTE!$X$93&gt;0,IF(MC_MACHOTE!$L$93="","CU",IF(MC_MACHOTE!$L$93="AL-MC","AL",MC_MACHOTE!$L$93)),"")</f>
        <v/>
      </c>
      <c r="V81" s="46" t="str">
        <f>IF(MC_MACHOTE!$X$93&gt;0,IF(MC_MACHOTE!$M$93="","THHN",MC_MACHOTE!$M$93),"")</f>
        <v/>
      </c>
      <c r="W81" s="46" t="str">
        <f>IF(MC_MACHOTE!$X$93&gt;0,MC_MACHOTE!$BT$93,"")</f>
        <v/>
      </c>
      <c r="X81" s="47" t="str">
        <f>MC_MACHOTE!$C$3</f>
        <v>MACHOTE</v>
      </c>
      <c r="Y81" s="46" t="s">
        <v>872</v>
      </c>
      <c r="Z81" s="47">
        <v>38</v>
      </c>
      <c r="AA81" s="47" t="str">
        <f t="shared" si="4"/>
        <v/>
      </c>
      <c r="AB81" s="47" t="str">
        <f t="shared" si="5"/>
        <v/>
      </c>
      <c r="AC81" s="68" t="str">
        <f>IF(MC_MACHOTE!$X$93&gt;0,IF(MC_MACHOTE!$AJ$93&gt;0,MC_MACHOTE!$AJ$93,""),"")</f>
        <v/>
      </c>
      <c r="AD81" s="61"/>
      <c r="AE81" s="51"/>
      <c r="AF81" s="68" t="str">
        <f>IF(MC_MACHOTE!$X$93&gt;0,IF(MC_MACHOTE!$AK$93&gt;0,MC_MACHOTE!$AK$93,""),"")</f>
        <v/>
      </c>
      <c r="AG81" s="61"/>
      <c r="AH81" s="51"/>
      <c r="AI81" s="68" t="str">
        <f>IF(MC_MACHOTE!$X$93&gt;0,IF(MC_MACHOTE!$AL$93&gt;0,MC_MACHOTE!$AL$93,""),"")</f>
        <v/>
      </c>
      <c r="AJ81" s="51"/>
      <c r="AL81" t="b">
        <f>COUNTIF(MC_MACHOTE!$CA$25:$CB$124,38)&gt;0</f>
        <v>0</v>
      </c>
      <c r="AM81">
        <v>38</v>
      </c>
    </row>
    <row r="82" spans="2:39" ht="23.45" customHeight="1" x14ac:dyDescent="0.45">
      <c r="B82" s="47" t="str">
        <f>MC_MACHOTE!$C$3</f>
        <v>MACHOTE</v>
      </c>
      <c r="C82" s="46" t="s">
        <v>872</v>
      </c>
      <c r="D82" s="47">
        <v>40</v>
      </c>
      <c r="E82" s="47" t="str">
        <f>IF(MC_MACHOTE!$X$94&gt;0,MC_MACHOTE!$CA$94,"")</f>
        <v/>
      </c>
      <c r="F82" s="47" t="str">
        <f>IF(MC_MACHOTE!$X$94&gt;0,MC_MACHOTE!$CB$94,"")</f>
        <v/>
      </c>
      <c r="G82" s="69" t="str">
        <f>IF(MC_MACHOTE!$X$94&gt;0,MC_MACHOTE!$W$94,"")</f>
        <v/>
      </c>
      <c r="H82" s="51"/>
      <c r="I82" s="43" t="str">
        <f>IF(MC_MACHOTE!$X$94&gt;0,MC_MACHOTE!$X$94,"")</f>
        <v/>
      </c>
      <c r="J82" s="43" t="str">
        <f>IF(MC_MACHOTE!$X$94&gt;0,MC_MACHOTE!$BH$94,"")</f>
        <v/>
      </c>
      <c r="K82" s="69" t="str">
        <f>IF(MC_MACHOTE!$X$94&gt;0,MC_MACHOTE!$BL$94,"")</f>
        <v/>
      </c>
      <c r="L82" s="51"/>
      <c r="M82" s="46" t="str">
        <f>IF(MC_MACHOTE!$X$94&gt;0,IF(N(MC_MACHOTE!$BP$94)&gt;0,MC_MACHOTE!$BP$94,""),"")</f>
        <v/>
      </c>
      <c r="N82" s="46" t="str">
        <f>IF(MC_MACHOTE!$X$94&gt;0,MC_MACHOTE!$AT$94,"")</f>
        <v/>
      </c>
      <c r="O82" s="46" t="str">
        <f>IF(MC_MACHOTE!$X$94&gt;0,MC_MACHOTE!$BO$94,"")</f>
        <v/>
      </c>
      <c r="P82" s="46" t="str">
        <f>IF(MC_MACHOTE!$X$94&gt;0,MC_MACHOTE!$BI$94,"")</f>
        <v/>
      </c>
      <c r="Q82" s="46" t="str">
        <f>IF(MC_MACHOTE!$X$94&gt;0,MC_MACHOTE!$BM$94,"")</f>
        <v/>
      </c>
      <c r="R82" s="46" t="str">
        <f>IF(MC_MACHOTE!$X$94&gt;0,MC_MACHOTE!$BQ$94,"")</f>
        <v/>
      </c>
      <c r="S82" s="46" t="str">
        <f>IF(MC_MACHOTE!$X$94&gt;0,MC_MACHOTE!$BR$94,"")</f>
        <v/>
      </c>
      <c r="T82" s="46" t="str">
        <f>IF(MC_MACHOTE!$X$94&gt;0,MC_MACHOTE!$BS$94,"")</f>
        <v/>
      </c>
      <c r="U82" s="46" t="str">
        <f>IF(MC_MACHOTE!$X$94&gt;0,IF(MC_MACHOTE!$L$94="","CU",IF(MC_MACHOTE!$L$94="AL-MC","AL",MC_MACHOTE!$L$94)),"")</f>
        <v/>
      </c>
      <c r="V82" s="46" t="str">
        <f>IF(MC_MACHOTE!$X$94&gt;0,IF(MC_MACHOTE!$M$94="","THHN",MC_MACHOTE!$M$94),"")</f>
        <v/>
      </c>
      <c r="W82" s="46" t="str">
        <f>IF(MC_MACHOTE!$X$94&gt;0,MC_MACHOTE!$BT$94,"")</f>
        <v/>
      </c>
      <c r="X82" s="47" t="str">
        <f>MC_MACHOTE!$C$3</f>
        <v>MACHOTE</v>
      </c>
      <c r="Y82" s="46" t="s">
        <v>872</v>
      </c>
      <c r="Z82" s="47">
        <v>40</v>
      </c>
      <c r="AA82" s="47" t="str">
        <f t="shared" si="4"/>
        <v/>
      </c>
      <c r="AB82" s="47" t="str">
        <f t="shared" si="5"/>
        <v/>
      </c>
      <c r="AC82" s="68" t="str">
        <f>IF(MC_MACHOTE!$X$94&gt;0,IF(MC_MACHOTE!$AJ$94&gt;0,MC_MACHOTE!$AJ$94,""),"")</f>
        <v/>
      </c>
      <c r="AD82" s="61"/>
      <c r="AE82" s="51"/>
      <c r="AF82" s="68" t="str">
        <f>IF(MC_MACHOTE!$X$94&gt;0,IF(MC_MACHOTE!$AK$94&gt;0,MC_MACHOTE!$AK$94,""),"")</f>
        <v/>
      </c>
      <c r="AG82" s="61"/>
      <c r="AH82" s="51"/>
      <c r="AI82" s="68" t="str">
        <f>IF(MC_MACHOTE!$X$94&gt;0,IF(MC_MACHOTE!$AL$94&gt;0,MC_MACHOTE!$AL$94,""),"")</f>
        <v/>
      </c>
      <c r="AJ82" s="51"/>
      <c r="AL82" t="b">
        <f>COUNTIF(MC_MACHOTE!$CA$25:$CB$124,40)&gt;0</f>
        <v>0</v>
      </c>
      <c r="AM82">
        <v>40</v>
      </c>
    </row>
    <row r="83" spans="2:39" ht="23.45" customHeight="1" x14ac:dyDescent="0.45">
      <c r="B83" s="47" t="str">
        <f>MC_MACHOTE!$C$3</f>
        <v>MACHOTE</v>
      </c>
      <c r="C83" s="46" t="s">
        <v>872</v>
      </c>
      <c r="D83" s="47">
        <v>42</v>
      </c>
      <c r="E83" s="47" t="str">
        <f>IF(MC_MACHOTE!$X$95&gt;0,MC_MACHOTE!$CA$95,"")</f>
        <v/>
      </c>
      <c r="F83" s="47" t="str">
        <f>IF(MC_MACHOTE!$X$95&gt;0,MC_MACHOTE!$CB$95,"")</f>
        <v/>
      </c>
      <c r="G83" s="69" t="str">
        <f>IF(MC_MACHOTE!$X$95&gt;0,MC_MACHOTE!$W$95,"")</f>
        <v/>
      </c>
      <c r="H83" s="51"/>
      <c r="I83" s="43" t="str">
        <f>IF(MC_MACHOTE!$X$95&gt;0,MC_MACHOTE!$X$95,"")</f>
        <v/>
      </c>
      <c r="J83" s="43" t="str">
        <f>IF(MC_MACHOTE!$X$95&gt;0,MC_MACHOTE!$BH$95,"")</f>
        <v/>
      </c>
      <c r="K83" s="69" t="str">
        <f>IF(MC_MACHOTE!$X$95&gt;0,MC_MACHOTE!$BL$95,"")</f>
        <v/>
      </c>
      <c r="L83" s="51"/>
      <c r="M83" s="46" t="str">
        <f>IF(MC_MACHOTE!$X$95&gt;0,IF(N(MC_MACHOTE!$BP$95)&gt;0,MC_MACHOTE!$BP$95,""),"")</f>
        <v/>
      </c>
      <c r="N83" s="46" t="str">
        <f>IF(MC_MACHOTE!$X$95&gt;0,MC_MACHOTE!$AT$95,"")</f>
        <v/>
      </c>
      <c r="O83" s="46" t="str">
        <f>IF(MC_MACHOTE!$X$95&gt;0,MC_MACHOTE!$BO$95,"")</f>
        <v/>
      </c>
      <c r="P83" s="46" t="str">
        <f>IF(MC_MACHOTE!$X$95&gt;0,MC_MACHOTE!$BI$95,"")</f>
        <v/>
      </c>
      <c r="Q83" s="46" t="str">
        <f>IF(MC_MACHOTE!$X$95&gt;0,MC_MACHOTE!$BM$95,"")</f>
        <v/>
      </c>
      <c r="R83" s="46" t="str">
        <f>IF(MC_MACHOTE!$X$95&gt;0,MC_MACHOTE!$BQ$95,"")</f>
        <v/>
      </c>
      <c r="S83" s="46" t="str">
        <f>IF(MC_MACHOTE!$X$95&gt;0,MC_MACHOTE!$BR$95,"")</f>
        <v/>
      </c>
      <c r="T83" s="46" t="str">
        <f>IF(MC_MACHOTE!$X$95&gt;0,MC_MACHOTE!$BS$95,"")</f>
        <v/>
      </c>
      <c r="U83" s="46" t="str">
        <f>IF(MC_MACHOTE!$X$95&gt;0,IF(MC_MACHOTE!$L$95="","CU",IF(MC_MACHOTE!$L$95="AL-MC","AL",MC_MACHOTE!$L$95)),"")</f>
        <v/>
      </c>
      <c r="V83" s="46" t="str">
        <f>IF(MC_MACHOTE!$X$95&gt;0,IF(MC_MACHOTE!$M$95="","THHN",MC_MACHOTE!$M$95),"")</f>
        <v/>
      </c>
      <c r="W83" s="46" t="str">
        <f>IF(MC_MACHOTE!$X$95&gt;0,MC_MACHOTE!$BT$95,"")</f>
        <v/>
      </c>
      <c r="X83" s="47" t="str">
        <f>MC_MACHOTE!$C$3</f>
        <v>MACHOTE</v>
      </c>
      <c r="Y83" s="46" t="s">
        <v>872</v>
      </c>
      <c r="Z83" s="47">
        <v>42</v>
      </c>
      <c r="AA83" s="47" t="str">
        <f t="shared" si="4"/>
        <v/>
      </c>
      <c r="AB83" s="47" t="str">
        <f t="shared" si="5"/>
        <v/>
      </c>
      <c r="AC83" s="68" t="str">
        <f>IF(MC_MACHOTE!$X$95&gt;0,IF(MC_MACHOTE!$AJ$95&gt;0,MC_MACHOTE!$AJ$95,""),"")</f>
        <v/>
      </c>
      <c r="AD83" s="61"/>
      <c r="AE83" s="51"/>
      <c r="AF83" s="68" t="str">
        <f>IF(MC_MACHOTE!$X$95&gt;0,IF(MC_MACHOTE!$AK$95&gt;0,MC_MACHOTE!$AK$95,""),"")</f>
        <v/>
      </c>
      <c r="AG83" s="61"/>
      <c r="AH83" s="51"/>
      <c r="AI83" s="68" t="str">
        <f>IF(MC_MACHOTE!$X$95&gt;0,IF(MC_MACHOTE!$AL$95&gt;0,MC_MACHOTE!$AL$95,""),"")</f>
        <v/>
      </c>
      <c r="AJ83" s="51"/>
      <c r="AL83" t="b">
        <f>COUNTIF(MC_MACHOTE!$CA$25:$CB$124,42)&gt;0</f>
        <v>0</v>
      </c>
      <c r="AM83">
        <v>42</v>
      </c>
    </row>
    <row r="84" spans="2:39" ht="23.45" customHeight="1" x14ac:dyDescent="0.45">
      <c r="B84" s="47" t="str">
        <f>MC_MACHOTE!$C$3</f>
        <v>MACHOTE</v>
      </c>
      <c r="C84" s="46" t="s">
        <v>872</v>
      </c>
      <c r="D84" s="47">
        <v>44</v>
      </c>
      <c r="E84" s="47" t="str">
        <f>IF(MC_MACHOTE!$X$96&gt;0,MC_MACHOTE!$CA$96,"")</f>
        <v/>
      </c>
      <c r="F84" s="47" t="str">
        <f>IF(MC_MACHOTE!$X$96&gt;0,MC_MACHOTE!$CB$96,"")</f>
        <v/>
      </c>
      <c r="G84" s="69" t="str">
        <f>IF(MC_MACHOTE!$X$96&gt;0,MC_MACHOTE!$W$96,"")</f>
        <v/>
      </c>
      <c r="H84" s="51"/>
      <c r="I84" s="43" t="str">
        <f>IF(MC_MACHOTE!$X$96&gt;0,MC_MACHOTE!$X$96,"")</f>
        <v/>
      </c>
      <c r="J84" s="43" t="str">
        <f>IF(MC_MACHOTE!$X$96&gt;0,MC_MACHOTE!$BH$96,"")</f>
        <v/>
      </c>
      <c r="K84" s="69" t="str">
        <f>IF(MC_MACHOTE!$X$96&gt;0,MC_MACHOTE!$BL$96,"")</f>
        <v/>
      </c>
      <c r="L84" s="51"/>
      <c r="M84" s="46" t="str">
        <f>IF(MC_MACHOTE!$X$96&gt;0,IF(N(MC_MACHOTE!$BP$96)&gt;0,MC_MACHOTE!$BP$96,""),"")</f>
        <v/>
      </c>
      <c r="N84" s="46" t="str">
        <f>IF(MC_MACHOTE!$X$96&gt;0,MC_MACHOTE!$AT$96,"")</f>
        <v/>
      </c>
      <c r="O84" s="46" t="str">
        <f>IF(MC_MACHOTE!$X$96&gt;0,MC_MACHOTE!$BO$96,"")</f>
        <v/>
      </c>
      <c r="P84" s="46" t="str">
        <f>IF(MC_MACHOTE!$X$96&gt;0,MC_MACHOTE!$BI$96,"")</f>
        <v/>
      </c>
      <c r="Q84" s="46" t="str">
        <f>IF(MC_MACHOTE!$X$96&gt;0,MC_MACHOTE!$BM$96,"")</f>
        <v/>
      </c>
      <c r="R84" s="46" t="str">
        <f>IF(MC_MACHOTE!$X$96&gt;0,MC_MACHOTE!$BQ$96,"")</f>
        <v/>
      </c>
      <c r="S84" s="46" t="str">
        <f>IF(MC_MACHOTE!$X$96&gt;0,MC_MACHOTE!$BR$96,"")</f>
        <v/>
      </c>
      <c r="T84" s="46" t="str">
        <f>IF(MC_MACHOTE!$X$96&gt;0,MC_MACHOTE!$BS$96,"")</f>
        <v/>
      </c>
      <c r="U84" s="46" t="str">
        <f>IF(MC_MACHOTE!$X$96&gt;0,IF(MC_MACHOTE!$L$96="","CU",IF(MC_MACHOTE!$L$96="AL-MC","AL",MC_MACHOTE!$L$96)),"")</f>
        <v/>
      </c>
      <c r="V84" s="46" t="str">
        <f>IF(MC_MACHOTE!$X$96&gt;0,IF(MC_MACHOTE!$M$96="","THHN",MC_MACHOTE!$M$96),"")</f>
        <v/>
      </c>
      <c r="W84" s="46" t="str">
        <f>IF(MC_MACHOTE!$X$96&gt;0,MC_MACHOTE!$BT$96,"")</f>
        <v/>
      </c>
      <c r="X84" s="47" t="str">
        <f>MC_MACHOTE!$C$3</f>
        <v>MACHOTE</v>
      </c>
      <c r="Y84" s="46" t="s">
        <v>872</v>
      </c>
      <c r="Z84" s="47">
        <v>44</v>
      </c>
      <c r="AA84" s="47" t="str">
        <f t="shared" si="4"/>
        <v/>
      </c>
      <c r="AB84" s="47" t="str">
        <f t="shared" si="5"/>
        <v/>
      </c>
      <c r="AC84" s="68" t="str">
        <f>IF(MC_MACHOTE!$X$96&gt;0,IF(MC_MACHOTE!$AJ$96&gt;0,MC_MACHOTE!$AJ$96,""),"")</f>
        <v/>
      </c>
      <c r="AD84" s="61"/>
      <c r="AE84" s="51"/>
      <c r="AF84" s="68" t="str">
        <f>IF(MC_MACHOTE!$X$96&gt;0,IF(MC_MACHOTE!$AK$96&gt;0,MC_MACHOTE!$AK$96,""),"")</f>
        <v/>
      </c>
      <c r="AG84" s="61"/>
      <c r="AH84" s="51"/>
      <c r="AI84" s="68" t="str">
        <f>IF(MC_MACHOTE!$X$96&gt;0,IF(MC_MACHOTE!$AL$96&gt;0,MC_MACHOTE!$AL$96,""),"")</f>
        <v/>
      </c>
      <c r="AJ84" s="51"/>
      <c r="AL84" t="b">
        <f>COUNTIF(MC_MACHOTE!$CA$25:$CB$124,44)&gt;0</f>
        <v>0</v>
      </c>
      <c r="AM84">
        <v>44</v>
      </c>
    </row>
    <row r="85" spans="2:39" ht="23.45" customHeight="1" x14ac:dyDescent="0.45">
      <c r="B85" s="47" t="str">
        <f>MC_MACHOTE!$C$3</f>
        <v>MACHOTE</v>
      </c>
      <c r="C85" s="46" t="s">
        <v>872</v>
      </c>
      <c r="D85" s="47">
        <v>46</v>
      </c>
      <c r="E85" s="47" t="str">
        <f>IF(MC_MACHOTE!$X$97&gt;0,MC_MACHOTE!$CA$97,"")</f>
        <v/>
      </c>
      <c r="F85" s="47" t="str">
        <f>IF(MC_MACHOTE!$X$97&gt;0,MC_MACHOTE!$CB$97,"")</f>
        <v/>
      </c>
      <c r="G85" s="69" t="str">
        <f>IF(MC_MACHOTE!$X$97&gt;0,MC_MACHOTE!$W$97,"")</f>
        <v/>
      </c>
      <c r="H85" s="51"/>
      <c r="I85" s="43" t="str">
        <f>IF(MC_MACHOTE!$X$97&gt;0,MC_MACHOTE!$X$97,"")</f>
        <v/>
      </c>
      <c r="J85" s="43" t="str">
        <f>IF(MC_MACHOTE!$X$97&gt;0,MC_MACHOTE!$BH$97,"")</f>
        <v/>
      </c>
      <c r="K85" s="69" t="str">
        <f>IF(MC_MACHOTE!$X$97&gt;0,MC_MACHOTE!$BL$97,"")</f>
        <v/>
      </c>
      <c r="L85" s="51"/>
      <c r="M85" s="46" t="str">
        <f>IF(MC_MACHOTE!$X$97&gt;0,IF(N(MC_MACHOTE!$BP$97)&gt;0,MC_MACHOTE!$BP$97,""),"")</f>
        <v/>
      </c>
      <c r="N85" s="46" t="str">
        <f>IF(MC_MACHOTE!$X$97&gt;0,MC_MACHOTE!$AT$97,"")</f>
        <v/>
      </c>
      <c r="O85" s="46" t="str">
        <f>IF(MC_MACHOTE!$X$97&gt;0,MC_MACHOTE!$BO$97,"")</f>
        <v/>
      </c>
      <c r="P85" s="46" t="str">
        <f>IF(MC_MACHOTE!$X$97&gt;0,MC_MACHOTE!$BI$97,"")</f>
        <v/>
      </c>
      <c r="Q85" s="46" t="str">
        <f>IF(MC_MACHOTE!$X$97&gt;0,MC_MACHOTE!$BM$97,"")</f>
        <v/>
      </c>
      <c r="R85" s="46" t="str">
        <f>IF(MC_MACHOTE!$X$97&gt;0,MC_MACHOTE!$BQ$97,"")</f>
        <v/>
      </c>
      <c r="S85" s="46" t="str">
        <f>IF(MC_MACHOTE!$X$97&gt;0,MC_MACHOTE!$BR$97,"")</f>
        <v/>
      </c>
      <c r="T85" s="46" t="str">
        <f>IF(MC_MACHOTE!$X$97&gt;0,MC_MACHOTE!$BS$97,"")</f>
        <v/>
      </c>
      <c r="U85" s="46" t="str">
        <f>IF(MC_MACHOTE!$X$97&gt;0,IF(MC_MACHOTE!$L$97="","CU",IF(MC_MACHOTE!$L$97="AL-MC","AL",MC_MACHOTE!$L$97)),"")</f>
        <v/>
      </c>
      <c r="V85" s="46" t="str">
        <f>IF(MC_MACHOTE!$X$97&gt;0,IF(MC_MACHOTE!$M$97="","THHN",MC_MACHOTE!$M$97),"")</f>
        <v/>
      </c>
      <c r="W85" s="46" t="str">
        <f>IF(MC_MACHOTE!$X$97&gt;0,MC_MACHOTE!$BT$97,"")</f>
        <v/>
      </c>
      <c r="X85" s="47" t="str">
        <f>MC_MACHOTE!$C$3</f>
        <v>MACHOTE</v>
      </c>
      <c r="Y85" s="46" t="s">
        <v>872</v>
      </c>
      <c r="Z85" s="47">
        <v>46</v>
      </c>
      <c r="AA85" s="47" t="str">
        <f t="shared" si="4"/>
        <v/>
      </c>
      <c r="AB85" s="47" t="str">
        <f t="shared" si="5"/>
        <v/>
      </c>
      <c r="AC85" s="68" t="str">
        <f>IF(MC_MACHOTE!$X$97&gt;0,IF(MC_MACHOTE!$AJ$97&gt;0,MC_MACHOTE!$AJ$97,""),"")</f>
        <v/>
      </c>
      <c r="AD85" s="61"/>
      <c r="AE85" s="51"/>
      <c r="AF85" s="68" t="str">
        <f>IF(MC_MACHOTE!$X$97&gt;0,IF(MC_MACHOTE!$AK$97&gt;0,MC_MACHOTE!$AK$97,""),"")</f>
        <v/>
      </c>
      <c r="AG85" s="61"/>
      <c r="AH85" s="51"/>
      <c r="AI85" s="68" t="str">
        <f>IF(MC_MACHOTE!$X$97&gt;0,IF(MC_MACHOTE!$AL$97&gt;0,MC_MACHOTE!$AL$97,""),"")</f>
        <v/>
      </c>
      <c r="AJ85" s="51"/>
      <c r="AL85" t="b">
        <f>COUNTIF(MC_MACHOTE!$CA$25:$CB$124,46)&gt;0</f>
        <v>0</v>
      </c>
      <c r="AM85">
        <v>46</v>
      </c>
    </row>
    <row r="86" spans="2:39" ht="23.45" customHeight="1" x14ac:dyDescent="0.45">
      <c r="B86" s="47" t="str">
        <f>MC_MACHOTE!$C$3</f>
        <v>MACHOTE</v>
      </c>
      <c r="C86" s="46" t="s">
        <v>872</v>
      </c>
      <c r="D86" s="47">
        <v>48</v>
      </c>
      <c r="E86" s="47" t="str">
        <f>IF(MC_MACHOTE!$X$98&gt;0,MC_MACHOTE!$CA$98,"")</f>
        <v/>
      </c>
      <c r="F86" s="47" t="str">
        <f>IF(MC_MACHOTE!$X$98&gt;0,MC_MACHOTE!$CB$98,"")</f>
        <v/>
      </c>
      <c r="G86" s="69" t="str">
        <f>IF(MC_MACHOTE!$X$98&gt;0,MC_MACHOTE!$W$98,"")</f>
        <v/>
      </c>
      <c r="H86" s="51"/>
      <c r="I86" s="43" t="str">
        <f>IF(MC_MACHOTE!$X$98&gt;0,MC_MACHOTE!$X$98,"")</f>
        <v/>
      </c>
      <c r="J86" s="43" t="str">
        <f>IF(MC_MACHOTE!$X$98&gt;0,MC_MACHOTE!$BH$98,"")</f>
        <v/>
      </c>
      <c r="K86" s="69" t="str">
        <f>IF(MC_MACHOTE!$X$98&gt;0,MC_MACHOTE!$BL$98,"")</f>
        <v/>
      </c>
      <c r="L86" s="51"/>
      <c r="M86" s="46" t="str">
        <f>IF(MC_MACHOTE!$X$98&gt;0,IF(N(MC_MACHOTE!$BP$98)&gt;0,MC_MACHOTE!$BP$98,""),"")</f>
        <v/>
      </c>
      <c r="N86" s="46" t="str">
        <f>IF(MC_MACHOTE!$X$98&gt;0,MC_MACHOTE!$AT$98,"")</f>
        <v/>
      </c>
      <c r="O86" s="46" t="str">
        <f>IF(MC_MACHOTE!$X$98&gt;0,MC_MACHOTE!$BO$98,"")</f>
        <v/>
      </c>
      <c r="P86" s="46" t="str">
        <f>IF(MC_MACHOTE!$X$98&gt;0,MC_MACHOTE!$BI$98,"")</f>
        <v/>
      </c>
      <c r="Q86" s="46" t="str">
        <f>IF(MC_MACHOTE!$X$98&gt;0,MC_MACHOTE!$BM$98,"")</f>
        <v/>
      </c>
      <c r="R86" s="46" t="str">
        <f>IF(MC_MACHOTE!$X$98&gt;0,MC_MACHOTE!$BQ$98,"")</f>
        <v/>
      </c>
      <c r="S86" s="46" t="str">
        <f>IF(MC_MACHOTE!$X$98&gt;0,MC_MACHOTE!$BR$98,"")</f>
        <v/>
      </c>
      <c r="T86" s="46" t="str">
        <f>IF(MC_MACHOTE!$X$98&gt;0,MC_MACHOTE!$BS$98,"")</f>
        <v/>
      </c>
      <c r="U86" s="46" t="str">
        <f>IF(MC_MACHOTE!$X$98&gt;0,IF(MC_MACHOTE!$L$98="","CU",IF(MC_MACHOTE!$L$98="AL-MC","AL",MC_MACHOTE!$L$98)),"")</f>
        <v/>
      </c>
      <c r="V86" s="46" t="str">
        <f>IF(MC_MACHOTE!$X$98&gt;0,IF(MC_MACHOTE!$M$98="","THHN",MC_MACHOTE!$M$98),"")</f>
        <v/>
      </c>
      <c r="W86" s="46" t="str">
        <f>IF(MC_MACHOTE!$X$98&gt;0,MC_MACHOTE!$BT$98,"")</f>
        <v/>
      </c>
      <c r="X86" s="47" t="str">
        <f>MC_MACHOTE!$C$3</f>
        <v>MACHOTE</v>
      </c>
      <c r="Y86" s="46" t="s">
        <v>872</v>
      </c>
      <c r="Z86" s="47">
        <v>48</v>
      </c>
      <c r="AA86" s="47" t="str">
        <f t="shared" si="4"/>
        <v/>
      </c>
      <c r="AB86" s="47" t="str">
        <f t="shared" si="5"/>
        <v/>
      </c>
      <c r="AC86" s="68" t="str">
        <f>IF(MC_MACHOTE!$X$98&gt;0,IF(MC_MACHOTE!$AJ$98&gt;0,MC_MACHOTE!$AJ$98,""),"")</f>
        <v/>
      </c>
      <c r="AD86" s="61"/>
      <c r="AE86" s="51"/>
      <c r="AF86" s="68" t="str">
        <f>IF(MC_MACHOTE!$X$98&gt;0,IF(MC_MACHOTE!$AK$98&gt;0,MC_MACHOTE!$AK$98,""),"")</f>
        <v/>
      </c>
      <c r="AG86" s="61"/>
      <c r="AH86" s="51"/>
      <c r="AI86" s="68" t="str">
        <f>IF(MC_MACHOTE!$X$98&gt;0,IF(MC_MACHOTE!$AL$98&gt;0,MC_MACHOTE!$AL$98,""),"")</f>
        <v/>
      </c>
      <c r="AJ86" s="51"/>
      <c r="AL86" t="b">
        <f>COUNTIF(MC_MACHOTE!$CA$25:$CB$124,48)&gt;0</f>
        <v>0</v>
      </c>
      <c r="AM86">
        <v>48</v>
      </c>
    </row>
    <row r="87" spans="2:39" ht="23.45" customHeight="1" x14ac:dyDescent="0.45">
      <c r="B87" s="47" t="str">
        <f>MC_MACHOTE!$C$3</f>
        <v>MACHOTE</v>
      </c>
      <c r="C87" s="46" t="s">
        <v>872</v>
      </c>
      <c r="D87" s="47">
        <v>50</v>
      </c>
      <c r="E87" s="47" t="str">
        <f>IF(MC_MACHOTE!$X$99&gt;0,MC_MACHOTE!$CA$99,"")</f>
        <v/>
      </c>
      <c r="F87" s="47" t="str">
        <f>IF(MC_MACHOTE!$X$99&gt;0,MC_MACHOTE!$CB$99,"")</f>
        <v/>
      </c>
      <c r="G87" s="69" t="str">
        <f>IF(MC_MACHOTE!$X$99&gt;0,MC_MACHOTE!$W$99,"")</f>
        <v/>
      </c>
      <c r="H87" s="51"/>
      <c r="I87" s="43" t="str">
        <f>IF(MC_MACHOTE!$X$99&gt;0,MC_MACHOTE!$X$99,"")</f>
        <v/>
      </c>
      <c r="J87" s="43" t="str">
        <f>IF(MC_MACHOTE!$X$99&gt;0,MC_MACHOTE!$BH$99,"")</f>
        <v/>
      </c>
      <c r="K87" s="69" t="str">
        <f>IF(MC_MACHOTE!$X$99&gt;0,MC_MACHOTE!$BL$99,"")</f>
        <v/>
      </c>
      <c r="L87" s="51"/>
      <c r="M87" s="46" t="str">
        <f>IF(MC_MACHOTE!$X$99&gt;0,IF(N(MC_MACHOTE!$BP$99)&gt;0,MC_MACHOTE!$BP$99,""),"")</f>
        <v/>
      </c>
      <c r="N87" s="46" t="str">
        <f>IF(MC_MACHOTE!$X$99&gt;0,MC_MACHOTE!$AT$99,"")</f>
        <v/>
      </c>
      <c r="O87" s="46" t="str">
        <f>IF(MC_MACHOTE!$X$99&gt;0,MC_MACHOTE!$BO$99,"")</f>
        <v/>
      </c>
      <c r="P87" s="46" t="str">
        <f>IF(MC_MACHOTE!$X$99&gt;0,MC_MACHOTE!$BI$99,"")</f>
        <v/>
      </c>
      <c r="Q87" s="46" t="str">
        <f>IF(MC_MACHOTE!$X$99&gt;0,MC_MACHOTE!$BM$99,"")</f>
        <v/>
      </c>
      <c r="R87" s="46" t="str">
        <f>IF(MC_MACHOTE!$X$99&gt;0,MC_MACHOTE!$BQ$99,"")</f>
        <v/>
      </c>
      <c r="S87" s="46" t="str">
        <f>IF(MC_MACHOTE!$X$99&gt;0,MC_MACHOTE!$BR$99,"")</f>
        <v/>
      </c>
      <c r="T87" s="46" t="str">
        <f>IF(MC_MACHOTE!$X$99&gt;0,MC_MACHOTE!$BS$99,"")</f>
        <v/>
      </c>
      <c r="U87" s="46" t="str">
        <f>IF(MC_MACHOTE!$X$99&gt;0,IF(MC_MACHOTE!$L$99="","CU",IF(MC_MACHOTE!$L$99="AL-MC","AL",MC_MACHOTE!$L$99)),"")</f>
        <v/>
      </c>
      <c r="V87" s="46" t="str">
        <f>IF(MC_MACHOTE!$X$99&gt;0,IF(MC_MACHOTE!$M$99="","THHN",MC_MACHOTE!$M$99),"")</f>
        <v/>
      </c>
      <c r="W87" s="46" t="str">
        <f>IF(MC_MACHOTE!$X$99&gt;0,MC_MACHOTE!$BT$99,"")</f>
        <v/>
      </c>
      <c r="X87" s="47" t="str">
        <f>MC_MACHOTE!$C$3</f>
        <v>MACHOTE</v>
      </c>
      <c r="Y87" s="46" t="s">
        <v>872</v>
      </c>
      <c r="Z87" s="47">
        <v>50</v>
      </c>
      <c r="AA87" s="47" t="str">
        <f t="shared" si="4"/>
        <v/>
      </c>
      <c r="AB87" s="47" t="str">
        <f t="shared" si="5"/>
        <v/>
      </c>
      <c r="AC87" s="68" t="str">
        <f>IF(MC_MACHOTE!$X$99&gt;0,IF(MC_MACHOTE!$AJ$99&gt;0,MC_MACHOTE!$AJ$99,""),"")</f>
        <v/>
      </c>
      <c r="AD87" s="61"/>
      <c r="AE87" s="51"/>
      <c r="AF87" s="68" t="str">
        <f>IF(MC_MACHOTE!$X$99&gt;0,IF(MC_MACHOTE!$AK$99&gt;0,MC_MACHOTE!$AK$99,""),"")</f>
        <v/>
      </c>
      <c r="AG87" s="61"/>
      <c r="AH87" s="51"/>
      <c r="AI87" s="68" t="str">
        <f>IF(MC_MACHOTE!$X$99&gt;0,IF(MC_MACHOTE!$AL$99&gt;0,MC_MACHOTE!$AL$99,""),"")</f>
        <v/>
      </c>
      <c r="AJ87" s="51"/>
      <c r="AL87" t="b">
        <f>COUNTIF(MC_MACHOTE!$CA$25:$CB$124,50)&gt;0</f>
        <v>0</v>
      </c>
      <c r="AM87">
        <v>50</v>
      </c>
    </row>
    <row r="88" spans="2:39" ht="23.45" customHeight="1" x14ac:dyDescent="0.45">
      <c r="B88" s="47" t="str">
        <f>MC_MACHOTE!$C$3</f>
        <v>MACHOTE</v>
      </c>
      <c r="C88" s="46" t="s">
        <v>872</v>
      </c>
      <c r="D88" s="47">
        <v>52</v>
      </c>
      <c r="E88" s="47" t="str">
        <f>IF(MC_MACHOTE!$X$100&gt;0,MC_MACHOTE!$CA$100,"")</f>
        <v/>
      </c>
      <c r="F88" s="47" t="str">
        <f>IF(MC_MACHOTE!$X$100&gt;0,MC_MACHOTE!$CB$100,"")</f>
        <v/>
      </c>
      <c r="G88" s="69" t="str">
        <f>IF(MC_MACHOTE!$X$100&gt;0,MC_MACHOTE!$W$100,"")</f>
        <v/>
      </c>
      <c r="H88" s="51"/>
      <c r="I88" s="43" t="str">
        <f>IF(MC_MACHOTE!$X$100&gt;0,MC_MACHOTE!$X$100,"")</f>
        <v/>
      </c>
      <c r="J88" s="43" t="str">
        <f>IF(MC_MACHOTE!$X$100&gt;0,MC_MACHOTE!$BH$100,"")</f>
        <v/>
      </c>
      <c r="K88" s="69" t="str">
        <f>IF(MC_MACHOTE!$X$100&gt;0,MC_MACHOTE!$BL$100,"")</f>
        <v/>
      </c>
      <c r="L88" s="51"/>
      <c r="M88" s="46" t="str">
        <f>IF(MC_MACHOTE!$X$100&gt;0,IF(N(MC_MACHOTE!$BP$100)&gt;0,MC_MACHOTE!$BP$100,""),"")</f>
        <v/>
      </c>
      <c r="N88" s="46" t="str">
        <f>IF(MC_MACHOTE!$X$100&gt;0,MC_MACHOTE!$AT$100,"")</f>
        <v/>
      </c>
      <c r="O88" s="46" t="str">
        <f>IF(MC_MACHOTE!$X$100&gt;0,MC_MACHOTE!$BO$100,"")</f>
        <v/>
      </c>
      <c r="P88" s="46" t="str">
        <f>IF(MC_MACHOTE!$X$100&gt;0,MC_MACHOTE!$BI$100,"")</f>
        <v/>
      </c>
      <c r="Q88" s="46" t="str">
        <f>IF(MC_MACHOTE!$X$100&gt;0,MC_MACHOTE!$BM$100,"")</f>
        <v/>
      </c>
      <c r="R88" s="46" t="str">
        <f>IF(MC_MACHOTE!$X$100&gt;0,MC_MACHOTE!$BQ$100,"")</f>
        <v/>
      </c>
      <c r="S88" s="46" t="str">
        <f>IF(MC_MACHOTE!$X$100&gt;0,MC_MACHOTE!$BR$100,"")</f>
        <v/>
      </c>
      <c r="T88" s="46" t="str">
        <f>IF(MC_MACHOTE!$X$100&gt;0,MC_MACHOTE!$BS$100,"")</f>
        <v/>
      </c>
      <c r="U88" s="46" t="str">
        <f>IF(MC_MACHOTE!$X$100&gt;0,IF(MC_MACHOTE!$L$100="","CU",IF(MC_MACHOTE!$L$100="AL-MC","AL",MC_MACHOTE!$L$100)),"")</f>
        <v/>
      </c>
      <c r="V88" s="46" t="str">
        <f>IF(MC_MACHOTE!$X$100&gt;0,IF(MC_MACHOTE!$M$100="","THHN",MC_MACHOTE!$M$100),"")</f>
        <v/>
      </c>
      <c r="W88" s="46" t="str">
        <f>IF(MC_MACHOTE!$X$100&gt;0,MC_MACHOTE!$BT$100,"")</f>
        <v/>
      </c>
      <c r="X88" s="47" t="str">
        <f>MC_MACHOTE!$C$3</f>
        <v>MACHOTE</v>
      </c>
      <c r="Y88" s="46" t="s">
        <v>872</v>
      </c>
      <c r="Z88" s="47">
        <v>52</v>
      </c>
      <c r="AA88" s="47" t="str">
        <f t="shared" si="4"/>
        <v/>
      </c>
      <c r="AB88" s="47" t="str">
        <f t="shared" si="5"/>
        <v/>
      </c>
      <c r="AC88" s="68" t="str">
        <f>IF(MC_MACHOTE!$X$100&gt;0,IF(MC_MACHOTE!$AJ$100&gt;0,MC_MACHOTE!$AJ$100,""),"")</f>
        <v/>
      </c>
      <c r="AD88" s="61"/>
      <c r="AE88" s="51"/>
      <c r="AF88" s="68" t="str">
        <f>IF(MC_MACHOTE!$X$100&gt;0,IF(MC_MACHOTE!$AK$100&gt;0,MC_MACHOTE!$AK$100,""),"")</f>
        <v/>
      </c>
      <c r="AG88" s="61"/>
      <c r="AH88" s="51"/>
      <c r="AI88" s="68" t="str">
        <f>IF(MC_MACHOTE!$X$100&gt;0,IF(MC_MACHOTE!$AL$100&gt;0,MC_MACHOTE!$AL$100,""),"")</f>
        <v/>
      </c>
      <c r="AJ88" s="51"/>
      <c r="AL88" t="b">
        <f>COUNTIF(MC_MACHOTE!$CA$25:$CB$124,52)&gt;0</f>
        <v>0</v>
      </c>
      <c r="AM88">
        <v>52</v>
      </c>
    </row>
    <row r="89" spans="2:39" ht="23.45" customHeight="1" x14ac:dyDescent="0.45">
      <c r="B89" s="47" t="str">
        <f>MC_MACHOTE!$C$3</f>
        <v>MACHOTE</v>
      </c>
      <c r="C89" s="46" t="s">
        <v>872</v>
      </c>
      <c r="D89" s="47">
        <v>54</v>
      </c>
      <c r="E89" s="47" t="str">
        <f>IF(MC_MACHOTE!$X$101&gt;0,MC_MACHOTE!$CA$101,"")</f>
        <v/>
      </c>
      <c r="F89" s="47" t="str">
        <f>IF(MC_MACHOTE!$X$101&gt;0,MC_MACHOTE!$CB$101,"")</f>
        <v/>
      </c>
      <c r="G89" s="69" t="str">
        <f>IF(MC_MACHOTE!$X$101&gt;0,MC_MACHOTE!$W$101,"")</f>
        <v/>
      </c>
      <c r="H89" s="51"/>
      <c r="I89" s="43" t="str">
        <f>IF(MC_MACHOTE!$X$101&gt;0,MC_MACHOTE!$X$101,"")</f>
        <v/>
      </c>
      <c r="J89" s="43" t="str">
        <f>IF(MC_MACHOTE!$X$101&gt;0,MC_MACHOTE!$BH$101,"")</f>
        <v/>
      </c>
      <c r="K89" s="69" t="str">
        <f>IF(MC_MACHOTE!$X$101&gt;0,MC_MACHOTE!$BL$101,"")</f>
        <v/>
      </c>
      <c r="L89" s="51"/>
      <c r="M89" s="46" t="str">
        <f>IF(MC_MACHOTE!$X$101&gt;0,IF(N(MC_MACHOTE!$BP$101)&gt;0,MC_MACHOTE!$BP$101,""),"")</f>
        <v/>
      </c>
      <c r="N89" s="46" t="str">
        <f>IF(MC_MACHOTE!$X$101&gt;0,MC_MACHOTE!$AT$101,"")</f>
        <v/>
      </c>
      <c r="O89" s="46" t="str">
        <f>IF(MC_MACHOTE!$X$101&gt;0,MC_MACHOTE!$BO$101,"")</f>
        <v/>
      </c>
      <c r="P89" s="46" t="str">
        <f>IF(MC_MACHOTE!$X$101&gt;0,MC_MACHOTE!$BI$101,"")</f>
        <v/>
      </c>
      <c r="Q89" s="46" t="str">
        <f>IF(MC_MACHOTE!$X$101&gt;0,MC_MACHOTE!$BM$101,"")</f>
        <v/>
      </c>
      <c r="R89" s="46" t="str">
        <f>IF(MC_MACHOTE!$X$101&gt;0,MC_MACHOTE!$BQ$101,"")</f>
        <v/>
      </c>
      <c r="S89" s="46" t="str">
        <f>IF(MC_MACHOTE!$X$101&gt;0,MC_MACHOTE!$BR$101,"")</f>
        <v/>
      </c>
      <c r="T89" s="46" t="str">
        <f>IF(MC_MACHOTE!$X$101&gt;0,MC_MACHOTE!$BS$101,"")</f>
        <v/>
      </c>
      <c r="U89" s="46" t="str">
        <f>IF(MC_MACHOTE!$X$101&gt;0,IF(MC_MACHOTE!$L$101="","CU",IF(MC_MACHOTE!$L$101="AL-MC","AL",MC_MACHOTE!$L$101)),"")</f>
        <v/>
      </c>
      <c r="V89" s="46" t="str">
        <f>IF(MC_MACHOTE!$X$101&gt;0,IF(MC_MACHOTE!$M$101="","THHN",MC_MACHOTE!$M$101),"")</f>
        <v/>
      </c>
      <c r="W89" s="46" t="str">
        <f>IF(MC_MACHOTE!$X$101&gt;0,MC_MACHOTE!$BT$101,"")</f>
        <v/>
      </c>
      <c r="X89" s="47" t="str">
        <f>MC_MACHOTE!$C$3</f>
        <v>MACHOTE</v>
      </c>
      <c r="Y89" s="46" t="s">
        <v>872</v>
      </c>
      <c r="Z89" s="47">
        <v>54</v>
      </c>
      <c r="AA89" s="47" t="str">
        <f t="shared" si="4"/>
        <v/>
      </c>
      <c r="AB89" s="47" t="str">
        <f t="shared" si="5"/>
        <v/>
      </c>
      <c r="AC89" s="68" t="str">
        <f>IF(MC_MACHOTE!$X$101&gt;0,IF(MC_MACHOTE!$AJ$101&gt;0,MC_MACHOTE!$AJ$101,""),"")</f>
        <v/>
      </c>
      <c r="AD89" s="61"/>
      <c r="AE89" s="51"/>
      <c r="AF89" s="68" t="str">
        <f>IF(MC_MACHOTE!$X$101&gt;0,IF(MC_MACHOTE!$AK$101&gt;0,MC_MACHOTE!$AK$101,""),"")</f>
        <v/>
      </c>
      <c r="AG89" s="61"/>
      <c r="AH89" s="51"/>
      <c r="AI89" s="68" t="str">
        <f>IF(MC_MACHOTE!$X$101&gt;0,IF(MC_MACHOTE!$AL$101&gt;0,MC_MACHOTE!$AL$101,""),"")</f>
        <v/>
      </c>
      <c r="AJ89" s="51"/>
      <c r="AL89" t="b">
        <f>COUNTIF(MC_MACHOTE!$CA$25:$CB$124,54)&gt;0</f>
        <v>0</v>
      </c>
      <c r="AM89">
        <v>54</v>
      </c>
    </row>
    <row r="90" spans="2:39" ht="23.45" customHeight="1" x14ac:dyDescent="0.45">
      <c r="B90" s="47" t="str">
        <f>MC_MACHOTE!$C$3</f>
        <v>MACHOTE</v>
      </c>
      <c r="C90" s="46" t="s">
        <v>872</v>
      </c>
      <c r="D90" s="47">
        <v>56</v>
      </c>
      <c r="E90" s="47" t="str">
        <f>IF(MC_MACHOTE!$X$102&gt;0,MC_MACHOTE!$CA$102,"")</f>
        <v/>
      </c>
      <c r="F90" s="47" t="str">
        <f>IF(MC_MACHOTE!$X$102&gt;0,MC_MACHOTE!$CB$102,"")</f>
        <v/>
      </c>
      <c r="G90" s="69" t="str">
        <f>IF(MC_MACHOTE!$X$102&gt;0,MC_MACHOTE!$W$102,"")</f>
        <v/>
      </c>
      <c r="H90" s="51"/>
      <c r="I90" s="43" t="str">
        <f>IF(MC_MACHOTE!$X$102&gt;0,MC_MACHOTE!$X$102,"")</f>
        <v/>
      </c>
      <c r="J90" s="43" t="str">
        <f>IF(MC_MACHOTE!$X$102&gt;0,MC_MACHOTE!$BH$102,"")</f>
        <v/>
      </c>
      <c r="K90" s="69" t="str">
        <f>IF(MC_MACHOTE!$X$102&gt;0,MC_MACHOTE!$BL$102,"")</f>
        <v/>
      </c>
      <c r="L90" s="51"/>
      <c r="M90" s="46" t="str">
        <f>IF(MC_MACHOTE!$X$102&gt;0,IF(N(MC_MACHOTE!$BP$102)&gt;0,MC_MACHOTE!$BP$102,""),"")</f>
        <v/>
      </c>
      <c r="N90" s="46" t="str">
        <f>IF(MC_MACHOTE!$X$102&gt;0,MC_MACHOTE!$AT$102,"")</f>
        <v/>
      </c>
      <c r="O90" s="46" t="str">
        <f>IF(MC_MACHOTE!$X$102&gt;0,MC_MACHOTE!$BO$102,"")</f>
        <v/>
      </c>
      <c r="P90" s="46" t="str">
        <f>IF(MC_MACHOTE!$X$102&gt;0,MC_MACHOTE!$BI$102,"")</f>
        <v/>
      </c>
      <c r="Q90" s="46" t="str">
        <f>IF(MC_MACHOTE!$X$102&gt;0,MC_MACHOTE!$BM$102,"")</f>
        <v/>
      </c>
      <c r="R90" s="46" t="str">
        <f>IF(MC_MACHOTE!$X$102&gt;0,MC_MACHOTE!$BQ$102,"")</f>
        <v/>
      </c>
      <c r="S90" s="46" t="str">
        <f>IF(MC_MACHOTE!$X$102&gt;0,MC_MACHOTE!$BR$102,"")</f>
        <v/>
      </c>
      <c r="T90" s="46" t="str">
        <f>IF(MC_MACHOTE!$X$102&gt;0,MC_MACHOTE!$BS$102,"")</f>
        <v/>
      </c>
      <c r="U90" s="46" t="str">
        <f>IF(MC_MACHOTE!$X$102&gt;0,IF(MC_MACHOTE!$L$102="","CU",IF(MC_MACHOTE!$L$102="AL-MC","AL",MC_MACHOTE!$L$102)),"")</f>
        <v/>
      </c>
      <c r="V90" s="46" t="str">
        <f>IF(MC_MACHOTE!$X$102&gt;0,IF(MC_MACHOTE!$M$102="","THHN",MC_MACHOTE!$M$102),"")</f>
        <v/>
      </c>
      <c r="W90" s="46" t="str">
        <f>IF(MC_MACHOTE!$X$102&gt;0,MC_MACHOTE!$BT$102,"")</f>
        <v/>
      </c>
      <c r="X90" s="47" t="str">
        <f>MC_MACHOTE!$C$3</f>
        <v>MACHOTE</v>
      </c>
      <c r="Y90" s="46" t="s">
        <v>872</v>
      </c>
      <c r="Z90" s="47">
        <v>56</v>
      </c>
      <c r="AA90" s="47" t="str">
        <f t="shared" si="4"/>
        <v/>
      </c>
      <c r="AB90" s="47" t="str">
        <f t="shared" si="5"/>
        <v/>
      </c>
      <c r="AC90" s="68" t="str">
        <f>IF(MC_MACHOTE!$X$102&gt;0,IF(MC_MACHOTE!$AJ$102&gt;0,MC_MACHOTE!$AJ$102,""),"")</f>
        <v/>
      </c>
      <c r="AD90" s="61"/>
      <c r="AE90" s="51"/>
      <c r="AF90" s="68" t="str">
        <f>IF(MC_MACHOTE!$X$102&gt;0,IF(MC_MACHOTE!$AK$102&gt;0,MC_MACHOTE!$AK$102,""),"")</f>
        <v/>
      </c>
      <c r="AG90" s="61"/>
      <c r="AH90" s="51"/>
      <c r="AI90" s="68" t="str">
        <f>IF(MC_MACHOTE!$X$102&gt;0,IF(MC_MACHOTE!$AL$102&gt;0,MC_MACHOTE!$AL$102,""),"")</f>
        <v/>
      </c>
      <c r="AJ90" s="51"/>
      <c r="AL90" t="b">
        <f>COUNTIF(MC_MACHOTE!$CA$25:$CB$124,56)&gt;0</f>
        <v>0</v>
      </c>
      <c r="AM90">
        <v>56</v>
      </c>
    </row>
    <row r="91" spans="2:39" ht="23.45" customHeight="1" x14ac:dyDescent="0.45">
      <c r="B91" s="47" t="str">
        <f>MC_MACHOTE!$C$3</f>
        <v>MACHOTE</v>
      </c>
      <c r="C91" s="46" t="s">
        <v>872</v>
      </c>
      <c r="D91" s="47">
        <v>58</v>
      </c>
      <c r="E91" s="47" t="str">
        <f>IF(MC_MACHOTE!$X$103&gt;0,MC_MACHOTE!$CA$103,"")</f>
        <v/>
      </c>
      <c r="F91" s="47" t="str">
        <f>IF(MC_MACHOTE!$X$103&gt;0,MC_MACHOTE!$CB$103,"")</f>
        <v/>
      </c>
      <c r="G91" s="69" t="str">
        <f>IF(MC_MACHOTE!$X$103&gt;0,MC_MACHOTE!$W$103,"")</f>
        <v/>
      </c>
      <c r="H91" s="51"/>
      <c r="I91" s="43" t="str">
        <f>IF(MC_MACHOTE!$X$103&gt;0,MC_MACHOTE!$X$103,"")</f>
        <v/>
      </c>
      <c r="J91" s="43" t="str">
        <f>IF(MC_MACHOTE!$X$103&gt;0,MC_MACHOTE!$BH$103,"")</f>
        <v/>
      </c>
      <c r="K91" s="69" t="str">
        <f>IF(MC_MACHOTE!$X$103&gt;0,MC_MACHOTE!$BL$103,"")</f>
        <v/>
      </c>
      <c r="L91" s="51"/>
      <c r="M91" s="46" t="str">
        <f>IF(MC_MACHOTE!$X$103&gt;0,IF(N(MC_MACHOTE!$BP$103)&gt;0,MC_MACHOTE!$BP$103,""),"")</f>
        <v/>
      </c>
      <c r="N91" s="46" t="str">
        <f>IF(MC_MACHOTE!$X$103&gt;0,MC_MACHOTE!$AT$103,"")</f>
        <v/>
      </c>
      <c r="O91" s="46" t="str">
        <f>IF(MC_MACHOTE!$X$103&gt;0,MC_MACHOTE!$BO$103,"")</f>
        <v/>
      </c>
      <c r="P91" s="46" t="str">
        <f>IF(MC_MACHOTE!$X$103&gt;0,MC_MACHOTE!$BI$103,"")</f>
        <v/>
      </c>
      <c r="Q91" s="46" t="str">
        <f>IF(MC_MACHOTE!$X$103&gt;0,MC_MACHOTE!$BM$103,"")</f>
        <v/>
      </c>
      <c r="R91" s="46" t="str">
        <f>IF(MC_MACHOTE!$X$103&gt;0,MC_MACHOTE!$BQ$103,"")</f>
        <v/>
      </c>
      <c r="S91" s="46" t="str">
        <f>IF(MC_MACHOTE!$X$103&gt;0,MC_MACHOTE!$BR$103,"")</f>
        <v/>
      </c>
      <c r="T91" s="46" t="str">
        <f>IF(MC_MACHOTE!$X$103&gt;0,MC_MACHOTE!$BS$103,"")</f>
        <v/>
      </c>
      <c r="U91" s="46" t="str">
        <f>IF(MC_MACHOTE!$X$103&gt;0,IF(MC_MACHOTE!$L$103="","CU",IF(MC_MACHOTE!$L$103="AL-MC","AL",MC_MACHOTE!$L$103)),"")</f>
        <v/>
      </c>
      <c r="V91" s="46" t="str">
        <f>IF(MC_MACHOTE!$X$103&gt;0,IF(MC_MACHOTE!$M$103="","THHN",MC_MACHOTE!$M$103),"")</f>
        <v/>
      </c>
      <c r="W91" s="46" t="str">
        <f>IF(MC_MACHOTE!$X$103&gt;0,MC_MACHOTE!$BT$103,"")</f>
        <v/>
      </c>
      <c r="X91" s="47" t="str">
        <f>MC_MACHOTE!$C$3</f>
        <v>MACHOTE</v>
      </c>
      <c r="Y91" s="46" t="s">
        <v>872</v>
      </c>
      <c r="Z91" s="47">
        <v>58</v>
      </c>
      <c r="AA91" s="47" t="str">
        <f t="shared" si="4"/>
        <v/>
      </c>
      <c r="AB91" s="47" t="str">
        <f t="shared" si="5"/>
        <v/>
      </c>
      <c r="AC91" s="68" t="str">
        <f>IF(MC_MACHOTE!$X$103&gt;0,IF(MC_MACHOTE!$AJ$103&gt;0,MC_MACHOTE!$AJ$103,""),"")</f>
        <v/>
      </c>
      <c r="AD91" s="61"/>
      <c r="AE91" s="51"/>
      <c r="AF91" s="68" t="str">
        <f>IF(MC_MACHOTE!$X$103&gt;0,IF(MC_MACHOTE!$AK$103&gt;0,MC_MACHOTE!$AK$103,""),"")</f>
        <v/>
      </c>
      <c r="AG91" s="61"/>
      <c r="AH91" s="51"/>
      <c r="AI91" s="68" t="str">
        <f>IF(MC_MACHOTE!$X$103&gt;0,IF(MC_MACHOTE!$AL$103&gt;0,MC_MACHOTE!$AL$103,""),"")</f>
        <v/>
      </c>
      <c r="AJ91" s="51"/>
      <c r="AL91" t="b">
        <f>COUNTIF(MC_MACHOTE!$CA$25:$CB$124,58)&gt;0</f>
        <v>0</v>
      </c>
      <c r="AM91">
        <v>58</v>
      </c>
    </row>
    <row r="92" spans="2:39" ht="23.45" customHeight="1" x14ac:dyDescent="0.45">
      <c r="B92" s="47" t="str">
        <f>MC_MACHOTE!$C$3</f>
        <v>MACHOTE</v>
      </c>
      <c r="C92" s="46" t="s">
        <v>872</v>
      </c>
      <c r="D92" s="47">
        <v>60</v>
      </c>
      <c r="E92" s="47" t="str">
        <f>IF(MC_MACHOTE!$X$104&gt;0,MC_MACHOTE!$CA$104,"")</f>
        <v/>
      </c>
      <c r="F92" s="47" t="str">
        <f>IF(MC_MACHOTE!$X$104&gt;0,MC_MACHOTE!$CB$104,"")</f>
        <v/>
      </c>
      <c r="G92" s="69" t="str">
        <f>IF(MC_MACHOTE!$X$104&gt;0,MC_MACHOTE!$W$104,"")</f>
        <v/>
      </c>
      <c r="H92" s="51"/>
      <c r="I92" s="43" t="str">
        <f>IF(MC_MACHOTE!$X$104&gt;0,MC_MACHOTE!$X$104,"")</f>
        <v/>
      </c>
      <c r="J92" s="43" t="str">
        <f>IF(MC_MACHOTE!$X$104&gt;0,MC_MACHOTE!$BH$104,"")</f>
        <v/>
      </c>
      <c r="K92" s="69" t="str">
        <f>IF(MC_MACHOTE!$X$104&gt;0,MC_MACHOTE!$BL$104,"")</f>
        <v/>
      </c>
      <c r="L92" s="51"/>
      <c r="M92" s="46" t="str">
        <f>IF(MC_MACHOTE!$X$104&gt;0,IF(N(MC_MACHOTE!$BP$104)&gt;0,MC_MACHOTE!$BP$104,""),"")</f>
        <v/>
      </c>
      <c r="N92" s="46" t="str">
        <f>IF(MC_MACHOTE!$X$104&gt;0,MC_MACHOTE!$AT$104,"")</f>
        <v/>
      </c>
      <c r="O92" s="46" t="str">
        <f>IF(MC_MACHOTE!$X$104&gt;0,MC_MACHOTE!$BO$104,"")</f>
        <v/>
      </c>
      <c r="P92" s="46" t="str">
        <f>IF(MC_MACHOTE!$X$104&gt;0,MC_MACHOTE!$BI$104,"")</f>
        <v/>
      </c>
      <c r="Q92" s="46" t="str">
        <f>IF(MC_MACHOTE!$X$104&gt;0,MC_MACHOTE!$BM$104,"")</f>
        <v/>
      </c>
      <c r="R92" s="46" t="str">
        <f>IF(MC_MACHOTE!$X$104&gt;0,MC_MACHOTE!$BQ$104,"")</f>
        <v/>
      </c>
      <c r="S92" s="46" t="str">
        <f>IF(MC_MACHOTE!$X$104&gt;0,MC_MACHOTE!$BR$104,"")</f>
        <v/>
      </c>
      <c r="T92" s="46" t="str">
        <f>IF(MC_MACHOTE!$X$104&gt;0,MC_MACHOTE!$BS$104,"")</f>
        <v/>
      </c>
      <c r="U92" s="46" t="str">
        <f>IF(MC_MACHOTE!$X$104&gt;0,IF(MC_MACHOTE!$L$104="","CU",IF(MC_MACHOTE!$L$104="AL-MC","AL",MC_MACHOTE!$L$104)),"")</f>
        <v/>
      </c>
      <c r="V92" s="46" t="str">
        <f>IF(MC_MACHOTE!$X$104&gt;0,IF(MC_MACHOTE!$M$104="","THHN",MC_MACHOTE!$M$104),"")</f>
        <v/>
      </c>
      <c r="W92" s="46" t="str">
        <f>IF(MC_MACHOTE!$X$104&gt;0,MC_MACHOTE!$BT$104,"")</f>
        <v/>
      </c>
      <c r="X92" s="47" t="str">
        <f>MC_MACHOTE!$C$3</f>
        <v>MACHOTE</v>
      </c>
      <c r="Y92" s="46" t="s">
        <v>872</v>
      </c>
      <c r="Z92" s="47">
        <v>60</v>
      </c>
      <c r="AA92" s="47" t="str">
        <f t="shared" si="4"/>
        <v/>
      </c>
      <c r="AB92" s="47" t="str">
        <f t="shared" si="5"/>
        <v/>
      </c>
      <c r="AC92" s="68" t="str">
        <f>IF(MC_MACHOTE!$X$104&gt;0,IF(MC_MACHOTE!$AJ$104&gt;0,MC_MACHOTE!$AJ$104,""),"")</f>
        <v/>
      </c>
      <c r="AD92" s="61"/>
      <c r="AE92" s="51"/>
      <c r="AF92" s="68" t="str">
        <f>IF(MC_MACHOTE!$X$104&gt;0,IF(MC_MACHOTE!$AK$104&gt;0,MC_MACHOTE!$AK$104,""),"")</f>
        <v/>
      </c>
      <c r="AG92" s="61"/>
      <c r="AH92" s="51"/>
      <c r="AI92" s="68" t="str">
        <f>IF(MC_MACHOTE!$X$104&gt;0,IF(MC_MACHOTE!$AL$104&gt;0,MC_MACHOTE!$AL$104,""),"")</f>
        <v/>
      </c>
      <c r="AJ92" s="51"/>
      <c r="AL92" t="b">
        <f>COUNTIF(MC_MACHOTE!$CA$25:$CB$124,60)&gt;0</f>
        <v>0</v>
      </c>
      <c r="AM92">
        <v>60</v>
      </c>
    </row>
    <row r="93" spans="2:39" ht="23.45" customHeight="1" x14ac:dyDescent="0.45">
      <c r="B93" s="47" t="str">
        <f>MC_MACHOTE!$C$3</f>
        <v>MACHOTE</v>
      </c>
      <c r="C93" s="46" t="s">
        <v>872</v>
      </c>
      <c r="D93" s="47">
        <v>62</v>
      </c>
      <c r="E93" s="47" t="str">
        <f>IF(MC_MACHOTE!$X$105&gt;0,MC_MACHOTE!$CA$105,"")</f>
        <v/>
      </c>
      <c r="F93" s="47" t="str">
        <f>IF(MC_MACHOTE!$X$105&gt;0,MC_MACHOTE!$CB$105,"")</f>
        <v/>
      </c>
      <c r="G93" s="69" t="str">
        <f>IF(MC_MACHOTE!$X$105&gt;0,MC_MACHOTE!$W$105,"")</f>
        <v/>
      </c>
      <c r="H93" s="51"/>
      <c r="I93" s="43" t="str">
        <f>IF(MC_MACHOTE!$X$105&gt;0,MC_MACHOTE!$X$105,"")</f>
        <v/>
      </c>
      <c r="J93" s="43" t="str">
        <f>IF(MC_MACHOTE!$X$105&gt;0,MC_MACHOTE!$BH$105,"")</f>
        <v/>
      </c>
      <c r="K93" s="69" t="str">
        <f>IF(MC_MACHOTE!$X$105&gt;0,MC_MACHOTE!$BL$105,"")</f>
        <v/>
      </c>
      <c r="L93" s="51"/>
      <c r="M93" s="46" t="str">
        <f>IF(MC_MACHOTE!$X$105&gt;0,IF(N(MC_MACHOTE!$BP$105)&gt;0,MC_MACHOTE!$BP$105,""),"")</f>
        <v/>
      </c>
      <c r="N93" s="46" t="str">
        <f>IF(MC_MACHOTE!$X$105&gt;0,MC_MACHOTE!$AT$105,"")</f>
        <v/>
      </c>
      <c r="O93" s="46" t="str">
        <f>IF(MC_MACHOTE!$X$105&gt;0,MC_MACHOTE!$BO$105,"")</f>
        <v/>
      </c>
      <c r="P93" s="46" t="str">
        <f>IF(MC_MACHOTE!$X$105&gt;0,MC_MACHOTE!$BI$105,"")</f>
        <v/>
      </c>
      <c r="Q93" s="46" t="str">
        <f>IF(MC_MACHOTE!$X$105&gt;0,MC_MACHOTE!$BM$105,"")</f>
        <v/>
      </c>
      <c r="R93" s="46" t="str">
        <f>IF(MC_MACHOTE!$X$105&gt;0,MC_MACHOTE!$BQ$105,"")</f>
        <v/>
      </c>
      <c r="S93" s="46" t="str">
        <f>IF(MC_MACHOTE!$X$105&gt;0,MC_MACHOTE!$BR$105,"")</f>
        <v/>
      </c>
      <c r="T93" s="46" t="str">
        <f>IF(MC_MACHOTE!$X$105&gt;0,MC_MACHOTE!$BS$105,"")</f>
        <v/>
      </c>
      <c r="U93" s="46" t="str">
        <f>IF(MC_MACHOTE!$X$105&gt;0,IF(MC_MACHOTE!$L$105="","CU",IF(MC_MACHOTE!$L$105="AL-MC","AL",MC_MACHOTE!$L$105)),"")</f>
        <v/>
      </c>
      <c r="V93" s="46" t="str">
        <f>IF(MC_MACHOTE!$X$105&gt;0,IF(MC_MACHOTE!$M$105="","THHN",MC_MACHOTE!$M$105),"")</f>
        <v/>
      </c>
      <c r="W93" s="46" t="str">
        <f>IF(MC_MACHOTE!$X$105&gt;0,MC_MACHOTE!$BT$105,"")</f>
        <v/>
      </c>
      <c r="X93" s="47" t="str">
        <f>MC_MACHOTE!$C$3</f>
        <v>MACHOTE</v>
      </c>
      <c r="Y93" s="46" t="s">
        <v>872</v>
      </c>
      <c r="Z93" s="47">
        <v>62</v>
      </c>
      <c r="AA93" s="47" t="str">
        <f t="shared" si="4"/>
        <v/>
      </c>
      <c r="AB93" s="47" t="str">
        <f t="shared" si="5"/>
        <v/>
      </c>
      <c r="AC93" s="68" t="str">
        <f>IF(MC_MACHOTE!$X$105&gt;0,IF(MC_MACHOTE!$AJ$105&gt;0,MC_MACHOTE!$AJ$105,""),"")</f>
        <v/>
      </c>
      <c r="AD93" s="61"/>
      <c r="AE93" s="51"/>
      <c r="AF93" s="68" t="str">
        <f>IF(MC_MACHOTE!$X$105&gt;0,IF(MC_MACHOTE!$AK$105&gt;0,MC_MACHOTE!$AK$105,""),"")</f>
        <v/>
      </c>
      <c r="AG93" s="61"/>
      <c r="AH93" s="51"/>
      <c r="AI93" s="68" t="str">
        <f>IF(MC_MACHOTE!$X$105&gt;0,IF(MC_MACHOTE!$AL$105&gt;0,MC_MACHOTE!$AL$105,""),"")</f>
        <v/>
      </c>
      <c r="AJ93" s="51"/>
      <c r="AL93" t="b">
        <f>COUNTIF(MC_MACHOTE!$CA$25:$CB$124,62)&gt;0</f>
        <v>0</v>
      </c>
      <c r="AM93">
        <v>62</v>
      </c>
    </row>
    <row r="94" spans="2:39" ht="23.45" customHeight="1" x14ac:dyDescent="0.45">
      <c r="B94" s="47" t="str">
        <f>MC_MACHOTE!$C$3</f>
        <v>MACHOTE</v>
      </c>
      <c r="C94" s="46" t="s">
        <v>872</v>
      </c>
      <c r="D94" s="47">
        <v>64</v>
      </c>
      <c r="E94" s="47" t="str">
        <f>IF(MC_MACHOTE!$X$106&gt;0,MC_MACHOTE!$CA$106,"")</f>
        <v/>
      </c>
      <c r="F94" s="47" t="str">
        <f>IF(MC_MACHOTE!$X$106&gt;0,MC_MACHOTE!$CB$106,"")</f>
        <v/>
      </c>
      <c r="G94" s="69" t="str">
        <f>IF(MC_MACHOTE!$X$106&gt;0,MC_MACHOTE!$W$106,"")</f>
        <v/>
      </c>
      <c r="H94" s="51"/>
      <c r="I94" s="43" t="str">
        <f>IF(MC_MACHOTE!$X$106&gt;0,MC_MACHOTE!$X$106,"")</f>
        <v/>
      </c>
      <c r="J94" s="43" t="str">
        <f>IF(MC_MACHOTE!$X$106&gt;0,MC_MACHOTE!$BH$106,"")</f>
        <v/>
      </c>
      <c r="K94" s="69" t="str">
        <f>IF(MC_MACHOTE!$X$106&gt;0,MC_MACHOTE!$BL$106,"")</f>
        <v/>
      </c>
      <c r="L94" s="51"/>
      <c r="M94" s="46" t="str">
        <f>IF(MC_MACHOTE!$X$106&gt;0,IF(N(MC_MACHOTE!$BP$106)&gt;0,MC_MACHOTE!$BP$106,""),"")</f>
        <v/>
      </c>
      <c r="N94" s="46" t="str">
        <f>IF(MC_MACHOTE!$X$106&gt;0,MC_MACHOTE!$AT$106,"")</f>
        <v/>
      </c>
      <c r="O94" s="46" t="str">
        <f>IF(MC_MACHOTE!$X$106&gt;0,MC_MACHOTE!$BO$106,"")</f>
        <v/>
      </c>
      <c r="P94" s="46" t="str">
        <f>IF(MC_MACHOTE!$X$106&gt;0,MC_MACHOTE!$BI$106,"")</f>
        <v/>
      </c>
      <c r="Q94" s="46" t="str">
        <f>IF(MC_MACHOTE!$X$106&gt;0,MC_MACHOTE!$BM$106,"")</f>
        <v/>
      </c>
      <c r="R94" s="46" t="str">
        <f>IF(MC_MACHOTE!$X$106&gt;0,MC_MACHOTE!$BQ$106,"")</f>
        <v/>
      </c>
      <c r="S94" s="46" t="str">
        <f>IF(MC_MACHOTE!$X$106&gt;0,MC_MACHOTE!$BR$106,"")</f>
        <v/>
      </c>
      <c r="T94" s="46" t="str">
        <f>IF(MC_MACHOTE!$X$106&gt;0,MC_MACHOTE!$BS$106,"")</f>
        <v/>
      </c>
      <c r="U94" s="46" t="str">
        <f>IF(MC_MACHOTE!$X$106&gt;0,IF(MC_MACHOTE!$L$106="","CU",IF(MC_MACHOTE!$L$106="AL-MC","AL",MC_MACHOTE!$L$106)),"")</f>
        <v/>
      </c>
      <c r="V94" s="46" t="str">
        <f>IF(MC_MACHOTE!$X$106&gt;0,IF(MC_MACHOTE!$M$106="","THHN",MC_MACHOTE!$M$106),"")</f>
        <v/>
      </c>
      <c r="W94" s="46" t="str">
        <f>IF(MC_MACHOTE!$X$106&gt;0,MC_MACHOTE!$BT$106,"")</f>
        <v/>
      </c>
      <c r="X94" s="47" t="str">
        <f>MC_MACHOTE!$C$3</f>
        <v>MACHOTE</v>
      </c>
      <c r="Y94" s="46" t="s">
        <v>872</v>
      </c>
      <c r="Z94" s="47">
        <v>64</v>
      </c>
      <c r="AA94" s="47" t="str">
        <f t="shared" si="4"/>
        <v/>
      </c>
      <c r="AB94" s="47" t="str">
        <f t="shared" si="5"/>
        <v/>
      </c>
      <c r="AC94" s="68" t="str">
        <f>IF(MC_MACHOTE!$X$106&gt;0,IF(MC_MACHOTE!$AJ$106&gt;0,MC_MACHOTE!$AJ$106,""),"")</f>
        <v/>
      </c>
      <c r="AD94" s="61"/>
      <c r="AE94" s="51"/>
      <c r="AF94" s="68" t="str">
        <f>IF(MC_MACHOTE!$X$106&gt;0,IF(MC_MACHOTE!$AK$106&gt;0,MC_MACHOTE!$AK$106,""),"")</f>
        <v/>
      </c>
      <c r="AG94" s="61"/>
      <c r="AH94" s="51"/>
      <c r="AI94" s="68" t="str">
        <f>IF(MC_MACHOTE!$X$106&gt;0,IF(MC_MACHOTE!$AL$106&gt;0,MC_MACHOTE!$AL$106,""),"")</f>
        <v/>
      </c>
      <c r="AJ94" s="51"/>
      <c r="AL94" t="b">
        <f>COUNTIF(MC_MACHOTE!$CA$25:$CB$124,64)&gt;0</f>
        <v>0</v>
      </c>
      <c r="AM94">
        <v>64</v>
      </c>
    </row>
    <row r="95" spans="2:39" ht="23.45" customHeight="1" x14ac:dyDescent="0.45">
      <c r="B95" s="47" t="str">
        <f>MC_MACHOTE!$C$3</f>
        <v>MACHOTE</v>
      </c>
      <c r="C95" s="46" t="s">
        <v>872</v>
      </c>
      <c r="D95" s="47">
        <v>66</v>
      </c>
      <c r="E95" s="47" t="str">
        <f>IF(MC_MACHOTE!$X$107&gt;0,MC_MACHOTE!$CA$107,"")</f>
        <v/>
      </c>
      <c r="F95" s="47" t="str">
        <f>IF(MC_MACHOTE!$X$107&gt;0,MC_MACHOTE!$CB$107,"")</f>
        <v/>
      </c>
      <c r="G95" s="69" t="str">
        <f>IF(MC_MACHOTE!$X$107&gt;0,MC_MACHOTE!$W$107,"")</f>
        <v/>
      </c>
      <c r="H95" s="51"/>
      <c r="I95" s="43" t="str">
        <f>IF(MC_MACHOTE!$X$107&gt;0,MC_MACHOTE!$X$107,"")</f>
        <v/>
      </c>
      <c r="J95" s="43" t="str">
        <f>IF(MC_MACHOTE!$X$107&gt;0,MC_MACHOTE!$BH$107,"")</f>
        <v/>
      </c>
      <c r="K95" s="69" t="str">
        <f>IF(MC_MACHOTE!$X$107&gt;0,MC_MACHOTE!$BL$107,"")</f>
        <v/>
      </c>
      <c r="L95" s="51"/>
      <c r="M95" s="46" t="str">
        <f>IF(MC_MACHOTE!$X$107&gt;0,IF(N(MC_MACHOTE!$BP$107)&gt;0,MC_MACHOTE!$BP$107,""),"")</f>
        <v/>
      </c>
      <c r="N95" s="46" t="str">
        <f>IF(MC_MACHOTE!$X$107&gt;0,MC_MACHOTE!$AT$107,"")</f>
        <v/>
      </c>
      <c r="O95" s="46" t="str">
        <f>IF(MC_MACHOTE!$X$107&gt;0,MC_MACHOTE!$BO$107,"")</f>
        <v/>
      </c>
      <c r="P95" s="46" t="str">
        <f>IF(MC_MACHOTE!$X$107&gt;0,MC_MACHOTE!$BI$107,"")</f>
        <v/>
      </c>
      <c r="Q95" s="46" t="str">
        <f>IF(MC_MACHOTE!$X$107&gt;0,MC_MACHOTE!$BM$107,"")</f>
        <v/>
      </c>
      <c r="R95" s="46" t="str">
        <f>IF(MC_MACHOTE!$X$107&gt;0,MC_MACHOTE!$BQ$107,"")</f>
        <v/>
      </c>
      <c r="S95" s="46" t="str">
        <f>IF(MC_MACHOTE!$X$107&gt;0,MC_MACHOTE!$BR$107,"")</f>
        <v/>
      </c>
      <c r="T95" s="46" t="str">
        <f>IF(MC_MACHOTE!$X$107&gt;0,MC_MACHOTE!$BS$107,"")</f>
        <v/>
      </c>
      <c r="U95" s="46" t="str">
        <f>IF(MC_MACHOTE!$X$107&gt;0,IF(MC_MACHOTE!$L$107="","CU",IF(MC_MACHOTE!$L$107="AL-MC","AL",MC_MACHOTE!$L$107)),"")</f>
        <v/>
      </c>
      <c r="V95" s="46" t="str">
        <f>IF(MC_MACHOTE!$X$107&gt;0,IF(MC_MACHOTE!$M$107="","THHN",MC_MACHOTE!$M$107),"")</f>
        <v/>
      </c>
      <c r="W95" s="46" t="str">
        <f>IF(MC_MACHOTE!$X$107&gt;0,MC_MACHOTE!$BT$107,"")</f>
        <v/>
      </c>
      <c r="X95" s="47" t="str">
        <f>MC_MACHOTE!$C$3</f>
        <v>MACHOTE</v>
      </c>
      <c r="Y95" s="46" t="s">
        <v>872</v>
      </c>
      <c r="Z95" s="47">
        <v>66</v>
      </c>
      <c r="AA95" s="47" t="str">
        <f t="shared" si="4"/>
        <v/>
      </c>
      <c r="AB95" s="47" t="str">
        <f t="shared" si="5"/>
        <v/>
      </c>
      <c r="AC95" s="68" t="str">
        <f>IF(MC_MACHOTE!$X$107&gt;0,IF(MC_MACHOTE!$AJ$107&gt;0,MC_MACHOTE!$AJ$107,""),"")</f>
        <v/>
      </c>
      <c r="AD95" s="61"/>
      <c r="AE95" s="51"/>
      <c r="AF95" s="68" t="str">
        <f>IF(MC_MACHOTE!$X$107&gt;0,IF(MC_MACHOTE!$AK$107&gt;0,MC_MACHOTE!$AK$107,""),"")</f>
        <v/>
      </c>
      <c r="AG95" s="61"/>
      <c r="AH95" s="51"/>
      <c r="AI95" s="68" t="str">
        <f>IF(MC_MACHOTE!$X$107&gt;0,IF(MC_MACHOTE!$AL$107&gt;0,MC_MACHOTE!$AL$107,""),"")</f>
        <v/>
      </c>
      <c r="AJ95" s="51"/>
      <c r="AL95" t="b">
        <f>COUNTIF(MC_MACHOTE!$CA$25:$CB$124,66)&gt;0</f>
        <v>0</v>
      </c>
      <c r="AM95">
        <v>66</v>
      </c>
    </row>
    <row r="96" spans="2:39" ht="23.45" customHeight="1" x14ac:dyDescent="0.45">
      <c r="B96" s="47" t="str">
        <f>MC_MACHOTE!$C$3</f>
        <v>MACHOTE</v>
      </c>
      <c r="C96" s="46" t="s">
        <v>872</v>
      </c>
      <c r="D96" s="47">
        <v>68</v>
      </c>
      <c r="E96" s="47" t="str">
        <f>IF(MC_MACHOTE!$X$108&gt;0,MC_MACHOTE!$CA$108,"")</f>
        <v/>
      </c>
      <c r="F96" s="47" t="str">
        <f>IF(MC_MACHOTE!$X$108&gt;0,MC_MACHOTE!$CB$108,"")</f>
        <v/>
      </c>
      <c r="G96" s="69" t="str">
        <f>IF(MC_MACHOTE!$X$108&gt;0,MC_MACHOTE!$W$108,"")</f>
        <v/>
      </c>
      <c r="H96" s="51"/>
      <c r="I96" s="43" t="str">
        <f>IF(MC_MACHOTE!$X$108&gt;0,MC_MACHOTE!$X$108,"")</f>
        <v/>
      </c>
      <c r="J96" s="43" t="str">
        <f>IF(MC_MACHOTE!$X$108&gt;0,MC_MACHOTE!$BH$108,"")</f>
        <v/>
      </c>
      <c r="K96" s="69" t="str">
        <f>IF(MC_MACHOTE!$X$108&gt;0,MC_MACHOTE!$BL$108,"")</f>
        <v/>
      </c>
      <c r="L96" s="51"/>
      <c r="M96" s="46" t="str">
        <f>IF(MC_MACHOTE!$X$108&gt;0,IF(N(MC_MACHOTE!$BP$108)&gt;0,MC_MACHOTE!$BP$108,""),"")</f>
        <v/>
      </c>
      <c r="N96" s="46" t="str">
        <f>IF(MC_MACHOTE!$X$108&gt;0,MC_MACHOTE!$AT$108,"")</f>
        <v/>
      </c>
      <c r="O96" s="46" t="str">
        <f>IF(MC_MACHOTE!$X$108&gt;0,MC_MACHOTE!$BO$108,"")</f>
        <v/>
      </c>
      <c r="P96" s="46" t="str">
        <f>IF(MC_MACHOTE!$X$108&gt;0,MC_MACHOTE!$BI$108,"")</f>
        <v/>
      </c>
      <c r="Q96" s="46" t="str">
        <f>IF(MC_MACHOTE!$X$108&gt;0,MC_MACHOTE!$BM$108,"")</f>
        <v/>
      </c>
      <c r="R96" s="46" t="str">
        <f>IF(MC_MACHOTE!$X$108&gt;0,MC_MACHOTE!$BQ$108,"")</f>
        <v/>
      </c>
      <c r="S96" s="46" t="str">
        <f>IF(MC_MACHOTE!$X$108&gt;0,MC_MACHOTE!$BR$108,"")</f>
        <v/>
      </c>
      <c r="T96" s="46" t="str">
        <f>IF(MC_MACHOTE!$X$108&gt;0,MC_MACHOTE!$BS$108,"")</f>
        <v/>
      </c>
      <c r="U96" s="46" t="str">
        <f>IF(MC_MACHOTE!$X$108&gt;0,IF(MC_MACHOTE!$L$108="","CU",IF(MC_MACHOTE!$L$108="AL-MC","AL",MC_MACHOTE!$L$108)),"")</f>
        <v/>
      </c>
      <c r="V96" s="46" t="str">
        <f>IF(MC_MACHOTE!$X$108&gt;0,IF(MC_MACHOTE!$M$108="","THHN",MC_MACHOTE!$M$108),"")</f>
        <v/>
      </c>
      <c r="W96" s="46" t="str">
        <f>IF(MC_MACHOTE!$X$108&gt;0,MC_MACHOTE!$BT$108,"")</f>
        <v/>
      </c>
      <c r="X96" s="47" t="str">
        <f>MC_MACHOTE!$C$3</f>
        <v>MACHOTE</v>
      </c>
      <c r="Y96" s="46" t="s">
        <v>872</v>
      </c>
      <c r="Z96" s="47">
        <v>68</v>
      </c>
      <c r="AA96" s="47" t="str">
        <f t="shared" si="4"/>
        <v/>
      </c>
      <c r="AB96" s="47" t="str">
        <f t="shared" si="5"/>
        <v/>
      </c>
      <c r="AC96" s="68" t="str">
        <f>IF(MC_MACHOTE!$X$108&gt;0,IF(MC_MACHOTE!$AJ$108&gt;0,MC_MACHOTE!$AJ$108,""),"")</f>
        <v/>
      </c>
      <c r="AD96" s="61"/>
      <c r="AE96" s="51"/>
      <c r="AF96" s="68" t="str">
        <f>IF(MC_MACHOTE!$X$108&gt;0,IF(MC_MACHOTE!$AK$108&gt;0,MC_MACHOTE!$AK$108,""),"")</f>
        <v/>
      </c>
      <c r="AG96" s="61"/>
      <c r="AH96" s="51"/>
      <c r="AI96" s="68" t="str">
        <f>IF(MC_MACHOTE!$X$108&gt;0,IF(MC_MACHOTE!$AL$108&gt;0,MC_MACHOTE!$AL$108,""),"")</f>
        <v/>
      </c>
      <c r="AJ96" s="51"/>
      <c r="AL96" t="b">
        <f>COUNTIF(MC_MACHOTE!$CA$25:$CB$124,68)&gt;0</f>
        <v>0</v>
      </c>
      <c r="AM96">
        <v>68</v>
      </c>
    </row>
    <row r="97" spans="2:39" ht="23.45" customHeight="1" x14ac:dyDescent="0.45">
      <c r="B97" s="47" t="str">
        <f>MC_MACHOTE!$C$3</f>
        <v>MACHOTE</v>
      </c>
      <c r="C97" s="46" t="s">
        <v>872</v>
      </c>
      <c r="D97" s="47">
        <v>70</v>
      </c>
      <c r="E97" s="47" t="str">
        <f>IF(MC_MACHOTE!$X$109&gt;0,MC_MACHOTE!$CA$109,"")</f>
        <v/>
      </c>
      <c r="F97" s="47" t="str">
        <f>IF(MC_MACHOTE!$X$109&gt;0,MC_MACHOTE!$CB$109,"")</f>
        <v/>
      </c>
      <c r="G97" s="69" t="str">
        <f>IF(MC_MACHOTE!$X$109&gt;0,MC_MACHOTE!$W$109,"")</f>
        <v/>
      </c>
      <c r="H97" s="51"/>
      <c r="I97" s="43" t="str">
        <f>IF(MC_MACHOTE!$X$109&gt;0,MC_MACHOTE!$X$109,"")</f>
        <v/>
      </c>
      <c r="J97" s="43" t="str">
        <f>IF(MC_MACHOTE!$X$109&gt;0,MC_MACHOTE!$BH$109,"")</f>
        <v/>
      </c>
      <c r="K97" s="69" t="str">
        <f>IF(MC_MACHOTE!$X$109&gt;0,MC_MACHOTE!$BL$109,"")</f>
        <v/>
      </c>
      <c r="L97" s="51"/>
      <c r="M97" s="46" t="str">
        <f>IF(MC_MACHOTE!$X$109&gt;0,IF(N(MC_MACHOTE!$BP$109)&gt;0,MC_MACHOTE!$BP$109,""),"")</f>
        <v/>
      </c>
      <c r="N97" s="46" t="str">
        <f>IF(MC_MACHOTE!$X$109&gt;0,MC_MACHOTE!$AT$109,"")</f>
        <v/>
      </c>
      <c r="O97" s="46" t="str">
        <f>IF(MC_MACHOTE!$X$109&gt;0,MC_MACHOTE!$BO$109,"")</f>
        <v/>
      </c>
      <c r="P97" s="46" t="str">
        <f>IF(MC_MACHOTE!$X$109&gt;0,MC_MACHOTE!$BI$109,"")</f>
        <v/>
      </c>
      <c r="Q97" s="46" t="str">
        <f>IF(MC_MACHOTE!$X$109&gt;0,MC_MACHOTE!$BM$109,"")</f>
        <v/>
      </c>
      <c r="R97" s="46" t="str">
        <f>IF(MC_MACHOTE!$X$109&gt;0,MC_MACHOTE!$BQ$109,"")</f>
        <v/>
      </c>
      <c r="S97" s="46" t="str">
        <f>IF(MC_MACHOTE!$X$109&gt;0,MC_MACHOTE!$BR$109,"")</f>
        <v/>
      </c>
      <c r="T97" s="46" t="str">
        <f>IF(MC_MACHOTE!$X$109&gt;0,MC_MACHOTE!$BS$109,"")</f>
        <v/>
      </c>
      <c r="U97" s="46" t="str">
        <f>IF(MC_MACHOTE!$X$109&gt;0,IF(MC_MACHOTE!$L$109="","CU",IF(MC_MACHOTE!$L$109="AL-MC","AL",MC_MACHOTE!$L$109)),"")</f>
        <v/>
      </c>
      <c r="V97" s="46" t="str">
        <f>IF(MC_MACHOTE!$X$109&gt;0,IF(MC_MACHOTE!$M$109="","THHN",MC_MACHOTE!$M$109),"")</f>
        <v/>
      </c>
      <c r="W97" s="46" t="str">
        <f>IF(MC_MACHOTE!$X$109&gt;0,MC_MACHOTE!$BT$109,"")</f>
        <v/>
      </c>
      <c r="X97" s="47" t="str">
        <f>MC_MACHOTE!$C$3</f>
        <v>MACHOTE</v>
      </c>
      <c r="Y97" s="46" t="s">
        <v>872</v>
      </c>
      <c r="Z97" s="47">
        <v>70</v>
      </c>
      <c r="AA97" s="47" t="str">
        <f t="shared" si="4"/>
        <v/>
      </c>
      <c r="AB97" s="47" t="str">
        <f t="shared" si="5"/>
        <v/>
      </c>
      <c r="AC97" s="68" t="str">
        <f>IF(MC_MACHOTE!$X$109&gt;0,IF(MC_MACHOTE!$AJ$109&gt;0,MC_MACHOTE!$AJ$109,""),"")</f>
        <v/>
      </c>
      <c r="AD97" s="61"/>
      <c r="AE97" s="51"/>
      <c r="AF97" s="68" t="str">
        <f>IF(MC_MACHOTE!$X$109&gt;0,IF(MC_MACHOTE!$AK$109&gt;0,MC_MACHOTE!$AK$109,""),"")</f>
        <v/>
      </c>
      <c r="AG97" s="61"/>
      <c r="AH97" s="51"/>
      <c r="AI97" s="68" t="str">
        <f>IF(MC_MACHOTE!$X$109&gt;0,IF(MC_MACHOTE!$AL$109&gt;0,MC_MACHOTE!$AL$109,""),"")</f>
        <v/>
      </c>
      <c r="AJ97" s="51"/>
      <c r="AL97" t="b">
        <f>COUNTIF(MC_MACHOTE!$CA$25:$CB$124,70)&gt;0</f>
        <v>0</v>
      </c>
      <c r="AM97">
        <v>70</v>
      </c>
    </row>
    <row r="98" spans="2:39" ht="23.45" customHeight="1" x14ac:dyDescent="0.45">
      <c r="B98" s="47" t="str">
        <f>MC_MACHOTE!$C$3</f>
        <v>MACHOTE</v>
      </c>
      <c r="C98" s="46" t="s">
        <v>872</v>
      </c>
      <c r="D98" s="47">
        <v>72</v>
      </c>
      <c r="E98" s="47" t="str">
        <f>IF(MC_MACHOTE!$X$110&gt;0,MC_MACHOTE!$CA$110,"")</f>
        <v/>
      </c>
      <c r="F98" s="47" t="str">
        <f>IF(MC_MACHOTE!$X$110&gt;0,MC_MACHOTE!$CB$110,"")</f>
        <v/>
      </c>
      <c r="G98" s="69" t="str">
        <f>IF(MC_MACHOTE!$X$110&gt;0,MC_MACHOTE!$W$110,"")</f>
        <v/>
      </c>
      <c r="H98" s="51"/>
      <c r="I98" s="43" t="str">
        <f>IF(MC_MACHOTE!$X$110&gt;0,MC_MACHOTE!$X$110,"")</f>
        <v/>
      </c>
      <c r="J98" s="43" t="str">
        <f>IF(MC_MACHOTE!$X$110&gt;0,MC_MACHOTE!$BH$110,"")</f>
        <v/>
      </c>
      <c r="K98" s="69" t="str">
        <f>IF(MC_MACHOTE!$X$110&gt;0,MC_MACHOTE!$BL$110,"")</f>
        <v/>
      </c>
      <c r="L98" s="51"/>
      <c r="M98" s="46" t="str">
        <f>IF(MC_MACHOTE!$X$110&gt;0,IF(N(MC_MACHOTE!$BP$110)&gt;0,MC_MACHOTE!$BP$110,""),"")</f>
        <v/>
      </c>
      <c r="N98" s="46" t="str">
        <f>IF(MC_MACHOTE!$X$110&gt;0,MC_MACHOTE!$AT$110,"")</f>
        <v/>
      </c>
      <c r="O98" s="46" t="str">
        <f>IF(MC_MACHOTE!$X$110&gt;0,MC_MACHOTE!$BO$110,"")</f>
        <v/>
      </c>
      <c r="P98" s="46" t="str">
        <f>IF(MC_MACHOTE!$X$110&gt;0,MC_MACHOTE!$BI$110,"")</f>
        <v/>
      </c>
      <c r="Q98" s="46" t="str">
        <f>IF(MC_MACHOTE!$X$110&gt;0,MC_MACHOTE!$BM$110,"")</f>
        <v/>
      </c>
      <c r="R98" s="46" t="str">
        <f>IF(MC_MACHOTE!$X$110&gt;0,MC_MACHOTE!$BQ$110,"")</f>
        <v/>
      </c>
      <c r="S98" s="46" t="str">
        <f>IF(MC_MACHOTE!$X$110&gt;0,MC_MACHOTE!$BR$110,"")</f>
        <v/>
      </c>
      <c r="T98" s="46" t="str">
        <f>IF(MC_MACHOTE!$X$110&gt;0,MC_MACHOTE!$BS$110,"")</f>
        <v/>
      </c>
      <c r="U98" s="46" t="str">
        <f>IF(MC_MACHOTE!$X$110&gt;0,IF(MC_MACHOTE!$L$110="","CU",IF(MC_MACHOTE!$L$110="AL-MC","AL",MC_MACHOTE!$L$110)),"")</f>
        <v/>
      </c>
      <c r="V98" s="46" t="str">
        <f>IF(MC_MACHOTE!$X$110&gt;0,IF(MC_MACHOTE!$M$110="","THHN",MC_MACHOTE!$M$110),"")</f>
        <v/>
      </c>
      <c r="W98" s="46" t="str">
        <f>IF(MC_MACHOTE!$X$110&gt;0,MC_MACHOTE!$BT$110,"")</f>
        <v/>
      </c>
      <c r="X98" s="47" t="str">
        <f>MC_MACHOTE!$C$3</f>
        <v>MACHOTE</v>
      </c>
      <c r="Y98" s="46" t="s">
        <v>872</v>
      </c>
      <c r="Z98" s="47">
        <v>72</v>
      </c>
      <c r="AA98" s="47" t="str">
        <f t="shared" si="4"/>
        <v/>
      </c>
      <c r="AB98" s="47" t="str">
        <f t="shared" si="5"/>
        <v/>
      </c>
      <c r="AC98" s="68" t="str">
        <f>IF(MC_MACHOTE!$X$110&gt;0,IF(MC_MACHOTE!$AJ$110&gt;0,MC_MACHOTE!$AJ$110,""),"")</f>
        <v/>
      </c>
      <c r="AD98" s="61"/>
      <c r="AE98" s="51"/>
      <c r="AF98" s="68" t="str">
        <f>IF(MC_MACHOTE!$X$110&gt;0,IF(MC_MACHOTE!$AK$110&gt;0,MC_MACHOTE!$AK$110,""),"")</f>
        <v/>
      </c>
      <c r="AG98" s="61"/>
      <c r="AH98" s="51"/>
      <c r="AI98" s="68" t="str">
        <f>IF(MC_MACHOTE!$X$110&gt;0,IF(MC_MACHOTE!$AL$110&gt;0,MC_MACHOTE!$AL$110,""),"")</f>
        <v/>
      </c>
      <c r="AJ98" s="51"/>
      <c r="AL98" t="b">
        <f>COUNTIF(MC_MACHOTE!$CA$25:$CB$124,72)&gt;0</f>
        <v>0</v>
      </c>
      <c r="AM98">
        <v>72</v>
      </c>
    </row>
    <row r="99" spans="2:39" ht="23.45" customHeight="1" x14ac:dyDescent="0.45">
      <c r="B99" s="47" t="str">
        <f>MC_MACHOTE!$C$3</f>
        <v>MACHOTE</v>
      </c>
      <c r="C99" s="46" t="s">
        <v>872</v>
      </c>
      <c r="D99" s="47">
        <v>74</v>
      </c>
      <c r="E99" s="47" t="str">
        <f>IF(MC_MACHOTE!$X$111&gt;0,MC_MACHOTE!$CA$111,"")</f>
        <v/>
      </c>
      <c r="F99" s="47" t="str">
        <f>IF(MC_MACHOTE!$X$111&gt;0,MC_MACHOTE!$CB$111,"")</f>
        <v/>
      </c>
      <c r="G99" s="69" t="str">
        <f>IF(MC_MACHOTE!$X$111&gt;0,MC_MACHOTE!$W$111,"")</f>
        <v/>
      </c>
      <c r="H99" s="51"/>
      <c r="I99" s="43" t="str">
        <f>IF(MC_MACHOTE!$X$111&gt;0,MC_MACHOTE!$X$111,"")</f>
        <v/>
      </c>
      <c r="J99" s="43" t="str">
        <f>IF(MC_MACHOTE!$X$111&gt;0,MC_MACHOTE!$BH$111,"")</f>
        <v/>
      </c>
      <c r="K99" s="69" t="str">
        <f>IF(MC_MACHOTE!$X$111&gt;0,MC_MACHOTE!$BL$111,"")</f>
        <v/>
      </c>
      <c r="L99" s="51"/>
      <c r="M99" s="46" t="str">
        <f>IF(MC_MACHOTE!$X$111&gt;0,IF(N(MC_MACHOTE!$BP$111)&gt;0,MC_MACHOTE!$BP$111,""),"")</f>
        <v/>
      </c>
      <c r="N99" s="46" t="str">
        <f>IF(MC_MACHOTE!$X$111&gt;0,MC_MACHOTE!$AT$111,"")</f>
        <v/>
      </c>
      <c r="O99" s="46" t="str">
        <f>IF(MC_MACHOTE!$X$111&gt;0,MC_MACHOTE!$BO$111,"")</f>
        <v/>
      </c>
      <c r="P99" s="46" t="str">
        <f>IF(MC_MACHOTE!$X$111&gt;0,MC_MACHOTE!$BI$111,"")</f>
        <v/>
      </c>
      <c r="Q99" s="46" t="str">
        <f>IF(MC_MACHOTE!$X$111&gt;0,MC_MACHOTE!$BM$111,"")</f>
        <v/>
      </c>
      <c r="R99" s="46" t="str">
        <f>IF(MC_MACHOTE!$X$111&gt;0,MC_MACHOTE!$BQ$111,"")</f>
        <v/>
      </c>
      <c r="S99" s="46" t="str">
        <f>IF(MC_MACHOTE!$X$111&gt;0,MC_MACHOTE!$BR$111,"")</f>
        <v/>
      </c>
      <c r="T99" s="46" t="str">
        <f>IF(MC_MACHOTE!$X$111&gt;0,MC_MACHOTE!$BS$111,"")</f>
        <v/>
      </c>
      <c r="U99" s="46" t="str">
        <f>IF(MC_MACHOTE!$X$111&gt;0,IF(MC_MACHOTE!$L$111="","CU",IF(MC_MACHOTE!$L$111="AL-MC","AL",MC_MACHOTE!$L$111)),"")</f>
        <v/>
      </c>
      <c r="V99" s="46" t="str">
        <f>IF(MC_MACHOTE!$X$111&gt;0,IF(MC_MACHOTE!$M$111="","THHN",MC_MACHOTE!$M$111),"")</f>
        <v/>
      </c>
      <c r="W99" s="46" t="str">
        <f>IF(MC_MACHOTE!$X$111&gt;0,MC_MACHOTE!$BT$111,"")</f>
        <v/>
      </c>
      <c r="X99" s="47" t="str">
        <f>MC_MACHOTE!$C$3</f>
        <v>MACHOTE</v>
      </c>
      <c r="Y99" s="46" t="s">
        <v>872</v>
      </c>
      <c r="Z99" s="47">
        <v>74</v>
      </c>
      <c r="AA99" s="47" t="str">
        <f t="shared" si="4"/>
        <v/>
      </c>
      <c r="AB99" s="47" t="str">
        <f t="shared" si="5"/>
        <v/>
      </c>
      <c r="AC99" s="68" t="str">
        <f>IF(MC_MACHOTE!$X$111&gt;0,IF(MC_MACHOTE!$AJ$111&gt;0,MC_MACHOTE!$AJ$111,""),"")</f>
        <v/>
      </c>
      <c r="AD99" s="61"/>
      <c r="AE99" s="51"/>
      <c r="AF99" s="68" t="str">
        <f>IF(MC_MACHOTE!$X$111&gt;0,IF(MC_MACHOTE!$AK$111&gt;0,MC_MACHOTE!$AK$111,""),"")</f>
        <v/>
      </c>
      <c r="AG99" s="61"/>
      <c r="AH99" s="51"/>
      <c r="AI99" s="68" t="str">
        <f>IF(MC_MACHOTE!$X$111&gt;0,IF(MC_MACHOTE!$AL$111&gt;0,MC_MACHOTE!$AL$111,""),"")</f>
        <v/>
      </c>
      <c r="AJ99" s="51"/>
      <c r="AL99" t="b">
        <f>COUNTIF(MC_MACHOTE!$CA$25:$CB$124,74)&gt;0</f>
        <v>0</v>
      </c>
      <c r="AM99">
        <v>74</v>
      </c>
    </row>
    <row r="100" spans="2:39" ht="23.45" customHeight="1" x14ac:dyDescent="0.45">
      <c r="B100" s="47" t="str">
        <f>MC_MACHOTE!$C$3</f>
        <v>MACHOTE</v>
      </c>
      <c r="C100" s="46" t="s">
        <v>872</v>
      </c>
      <c r="D100" s="47">
        <v>76</v>
      </c>
      <c r="E100" s="47" t="str">
        <f>IF(MC_MACHOTE!$X$112&gt;0,MC_MACHOTE!$CA$112,"")</f>
        <v/>
      </c>
      <c r="F100" s="47" t="str">
        <f>IF(MC_MACHOTE!$X$112&gt;0,MC_MACHOTE!$CB$112,"")</f>
        <v/>
      </c>
      <c r="G100" s="69" t="str">
        <f>IF(MC_MACHOTE!$X$112&gt;0,MC_MACHOTE!$W$112,"")</f>
        <v/>
      </c>
      <c r="H100" s="51"/>
      <c r="I100" s="43" t="str">
        <f>IF(MC_MACHOTE!$X$112&gt;0,MC_MACHOTE!$X$112,"")</f>
        <v/>
      </c>
      <c r="J100" s="43" t="str">
        <f>IF(MC_MACHOTE!$X$112&gt;0,MC_MACHOTE!$BH$112,"")</f>
        <v/>
      </c>
      <c r="K100" s="69" t="str">
        <f>IF(MC_MACHOTE!$X$112&gt;0,MC_MACHOTE!$BL$112,"")</f>
        <v/>
      </c>
      <c r="L100" s="51"/>
      <c r="M100" s="46" t="str">
        <f>IF(MC_MACHOTE!$X$112&gt;0,IF(N(MC_MACHOTE!$BP$112)&gt;0,MC_MACHOTE!$BP$112,""),"")</f>
        <v/>
      </c>
      <c r="N100" s="46" t="str">
        <f>IF(MC_MACHOTE!$X$112&gt;0,MC_MACHOTE!$AT$112,"")</f>
        <v/>
      </c>
      <c r="O100" s="46" t="str">
        <f>IF(MC_MACHOTE!$X$112&gt;0,MC_MACHOTE!$BO$112,"")</f>
        <v/>
      </c>
      <c r="P100" s="46" t="str">
        <f>IF(MC_MACHOTE!$X$112&gt;0,MC_MACHOTE!$BI$112,"")</f>
        <v/>
      </c>
      <c r="Q100" s="46" t="str">
        <f>IF(MC_MACHOTE!$X$112&gt;0,MC_MACHOTE!$BM$112,"")</f>
        <v/>
      </c>
      <c r="R100" s="46" t="str">
        <f>IF(MC_MACHOTE!$X$112&gt;0,MC_MACHOTE!$BQ$112,"")</f>
        <v/>
      </c>
      <c r="S100" s="46" t="str">
        <f>IF(MC_MACHOTE!$X$112&gt;0,MC_MACHOTE!$BR$112,"")</f>
        <v/>
      </c>
      <c r="T100" s="46" t="str">
        <f>IF(MC_MACHOTE!$X$112&gt;0,MC_MACHOTE!$BS$112,"")</f>
        <v/>
      </c>
      <c r="U100" s="46" t="str">
        <f>IF(MC_MACHOTE!$X$112&gt;0,IF(MC_MACHOTE!$L$112="","CU",IF(MC_MACHOTE!$L$112="AL-MC","AL",MC_MACHOTE!$L$112)),"")</f>
        <v/>
      </c>
      <c r="V100" s="46" t="str">
        <f>IF(MC_MACHOTE!$X$112&gt;0,IF(MC_MACHOTE!$M$112="","THHN",MC_MACHOTE!$M$112),"")</f>
        <v/>
      </c>
      <c r="W100" s="46" t="str">
        <f>IF(MC_MACHOTE!$X$112&gt;0,MC_MACHOTE!$BT$112,"")</f>
        <v/>
      </c>
      <c r="X100" s="47" t="str">
        <f>MC_MACHOTE!$C$3</f>
        <v>MACHOTE</v>
      </c>
      <c r="Y100" s="46" t="s">
        <v>872</v>
      </c>
      <c r="Z100" s="47">
        <v>76</v>
      </c>
      <c r="AA100" s="47" t="str">
        <f t="shared" si="4"/>
        <v/>
      </c>
      <c r="AB100" s="47" t="str">
        <f t="shared" si="5"/>
        <v/>
      </c>
      <c r="AC100" s="68" t="str">
        <f>IF(MC_MACHOTE!$X$112&gt;0,IF(MC_MACHOTE!$AJ$112&gt;0,MC_MACHOTE!$AJ$112,""),"")</f>
        <v/>
      </c>
      <c r="AD100" s="61"/>
      <c r="AE100" s="51"/>
      <c r="AF100" s="68" t="str">
        <f>IF(MC_MACHOTE!$X$112&gt;0,IF(MC_MACHOTE!$AK$112&gt;0,MC_MACHOTE!$AK$112,""),"")</f>
        <v/>
      </c>
      <c r="AG100" s="61"/>
      <c r="AH100" s="51"/>
      <c r="AI100" s="68" t="str">
        <f>IF(MC_MACHOTE!$X$112&gt;0,IF(MC_MACHOTE!$AL$112&gt;0,MC_MACHOTE!$AL$112,""),"")</f>
        <v/>
      </c>
      <c r="AJ100" s="51"/>
      <c r="AL100" t="b">
        <f>COUNTIF(MC_MACHOTE!$CA$25:$CB$124,76)&gt;0</f>
        <v>0</v>
      </c>
      <c r="AM100">
        <v>76</v>
      </c>
    </row>
    <row r="101" spans="2:39" ht="23.45" customHeight="1" x14ac:dyDescent="0.45">
      <c r="B101" s="47" t="str">
        <f>MC_MACHOTE!$C$3</f>
        <v>MACHOTE</v>
      </c>
      <c r="C101" s="46" t="s">
        <v>872</v>
      </c>
      <c r="D101" s="47">
        <v>78</v>
      </c>
      <c r="E101" s="47" t="str">
        <f>IF(MC_MACHOTE!$X$113&gt;0,MC_MACHOTE!$CA$113,"")</f>
        <v/>
      </c>
      <c r="F101" s="47" t="str">
        <f>IF(MC_MACHOTE!$X$113&gt;0,MC_MACHOTE!$CB$113,"")</f>
        <v/>
      </c>
      <c r="G101" s="69" t="str">
        <f>IF(MC_MACHOTE!$X$113&gt;0,MC_MACHOTE!$W$113,"")</f>
        <v/>
      </c>
      <c r="H101" s="51"/>
      <c r="I101" s="43" t="str">
        <f>IF(MC_MACHOTE!$X$113&gt;0,MC_MACHOTE!$X$113,"")</f>
        <v/>
      </c>
      <c r="J101" s="43" t="str">
        <f>IF(MC_MACHOTE!$X$113&gt;0,MC_MACHOTE!$BH$113,"")</f>
        <v/>
      </c>
      <c r="K101" s="69" t="str">
        <f>IF(MC_MACHOTE!$X$113&gt;0,MC_MACHOTE!$BL$113,"")</f>
        <v/>
      </c>
      <c r="L101" s="51"/>
      <c r="M101" s="46" t="str">
        <f>IF(MC_MACHOTE!$X$113&gt;0,IF(N(MC_MACHOTE!$BP$113)&gt;0,MC_MACHOTE!$BP$113,""),"")</f>
        <v/>
      </c>
      <c r="N101" s="46" t="str">
        <f>IF(MC_MACHOTE!$X$113&gt;0,MC_MACHOTE!$AT$113,"")</f>
        <v/>
      </c>
      <c r="O101" s="46" t="str">
        <f>IF(MC_MACHOTE!$X$113&gt;0,MC_MACHOTE!$BO$113,"")</f>
        <v/>
      </c>
      <c r="P101" s="46" t="str">
        <f>IF(MC_MACHOTE!$X$113&gt;0,MC_MACHOTE!$BI$113,"")</f>
        <v/>
      </c>
      <c r="Q101" s="46" t="str">
        <f>IF(MC_MACHOTE!$X$113&gt;0,MC_MACHOTE!$BM$113,"")</f>
        <v/>
      </c>
      <c r="R101" s="46" t="str">
        <f>IF(MC_MACHOTE!$X$113&gt;0,MC_MACHOTE!$BQ$113,"")</f>
        <v/>
      </c>
      <c r="S101" s="46" t="str">
        <f>IF(MC_MACHOTE!$X$113&gt;0,MC_MACHOTE!$BR$113,"")</f>
        <v/>
      </c>
      <c r="T101" s="46" t="str">
        <f>IF(MC_MACHOTE!$X$113&gt;0,MC_MACHOTE!$BS$113,"")</f>
        <v/>
      </c>
      <c r="U101" s="46" t="str">
        <f>IF(MC_MACHOTE!$X$113&gt;0,IF(MC_MACHOTE!$L$113="","CU",IF(MC_MACHOTE!$L$113="AL-MC","AL",MC_MACHOTE!$L$113)),"")</f>
        <v/>
      </c>
      <c r="V101" s="46" t="str">
        <f>IF(MC_MACHOTE!$X$113&gt;0,IF(MC_MACHOTE!$M$113="","THHN",MC_MACHOTE!$M$113),"")</f>
        <v/>
      </c>
      <c r="W101" s="46" t="str">
        <f>IF(MC_MACHOTE!$X$113&gt;0,MC_MACHOTE!$BT$113,"")</f>
        <v/>
      </c>
      <c r="X101" s="47" t="str">
        <f>MC_MACHOTE!$C$3</f>
        <v>MACHOTE</v>
      </c>
      <c r="Y101" s="46" t="s">
        <v>872</v>
      </c>
      <c r="Z101" s="47">
        <v>78</v>
      </c>
      <c r="AA101" s="47" t="str">
        <f t="shared" si="4"/>
        <v/>
      </c>
      <c r="AB101" s="47" t="str">
        <f t="shared" si="5"/>
        <v/>
      </c>
      <c r="AC101" s="68" t="str">
        <f>IF(MC_MACHOTE!$X$113&gt;0,IF(MC_MACHOTE!$AJ$113&gt;0,MC_MACHOTE!$AJ$113,""),"")</f>
        <v/>
      </c>
      <c r="AD101" s="61"/>
      <c r="AE101" s="51"/>
      <c r="AF101" s="68" t="str">
        <f>IF(MC_MACHOTE!$X$113&gt;0,IF(MC_MACHOTE!$AK$113&gt;0,MC_MACHOTE!$AK$113,""),"")</f>
        <v/>
      </c>
      <c r="AG101" s="61"/>
      <c r="AH101" s="51"/>
      <c r="AI101" s="68" t="str">
        <f>IF(MC_MACHOTE!$X$113&gt;0,IF(MC_MACHOTE!$AL$113&gt;0,MC_MACHOTE!$AL$113,""),"")</f>
        <v/>
      </c>
      <c r="AJ101" s="51"/>
      <c r="AL101" t="b">
        <f>COUNTIF(MC_MACHOTE!$CA$25:$CB$124,78)&gt;0</f>
        <v>0</v>
      </c>
      <c r="AM101">
        <v>78</v>
      </c>
    </row>
    <row r="102" spans="2:39" ht="23.45" customHeight="1" x14ac:dyDescent="0.45">
      <c r="B102" s="47" t="str">
        <f>MC_MACHOTE!$C$3</f>
        <v>MACHOTE</v>
      </c>
      <c r="C102" s="46" t="s">
        <v>872</v>
      </c>
      <c r="D102" s="47">
        <v>80</v>
      </c>
      <c r="E102" s="47" t="str">
        <f>IF(MC_MACHOTE!$X$114&gt;0,MC_MACHOTE!$CA$114,"")</f>
        <v/>
      </c>
      <c r="F102" s="47" t="str">
        <f>IF(MC_MACHOTE!$X$114&gt;0,MC_MACHOTE!$CB$114,"")</f>
        <v/>
      </c>
      <c r="G102" s="69" t="str">
        <f>IF(MC_MACHOTE!$X$114&gt;0,MC_MACHOTE!$W$114,"")</f>
        <v/>
      </c>
      <c r="H102" s="51"/>
      <c r="I102" s="43" t="str">
        <f>IF(MC_MACHOTE!$X$114&gt;0,MC_MACHOTE!$X$114,"")</f>
        <v/>
      </c>
      <c r="J102" s="43" t="str">
        <f>IF(MC_MACHOTE!$X$114&gt;0,MC_MACHOTE!$BH$114,"")</f>
        <v/>
      </c>
      <c r="K102" s="69" t="str">
        <f>IF(MC_MACHOTE!$X$114&gt;0,MC_MACHOTE!$BL$114,"")</f>
        <v/>
      </c>
      <c r="L102" s="51"/>
      <c r="M102" s="46" t="str">
        <f>IF(MC_MACHOTE!$X$114&gt;0,IF(N(MC_MACHOTE!$BP$114)&gt;0,MC_MACHOTE!$BP$114,""),"")</f>
        <v/>
      </c>
      <c r="N102" s="46" t="str">
        <f>IF(MC_MACHOTE!$X$114&gt;0,MC_MACHOTE!$AT$114,"")</f>
        <v/>
      </c>
      <c r="O102" s="46" t="str">
        <f>IF(MC_MACHOTE!$X$114&gt;0,MC_MACHOTE!$BO$114,"")</f>
        <v/>
      </c>
      <c r="P102" s="46" t="str">
        <f>IF(MC_MACHOTE!$X$114&gt;0,MC_MACHOTE!$BI$114,"")</f>
        <v/>
      </c>
      <c r="Q102" s="46" t="str">
        <f>IF(MC_MACHOTE!$X$114&gt;0,MC_MACHOTE!$BM$114,"")</f>
        <v/>
      </c>
      <c r="R102" s="46" t="str">
        <f>IF(MC_MACHOTE!$X$114&gt;0,MC_MACHOTE!$BQ$114,"")</f>
        <v/>
      </c>
      <c r="S102" s="46" t="str">
        <f>IF(MC_MACHOTE!$X$114&gt;0,MC_MACHOTE!$BR$114,"")</f>
        <v/>
      </c>
      <c r="T102" s="46" t="str">
        <f>IF(MC_MACHOTE!$X$114&gt;0,MC_MACHOTE!$BS$114,"")</f>
        <v/>
      </c>
      <c r="U102" s="46" t="str">
        <f>IF(MC_MACHOTE!$X$114&gt;0,IF(MC_MACHOTE!$L$114="","CU",IF(MC_MACHOTE!$L$114="AL-MC","AL",MC_MACHOTE!$L$114)),"")</f>
        <v/>
      </c>
      <c r="V102" s="46" t="str">
        <f>IF(MC_MACHOTE!$X$114&gt;0,IF(MC_MACHOTE!$M$114="","THHN",MC_MACHOTE!$M$114),"")</f>
        <v/>
      </c>
      <c r="W102" s="46" t="str">
        <f>IF(MC_MACHOTE!$X$114&gt;0,MC_MACHOTE!$BT$114,"")</f>
        <v/>
      </c>
      <c r="X102" s="47" t="str">
        <f>MC_MACHOTE!$C$3</f>
        <v>MACHOTE</v>
      </c>
      <c r="Y102" s="46" t="s">
        <v>872</v>
      </c>
      <c r="Z102" s="47">
        <v>80</v>
      </c>
      <c r="AA102" s="47" t="str">
        <f t="shared" si="4"/>
        <v/>
      </c>
      <c r="AB102" s="47" t="str">
        <f t="shared" si="5"/>
        <v/>
      </c>
      <c r="AC102" s="68" t="str">
        <f>IF(MC_MACHOTE!$X$114&gt;0,IF(MC_MACHOTE!$AJ$114&gt;0,MC_MACHOTE!$AJ$114,""),"")</f>
        <v/>
      </c>
      <c r="AD102" s="61"/>
      <c r="AE102" s="51"/>
      <c r="AF102" s="68" t="str">
        <f>IF(MC_MACHOTE!$X$114&gt;0,IF(MC_MACHOTE!$AK$114&gt;0,MC_MACHOTE!$AK$114,""),"")</f>
        <v/>
      </c>
      <c r="AG102" s="61"/>
      <c r="AH102" s="51"/>
      <c r="AI102" s="68" t="str">
        <f>IF(MC_MACHOTE!$X$114&gt;0,IF(MC_MACHOTE!$AL$114&gt;0,MC_MACHOTE!$AL$114,""),"")</f>
        <v/>
      </c>
      <c r="AJ102" s="51"/>
      <c r="AL102" t="b">
        <f>COUNTIF(MC_MACHOTE!$CA$25:$CB$124,80)&gt;0</f>
        <v>0</v>
      </c>
      <c r="AM102">
        <v>80</v>
      </c>
    </row>
    <row r="103" spans="2:39" ht="23.45" customHeight="1" x14ac:dyDescent="0.45">
      <c r="B103" s="47" t="str">
        <f>MC_MACHOTE!$C$3</f>
        <v>MACHOTE</v>
      </c>
      <c r="C103" s="46" t="s">
        <v>872</v>
      </c>
      <c r="D103" s="47">
        <v>82</v>
      </c>
      <c r="E103" s="47" t="str">
        <f>IF(MC_MACHOTE!$X$115&gt;0,MC_MACHOTE!$CA$115,"")</f>
        <v/>
      </c>
      <c r="F103" s="47" t="str">
        <f>IF(MC_MACHOTE!$X$115&gt;0,MC_MACHOTE!$CB$115,"")</f>
        <v/>
      </c>
      <c r="G103" s="69" t="str">
        <f>IF(MC_MACHOTE!$X$115&gt;0,MC_MACHOTE!$W$115,"")</f>
        <v/>
      </c>
      <c r="H103" s="51"/>
      <c r="I103" s="43" t="str">
        <f>IF(MC_MACHOTE!$X$115&gt;0,MC_MACHOTE!$X$115,"")</f>
        <v/>
      </c>
      <c r="J103" s="43" t="str">
        <f>IF(MC_MACHOTE!$X$115&gt;0,MC_MACHOTE!$BH$115,"")</f>
        <v/>
      </c>
      <c r="K103" s="69" t="str">
        <f>IF(MC_MACHOTE!$X$115&gt;0,MC_MACHOTE!$BL$115,"")</f>
        <v/>
      </c>
      <c r="L103" s="51"/>
      <c r="M103" s="46" t="str">
        <f>IF(MC_MACHOTE!$X$115&gt;0,IF(N(MC_MACHOTE!$BP$115)&gt;0,MC_MACHOTE!$BP$115,""),"")</f>
        <v/>
      </c>
      <c r="N103" s="46" t="str">
        <f>IF(MC_MACHOTE!$X$115&gt;0,MC_MACHOTE!$AT$115,"")</f>
        <v/>
      </c>
      <c r="O103" s="46" t="str">
        <f>IF(MC_MACHOTE!$X$115&gt;0,MC_MACHOTE!$BO$115,"")</f>
        <v/>
      </c>
      <c r="P103" s="46" t="str">
        <f>IF(MC_MACHOTE!$X$115&gt;0,MC_MACHOTE!$BI$115,"")</f>
        <v/>
      </c>
      <c r="Q103" s="46" t="str">
        <f>IF(MC_MACHOTE!$X$115&gt;0,MC_MACHOTE!$BM$115,"")</f>
        <v/>
      </c>
      <c r="R103" s="46" t="str">
        <f>IF(MC_MACHOTE!$X$115&gt;0,MC_MACHOTE!$BQ$115,"")</f>
        <v/>
      </c>
      <c r="S103" s="46" t="str">
        <f>IF(MC_MACHOTE!$X$115&gt;0,MC_MACHOTE!$BR$115,"")</f>
        <v/>
      </c>
      <c r="T103" s="46" t="str">
        <f>IF(MC_MACHOTE!$X$115&gt;0,MC_MACHOTE!$BS$115,"")</f>
        <v/>
      </c>
      <c r="U103" s="46" t="str">
        <f>IF(MC_MACHOTE!$X$115&gt;0,IF(MC_MACHOTE!$L$115="","CU",IF(MC_MACHOTE!$L$115="AL-MC","AL",MC_MACHOTE!$L$115)),"")</f>
        <v/>
      </c>
      <c r="V103" s="46" t="str">
        <f>IF(MC_MACHOTE!$X$115&gt;0,IF(MC_MACHOTE!$M$115="","THHN",MC_MACHOTE!$M$115),"")</f>
        <v/>
      </c>
      <c r="W103" s="46" t="str">
        <f>IF(MC_MACHOTE!$X$115&gt;0,MC_MACHOTE!$BT$115,"")</f>
        <v/>
      </c>
      <c r="X103" s="47" t="str">
        <f>MC_MACHOTE!$C$3</f>
        <v>MACHOTE</v>
      </c>
      <c r="Y103" s="46" t="s">
        <v>872</v>
      </c>
      <c r="Z103" s="47">
        <v>82</v>
      </c>
      <c r="AA103" s="47" t="str">
        <f t="shared" si="4"/>
        <v/>
      </c>
      <c r="AB103" s="47" t="str">
        <f t="shared" si="5"/>
        <v/>
      </c>
      <c r="AC103" s="68" t="str">
        <f>IF(MC_MACHOTE!$X$115&gt;0,IF(MC_MACHOTE!$AJ$115&gt;0,MC_MACHOTE!$AJ$115,""),"")</f>
        <v/>
      </c>
      <c r="AD103" s="61"/>
      <c r="AE103" s="51"/>
      <c r="AF103" s="68" t="str">
        <f>IF(MC_MACHOTE!$X$115&gt;0,IF(MC_MACHOTE!$AK$115&gt;0,MC_MACHOTE!$AK$115,""),"")</f>
        <v/>
      </c>
      <c r="AG103" s="61"/>
      <c r="AH103" s="51"/>
      <c r="AI103" s="68" t="str">
        <f>IF(MC_MACHOTE!$X$115&gt;0,IF(MC_MACHOTE!$AL$115&gt;0,MC_MACHOTE!$AL$115,""),"")</f>
        <v/>
      </c>
      <c r="AJ103" s="51"/>
      <c r="AL103" t="b">
        <f>COUNTIF(MC_MACHOTE!$CA$25:$CB$124,82)&gt;0</f>
        <v>0</v>
      </c>
      <c r="AM103">
        <v>82</v>
      </c>
    </row>
    <row r="104" spans="2:39" ht="23.45" customHeight="1" x14ac:dyDescent="0.45">
      <c r="B104" s="47" t="str">
        <f>MC_MACHOTE!$C$3</f>
        <v>MACHOTE</v>
      </c>
      <c r="C104" s="46" t="s">
        <v>872</v>
      </c>
      <c r="D104" s="47">
        <v>84</v>
      </c>
      <c r="E104" s="47" t="str">
        <f>IF(MC_MACHOTE!$X$116&gt;0,MC_MACHOTE!$CA$116,"")</f>
        <v/>
      </c>
      <c r="F104" s="47" t="str">
        <f>IF(MC_MACHOTE!$X$116&gt;0,MC_MACHOTE!$CB$116,"")</f>
        <v/>
      </c>
      <c r="G104" s="69" t="str">
        <f>IF(MC_MACHOTE!$X$116&gt;0,MC_MACHOTE!$W$116,"")</f>
        <v/>
      </c>
      <c r="H104" s="51"/>
      <c r="I104" s="43" t="str">
        <f>IF(MC_MACHOTE!$X$116&gt;0,MC_MACHOTE!$X$116,"")</f>
        <v/>
      </c>
      <c r="J104" s="43" t="str">
        <f>IF(MC_MACHOTE!$X$116&gt;0,MC_MACHOTE!$BH$116,"")</f>
        <v/>
      </c>
      <c r="K104" s="69" t="str">
        <f>IF(MC_MACHOTE!$X$116&gt;0,MC_MACHOTE!$BL$116,"")</f>
        <v/>
      </c>
      <c r="L104" s="51"/>
      <c r="M104" s="46" t="str">
        <f>IF(MC_MACHOTE!$X$116&gt;0,IF(N(MC_MACHOTE!$BP$116)&gt;0,MC_MACHOTE!$BP$116,""),"")</f>
        <v/>
      </c>
      <c r="N104" s="46" t="str">
        <f>IF(MC_MACHOTE!$X$116&gt;0,MC_MACHOTE!$AT$116,"")</f>
        <v/>
      </c>
      <c r="O104" s="46" t="str">
        <f>IF(MC_MACHOTE!$X$116&gt;0,MC_MACHOTE!$BO$116,"")</f>
        <v/>
      </c>
      <c r="P104" s="46" t="str">
        <f>IF(MC_MACHOTE!$X$116&gt;0,MC_MACHOTE!$BI$116,"")</f>
        <v/>
      </c>
      <c r="Q104" s="46" t="str">
        <f>IF(MC_MACHOTE!$X$116&gt;0,MC_MACHOTE!$BM$116,"")</f>
        <v/>
      </c>
      <c r="R104" s="46" t="str">
        <f>IF(MC_MACHOTE!$X$116&gt;0,MC_MACHOTE!$BQ$116,"")</f>
        <v/>
      </c>
      <c r="S104" s="46" t="str">
        <f>IF(MC_MACHOTE!$X$116&gt;0,MC_MACHOTE!$BR$116,"")</f>
        <v/>
      </c>
      <c r="T104" s="46" t="str">
        <f>IF(MC_MACHOTE!$X$116&gt;0,MC_MACHOTE!$BS$116,"")</f>
        <v/>
      </c>
      <c r="U104" s="46" t="str">
        <f>IF(MC_MACHOTE!$X$116&gt;0,IF(MC_MACHOTE!$L$116="","CU",IF(MC_MACHOTE!$L$116="AL-MC","AL",MC_MACHOTE!$L$116)),"")</f>
        <v/>
      </c>
      <c r="V104" s="46" t="str">
        <f>IF(MC_MACHOTE!$X$116&gt;0,IF(MC_MACHOTE!$M$116="","THHN",MC_MACHOTE!$M$116),"")</f>
        <v/>
      </c>
      <c r="W104" s="46" t="str">
        <f>IF(MC_MACHOTE!$X$116&gt;0,MC_MACHOTE!$BT$116,"")</f>
        <v/>
      </c>
      <c r="X104" s="47" t="str">
        <f>MC_MACHOTE!$C$3</f>
        <v>MACHOTE</v>
      </c>
      <c r="Y104" s="46" t="s">
        <v>872</v>
      </c>
      <c r="Z104" s="47">
        <v>84</v>
      </c>
      <c r="AA104" s="47" t="str">
        <f t="shared" si="4"/>
        <v/>
      </c>
      <c r="AB104" s="47" t="str">
        <f t="shared" si="5"/>
        <v/>
      </c>
      <c r="AC104" s="68" t="str">
        <f>IF(MC_MACHOTE!$X$116&gt;0,IF(MC_MACHOTE!$AJ$116&gt;0,MC_MACHOTE!$AJ$116,""),"")</f>
        <v/>
      </c>
      <c r="AD104" s="61"/>
      <c r="AE104" s="51"/>
      <c r="AF104" s="68" t="str">
        <f>IF(MC_MACHOTE!$X$116&gt;0,IF(MC_MACHOTE!$AK$116&gt;0,MC_MACHOTE!$AK$116,""),"")</f>
        <v/>
      </c>
      <c r="AG104" s="61"/>
      <c r="AH104" s="51"/>
      <c r="AI104" s="68" t="str">
        <f>IF(MC_MACHOTE!$X$116&gt;0,IF(MC_MACHOTE!$AL$116&gt;0,MC_MACHOTE!$AL$116,""),"")</f>
        <v/>
      </c>
      <c r="AJ104" s="51"/>
      <c r="AL104" t="b">
        <f>COUNTIF(MC_MACHOTE!$CA$25:$CB$124,84)&gt;0</f>
        <v>0</v>
      </c>
      <c r="AM104">
        <v>84</v>
      </c>
    </row>
    <row r="105" spans="2:39" ht="23.45" customHeight="1" x14ac:dyDescent="0.45">
      <c r="B105" s="47" t="str">
        <f>MC_MACHOTE!$C$3</f>
        <v>MACHOTE</v>
      </c>
      <c r="C105" s="46" t="s">
        <v>872</v>
      </c>
      <c r="D105" s="47">
        <v>86</v>
      </c>
      <c r="E105" s="47" t="str">
        <f>IF(MC_MACHOTE!$X$117&gt;0,MC_MACHOTE!$CA$117,"")</f>
        <v/>
      </c>
      <c r="F105" s="47" t="str">
        <f>IF(MC_MACHOTE!$X$117&gt;0,MC_MACHOTE!$CB$117,"")</f>
        <v/>
      </c>
      <c r="G105" s="69" t="str">
        <f>IF(MC_MACHOTE!$X$117&gt;0,MC_MACHOTE!$W$117,"")</f>
        <v/>
      </c>
      <c r="H105" s="51"/>
      <c r="I105" s="43" t="str">
        <f>IF(MC_MACHOTE!$X$117&gt;0,MC_MACHOTE!$X$117,"")</f>
        <v/>
      </c>
      <c r="J105" s="43" t="str">
        <f>IF(MC_MACHOTE!$X$117&gt;0,MC_MACHOTE!$BH$117,"")</f>
        <v/>
      </c>
      <c r="K105" s="69" t="str">
        <f>IF(MC_MACHOTE!$X$117&gt;0,MC_MACHOTE!$BL$117,"")</f>
        <v/>
      </c>
      <c r="L105" s="51"/>
      <c r="M105" s="46" t="str">
        <f>IF(MC_MACHOTE!$X$117&gt;0,IF(N(MC_MACHOTE!$BP$117)&gt;0,MC_MACHOTE!$BP$117,""),"")</f>
        <v/>
      </c>
      <c r="N105" s="46" t="str">
        <f>IF(MC_MACHOTE!$X$117&gt;0,MC_MACHOTE!$AT$117,"")</f>
        <v/>
      </c>
      <c r="O105" s="46" t="str">
        <f>IF(MC_MACHOTE!$X$117&gt;0,MC_MACHOTE!$BO$117,"")</f>
        <v/>
      </c>
      <c r="P105" s="46" t="str">
        <f>IF(MC_MACHOTE!$X$117&gt;0,MC_MACHOTE!$BI$117,"")</f>
        <v/>
      </c>
      <c r="Q105" s="46" t="str">
        <f>IF(MC_MACHOTE!$X$117&gt;0,MC_MACHOTE!$BM$117,"")</f>
        <v/>
      </c>
      <c r="R105" s="46" t="str">
        <f>IF(MC_MACHOTE!$X$117&gt;0,MC_MACHOTE!$BQ$117,"")</f>
        <v/>
      </c>
      <c r="S105" s="46" t="str">
        <f>IF(MC_MACHOTE!$X$117&gt;0,MC_MACHOTE!$BR$117,"")</f>
        <v/>
      </c>
      <c r="T105" s="46" t="str">
        <f>IF(MC_MACHOTE!$X$117&gt;0,MC_MACHOTE!$BS$117,"")</f>
        <v/>
      </c>
      <c r="U105" s="46" t="str">
        <f>IF(MC_MACHOTE!$X$117&gt;0,IF(MC_MACHOTE!$L$117="","CU",IF(MC_MACHOTE!$L$117="AL-MC","AL",MC_MACHOTE!$L$117)),"")</f>
        <v/>
      </c>
      <c r="V105" s="46" t="str">
        <f>IF(MC_MACHOTE!$X$117&gt;0,IF(MC_MACHOTE!$M$117="","THHN",MC_MACHOTE!$M$117),"")</f>
        <v/>
      </c>
      <c r="W105" s="46" t="str">
        <f>IF(MC_MACHOTE!$X$117&gt;0,MC_MACHOTE!$BT$117,"")</f>
        <v/>
      </c>
      <c r="X105" s="47" t="str">
        <f>MC_MACHOTE!$C$3</f>
        <v>MACHOTE</v>
      </c>
      <c r="Y105" s="46" t="s">
        <v>872</v>
      </c>
      <c r="Z105" s="47">
        <v>86</v>
      </c>
      <c r="AA105" s="47" t="str">
        <f t="shared" si="4"/>
        <v/>
      </c>
      <c r="AB105" s="47" t="str">
        <f t="shared" si="5"/>
        <v/>
      </c>
      <c r="AC105" s="68" t="str">
        <f>IF(MC_MACHOTE!$X$117&gt;0,IF(MC_MACHOTE!$AJ$117&gt;0,MC_MACHOTE!$AJ$117,""),"")</f>
        <v/>
      </c>
      <c r="AD105" s="61"/>
      <c r="AE105" s="51"/>
      <c r="AF105" s="68" t="str">
        <f>IF(MC_MACHOTE!$X$117&gt;0,IF(MC_MACHOTE!$AK$117&gt;0,MC_MACHOTE!$AK$117,""),"")</f>
        <v/>
      </c>
      <c r="AG105" s="61"/>
      <c r="AH105" s="51"/>
      <c r="AI105" s="68" t="str">
        <f>IF(MC_MACHOTE!$X$117&gt;0,IF(MC_MACHOTE!$AL$117&gt;0,MC_MACHOTE!$AL$117,""),"")</f>
        <v/>
      </c>
      <c r="AJ105" s="51"/>
      <c r="AL105" t="b">
        <f>COUNTIF(MC_MACHOTE!$CA$25:$CB$124,86)&gt;0</f>
        <v>0</v>
      </c>
      <c r="AM105">
        <v>86</v>
      </c>
    </row>
    <row r="106" spans="2:39" ht="23.45" customHeight="1" x14ac:dyDescent="0.45">
      <c r="B106" s="47" t="str">
        <f>MC_MACHOTE!$C$3</f>
        <v>MACHOTE</v>
      </c>
      <c r="C106" s="46" t="s">
        <v>872</v>
      </c>
      <c r="D106" s="47">
        <v>88</v>
      </c>
      <c r="E106" s="47" t="str">
        <f>IF(MC_MACHOTE!$X$118&gt;0,MC_MACHOTE!$CA$118,"")</f>
        <v/>
      </c>
      <c r="F106" s="47" t="str">
        <f>IF(MC_MACHOTE!$X$118&gt;0,MC_MACHOTE!$CB$118,"")</f>
        <v/>
      </c>
      <c r="G106" s="69" t="str">
        <f>IF(MC_MACHOTE!$X$118&gt;0,MC_MACHOTE!$W$118,"")</f>
        <v/>
      </c>
      <c r="H106" s="51"/>
      <c r="I106" s="43" t="str">
        <f>IF(MC_MACHOTE!$X$118&gt;0,MC_MACHOTE!$X$118,"")</f>
        <v/>
      </c>
      <c r="J106" s="43" t="str">
        <f>IF(MC_MACHOTE!$X$118&gt;0,MC_MACHOTE!$BH$118,"")</f>
        <v/>
      </c>
      <c r="K106" s="69" t="str">
        <f>IF(MC_MACHOTE!$X$118&gt;0,MC_MACHOTE!$BL$118,"")</f>
        <v/>
      </c>
      <c r="L106" s="51"/>
      <c r="M106" s="46" t="str">
        <f>IF(MC_MACHOTE!$X$118&gt;0,IF(N(MC_MACHOTE!$BP$118)&gt;0,MC_MACHOTE!$BP$118,""),"")</f>
        <v/>
      </c>
      <c r="N106" s="46" t="str">
        <f>IF(MC_MACHOTE!$X$118&gt;0,MC_MACHOTE!$AT$118,"")</f>
        <v/>
      </c>
      <c r="O106" s="46" t="str">
        <f>IF(MC_MACHOTE!$X$118&gt;0,MC_MACHOTE!$BO$118,"")</f>
        <v/>
      </c>
      <c r="P106" s="46" t="str">
        <f>IF(MC_MACHOTE!$X$118&gt;0,MC_MACHOTE!$BI$118,"")</f>
        <v/>
      </c>
      <c r="Q106" s="46" t="str">
        <f>IF(MC_MACHOTE!$X$118&gt;0,MC_MACHOTE!$BM$118,"")</f>
        <v/>
      </c>
      <c r="R106" s="46" t="str">
        <f>IF(MC_MACHOTE!$X$118&gt;0,MC_MACHOTE!$BQ$118,"")</f>
        <v/>
      </c>
      <c r="S106" s="46" t="str">
        <f>IF(MC_MACHOTE!$X$118&gt;0,MC_MACHOTE!$BR$118,"")</f>
        <v/>
      </c>
      <c r="T106" s="46" t="str">
        <f>IF(MC_MACHOTE!$X$118&gt;0,MC_MACHOTE!$BS$118,"")</f>
        <v/>
      </c>
      <c r="U106" s="46" t="str">
        <f>IF(MC_MACHOTE!$X$118&gt;0,IF(MC_MACHOTE!$L$118="","CU",IF(MC_MACHOTE!$L$118="AL-MC","AL",MC_MACHOTE!$L$118)),"")</f>
        <v/>
      </c>
      <c r="V106" s="46" t="str">
        <f>IF(MC_MACHOTE!$X$118&gt;0,IF(MC_MACHOTE!$M$118="","THHN",MC_MACHOTE!$M$118),"")</f>
        <v/>
      </c>
      <c r="W106" s="46" t="str">
        <f>IF(MC_MACHOTE!$X$118&gt;0,MC_MACHOTE!$BT$118,"")</f>
        <v/>
      </c>
      <c r="X106" s="47" t="str">
        <f>MC_MACHOTE!$C$3</f>
        <v>MACHOTE</v>
      </c>
      <c r="Y106" s="46" t="s">
        <v>872</v>
      </c>
      <c r="Z106" s="47">
        <v>88</v>
      </c>
      <c r="AA106" s="47" t="str">
        <f t="shared" si="4"/>
        <v/>
      </c>
      <c r="AB106" s="47" t="str">
        <f t="shared" si="5"/>
        <v/>
      </c>
      <c r="AC106" s="68" t="str">
        <f>IF(MC_MACHOTE!$X$118&gt;0,IF(MC_MACHOTE!$AJ$118&gt;0,MC_MACHOTE!$AJ$118,""),"")</f>
        <v/>
      </c>
      <c r="AD106" s="61"/>
      <c r="AE106" s="51"/>
      <c r="AF106" s="68" t="str">
        <f>IF(MC_MACHOTE!$X$118&gt;0,IF(MC_MACHOTE!$AK$118&gt;0,MC_MACHOTE!$AK$118,""),"")</f>
        <v/>
      </c>
      <c r="AG106" s="61"/>
      <c r="AH106" s="51"/>
      <c r="AI106" s="68" t="str">
        <f>IF(MC_MACHOTE!$X$118&gt;0,IF(MC_MACHOTE!$AL$118&gt;0,MC_MACHOTE!$AL$118,""),"")</f>
        <v/>
      </c>
      <c r="AJ106" s="51"/>
      <c r="AL106" t="b">
        <f>COUNTIF(MC_MACHOTE!$CA$25:$CB$124,88)&gt;0</f>
        <v>0</v>
      </c>
      <c r="AM106">
        <v>88</v>
      </c>
    </row>
    <row r="107" spans="2:39" ht="23.45" customHeight="1" x14ac:dyDescent="0.45">
      <c r="B107" s="47" t="str">
        <f>MC_MACHOTE!$C$3</f>
        <v>MACHOTE</v>
      </c>
      <c r="C107" s="46" t="s">
        <v>872</v>
      </c>
      <c r="D107" s="47">
        <v>90</v>
      </c>
      <c r="E107" s="47" t="str">
        <f>IF(MC_MACHOTE!$X$119&gt;0,MC_MACHOTE!$CA$119,"")</f>
        <v/>
      </c>
      <c r="F107" s="47" t="str">
        <f>IF(MC_MACHOTE!$X$119&gt;0,MC_MACHOTE!$CB$119,"")</f>
        <v/>
      </c>
      <c r="G107" s="69" t="str">
        <f>IF(MC_MACHOTE!$X$119&gt;0,MC_MACHOTE!$W$119,"")</f>
        <v/>
      </c>
      <c r="H107" s="51"/>
      <c r="I107" s="43" t="str">
        <f>IF(MC_MACHOTE!$X$119&gt;0,MC_MACHOTE!$X$119,"")</f>
        <v/>
      </c>
      <c r="J107" s="43" t="str">
        <f>IF(MC_MACHOTE!$X$119&gt;0,MC_MACHOTE!$BH$119,"")</f>
        <v/>
      </c>
      <c r="K107" s="69" t="str">
        <f>IF(MC_MACHOTE!$X$119&gt;0,MC_MACHOTE!$BL$119,"")</f>
        <v/>
      </c>
      <c r="L107" s="51"/>
      <c r="M107" s="46" t="str">
        <f>IF(MC_MACHOTE!$X$119&gt;0,IF(N(MC_MACHOTE!$BP$119)&gt;0,MC_MACHOTE!$BP$119,""),"")</f>
        <v/>
      </c>
      <c r="N107" s="46" t="str">
        <f>IF(MC_MACHOTE!$X$119&gt;0,MC_MACHOTE!$AT$119,"")</f>
        <v/>
      </c>
      <c r="O107" s="46" t="str">
        <f>IF(MC_MACHOTE!$X$119&gt;0,MC_MACHOTE!$BO$119,"")</f>
        <v/>
      </c>
      <c r="P107" s="46" t="str">
        <f>IF(MC_MACHOTE!$X$119&gt;0,MC_MACHOTE!$BI$119,"")</f>
        <v/>
      </c>
      <c r="Q107" s="46" t="str">
        <f>IF(MC_MACHOTE!$X$119&gt;0,MC_MACHOTE!$BM$119,"")</f>
        <v/>
      </c>
      <c r="R107" s="46" t="str">
        <f>IF(MC_MACHOTE!$X$119&gt;0,MC_MACHOTE!$BQ$119,"")</f>
        <v/>
      </c>
      <c r="S107" s="46" t="str">
        <f>IF(MC_MACHOTE!$X$119&gt;0,MC_MACHOTE!$BR$119,"")</f>
        <v/>
      </c>
      <c r="T107" s="46" t="str">
        <f>IF(MC_MACHOTE!$X$119&gt;0,MC_MACHOTE!$BS$119,"")</f>
        <v/>
      </c>
      <c r="U107" s="46" t="str">
        <f>IF(MC_MACHOTE!$X$119&gt;0,IF(MC_MACHOTE!$L$119="","CU",IF(MC_MACHOTE!$L$119="AL-MC","AL",MC_MACHOTE!$L$119)),"")</f>
        <v/>
      </c>
      <c r="V107" s="46" t="str">
        <f>IF(MC_MACHOTE!$X$119&gt;0,IF(MC_MACHOTE!$M$119="","THHN",MC_MACHOTE!$M$119),"")</f>
        <v/>
      </c>
      <c r="W107" s="46" t="str">
        <f>IF(MC_MACHOTE!$X$119&gt;0,MC_MACHOTE!$BT$119,"")</f>
        <v/>
      </c>
      <c r="X107" s="47" t="str">
        <f>MC_MACHOTE!$C$3</f>
        <v>MACHOTE</v>
      </c>
      <c r="Y107" s="46" t="s">
        <v>872</v>
      </c>
      <c r="Z107" s="47">
        <v>90</v>
      </c>
      <c r="AA107" s="47" t="str">
        <f t="shared" si="4"/>
        <v/>
      </c>
      <c r="AB107" s="47" t="str">
        <f t="shared" si="5"/>
        <v/>
      </c>
      <c r="AC107" s="68" t="str">
        <f>IF(MC_MACHOTE!$X$119&gt;0,IF(MC_MACHOTE!$AJ$119&gt;0,MC_MACHOTE!$AJ$119,""),"")</f>
        <v/>
      </c>
      <c r="AD107" s="61"/>
      <c r="AE107" s="51"/>
      <c r="AF107" s="68" t="str">
        <f>IF(MC_MACHOTE!$X$119&gt;0,IF(MC_MACHOTE!$AK$119&gt;0,MC_MACHOTE!$AK$119,""),"")</f>
        <v/>
      </c>
      <c r="AG107" s="61"/>
      <c r="AH107" s="51"/>
      <c r="AI107" s="68" t="str">
        <f>IF(MC_MACHOTE!$X$119&gt;0,IF(MC_MACHOTE!$AL$119&gt;0,MC_MACHOTE!$AL$119,""),"")</f>
        <v/>
      </c>
      <c r="AJ107" s="51"/>
      <c r="AL107" t="b">
        <f>COUNTIF(MC_MACHOTE!$CA$25:$CB$124,90)&gt;0</f>
        <v>0</v>
      </c>
      <c r="AM107">
        <v>90</v>
      </c>
    </row>
    <row r="108" spans="2:39" ht="23.45" customHeight="1" x14ac:dyDescent="0.45">
      <c r="B108" s="47" t="str">
        <f>MC_MACHOTE!$C$3</f>
        <v>MACHOTE</v>
      </c>
      <c r="C108" s="46" t="s">
        <v>872</v>
      </c>
      <c r="D108" s="47">
        <v>92</v>
      </c>
      <c r="E108" s="47" t="str">
        <f>IF(MC_MACHOTE!$X$120&gt;0,MC_MACHOTE!$CA$120,"")</f>
        <v/>
      </c>
      <c r="F108" s="47" t="str">
        <f>IF(MC_MACHOTE!$X$120&gt;0,MC_MACHOTE!$CB$120,"")</f>
        <v/>
      </c>
      <c r="G108" s="69" t="str">
        <f>IF(MC_MACHOTE!$X$120&gt;0,MC_MACHOTE!$W$120,"")</f>
        <v/>
      </c>
      <c r="H108" s="51"/>
      <c r="I108" s="43" t="str">
        <f>IF(MC_MACHOTE!$X$120&gt;0,MC_MACHOTE!$X$120,"")</f>
        <v/>
      </c>
      <c r="J108" s="43" t="str">
        <f>IF(MC_MACHOTE!$X$120&gt;0,MC_MACHOTE!$BH$120,"")</f>
        <v/>
      </c>
      <c r="K108" s="69" t="str">
        <f>IF(MC_MACHOTE!$X$120&gt;0,MC_MACHOTE!$BL$120,"")</f>
        <v/>
      </c>
      <c r="L108" s="51"/>
      <c r="M108" s="46" t="str">
        <f>IF(MC_MACHOTE!$X$120&gt;0,IF(N(MC_MACHOTE!$BP$120)&gt;0,MC_MACHOTE!$BP$120,""),"")</f>
        <v/>
      </c>
      <c r="N108" s="46" t="str">
        <f>IF(MC_MACHOTE!$X$120&gt;0,MC_MACHOTE!$AT$120,"")</f>
        <v/>
      </c>
      <c r="O108" s="46" t="str">
        <f>IF(MC_MACHOTE!$X$120&gt;0,MC_MACHOTE!$BO$120,"")</f>
        <v/>
      </c>
      <c r="P108" s="46" t="str">
        <f>IF(MC_MACHOTE!$X$120&gt;0,MC_MACHOTE!$BI$120,"")</f>
        <v/>
      </c>
      <c r="Q108" s="46" t="str">
        <f>IF(MC_MACHOTE!$X$120&gt;0,MC_MACHOTE!$BM$120,"")</f>
        <v/>
      </c>
      <c r="R108" s="46" t="str">
        <f>IF(MC_MACHOTE!$X$120&gt;0,MC_MACHOTE!$BQ$120,"")</f>
        <v/>
      </c>
      <c r="S108" s="46" t="str">
        <f>IF(MC_MACHOTE!$X$120&gt;0,MC_MACHOTE!$BR$120,"")</f>
        <v/>
      </c>
      <c r="T108" s="46" t="str">
        <f>IF(MC_MACHOTE!$X$120&gt;0,MC_MACHOTE!$BS$120,"")</f>
        <v/>
      </c>
      <c r="U108" s="46" t="str">
        <f>IF(MC_MACHOTE!$X$120&gt;0,IF(MC_MACHOTE!$L$120="","CU",IF(MC_MACHOTE!$L$120="AL-MC","AL",MC_MACHOTE!$L$120)),"")</f>
        <v/>
      </c>
      <c r="V108" s="46" t="str">
        <f>IF(MC_MACHOTE!$X$120&gt;0,IF(MC_MACHOTE!$M$120="","THHN",MC_MACHOTE!$M$120),"")</f>
        <v/>
      </c>
      <c r="W108" s="46" t="str">
        <f>IF(MC_MACHOTE!$X$120&gt;0,MC_MACHOTE!$BT$120,"")</f>
        <v/>
      </c>
      <c r="X108" s="47" t="str">
        <f>MC_MACHOTE!$C$3</f>
        <v>MACHOTE</v>
      </c>
      <c r="Y108" s="46" t="s">
        <v>872</v>
      </c>
      <c r="Z108" s="47">
        <v>92</v>
      </c>
      <c r="AA108" s="47" t="str">
        <f t="shared" si="4"/>
        <v/>
      </c>
      <c r="AB108" s="47" t="str">
        <f t="shared" si="5"/>
        <v/>
      </c>
      <c r="AC108" s="68" t="str">
        <f>IF(MC_MACHOTE!$X$120&gt;0,IF(MC_MACHOTE!$AJ$120&gt;0,MC_MACHOTE!$AJ$120,""),"")</f>
        <v/>
      </c>
      <c r="AD108" s="61"/>
      <c r="AE108" s="51"/>
      <c r="AF108" s="68" t="str">
        <f>IF(MC_MACHOTE!$X$120&gt;0,IF(MC_MACHOTE!$AK$120&gt;0,MC_MACHOTE!$AK$120,""),"")</f>
        <v/>
      </c>
      <c r="AG108" s="61"/>
      <c r="AH108" s="51"/>
      <c r="AI108" s="68" t="str">
        <f>IF(MC_MACHOTE!$X$120&gt;0,IF(MC_MACHOTE!$AL$120&gt;0,MC_MACHOTE!$AL$120,""),"")</f>
        <v/>
      </c>
      <c r="AJ108" s="51"/>
      <c r="AL108" t="b">
        <f>COUNTIF(MC_MACHOTE!$CA$25:$CB$124,92)&gt;0</f>
        <v>0</v>
      </c>
      <c r="AM108">
        <v>92</v>
      </c>
    </row>
    <row r="109" spans="2:39" ht="23.45" customHeight="1" x14ac:dyDescent="0.45">
      <c r="B109" s="47" t="str">
        <f>MC_MACHOTE!$C$3</f>
        <v>MACHOTE</v>
      </c>
      <c r="C109" s="46" t="s">
        <v>872</v>
      </c>
      <c r="D109" s="47">
        <v>94</v>
      </c>
      <c r="E109" s="47" t="str">
        <f>IF(MC_MACHOTE!$X$121&gt;0,MC_MACHOTE!$CA$121,"")</f>
        <v/>
      </c>
      <c r="F109" s="47" t="str">
        <f>IF(MC_MACHOTE!$X$121&gt;0,MC_MACHOTE!$CB$121,"")</f>
        <v/>
      </c>
      <c r="G109" s="69" t="str">
        <f>IF(MC_MACHOTE!$X$121&gt;0,MC_MACHOTE!$W$121,"")</f>
        <v/>
      </c>
      <c r="H109" s="51"/>
      <c r="I109" s="43" t="str">
        <f>IF(MC_MACHOTE!$X$121&gt;0,MC_MACHOTE!$X$121,"")</f>
        <v/>
      </c>
      <c r="J109" s="43" t="str">
        <f>IF(MC_MACHOTE!$X$121&gt;0,MC_MACHOTE!$BH$121,"")</f>
        <v/>
      </c>
      <c r="K109" s="69" t="str">
        <f>IF(MC_MACHOTE!$X$121&gt;0,MC_MACHOTE!$BL$121,"")</f>
        <v/>
      </c>
      <c r="L109" s="51"/>
      <c r="M109" s="46" t="str">
        <f>IF(MC_MACHOTE!$X$121&gt;0,IF(N(MC_MACHOTE!$BP$121)&gt;0,MC_MACHOTE!$BP$121,""),"")</f>
        <v/>
      </c>
      <c r="N109" s="46" t="str">
        <f>IF(MC_MACHOTE!$X$121&gt;0,MC_MACHOTE!$AT$121,"")</f>
        <v/>
      </c>
      <c r="O109" s="46" t="str">
        <f>IF(MC_MACHOTE!$X$121&gt;0,MC_MACHOTE!$BO$121,"")</f>
        <v/>
      </c>
      <c r="P109" s="46" t="str">
        <f>IF(MC_MACHOTE!$X$121&gt;0,MC_MACHOTE!$BI$121,"")</f>
        <v/>
      </c>
      <c r="Q109" s="46" t="str">
        <f>IF(MC_MACHOTE!$X$121&gt;0,MC_MACHOTE!$BM$121,"")</f>
        <v/>
      </c>
      <c r="R109" s="46" t="str">
        <f>IF(MC_MACHOTE!$X$121&gt;0,MC_MACHOTE!$BQ$121,"")</f>
        <v/>
      </c>
      <c r="S109" s="46" t="str">
        <f>IF(MC_MACHOTE!$X$121&gt;0,MC_MACHOTE!$BR$121,"")</f>
        <v/>
      </c>
      <c r="T109" s="46" t="str">
        <f>IF(MC_MACHOTE!$X$121&gt;0,MC_MACHOTE!$BS$121,"")</f>
        <v/>
      </c>
      <c r="U109" s="46" t="str">
        <f>IF(MC_MACHOTE!$X$121&gt;0,IF(MC_MACHOTE!$L$121="","CU",IF(MC_MACHOTE!$L$121="AL-MC","AL",MC_MACHOTE!$L$121)),"")</f>
        <v/>
      </c>
      <c r="V109" s="46" t="str">
        <f>IF(MC_MACHOTE!$X$121&gt;0,IF(MC_MACHOTE!$M$121="","THHN",MC_MACHOTE!$M$121),"")</f>
        <v/>
      </c>
      <c r="W109" s="46" t="str">
        <f>IF(MC_MACHOTE!$X$121&gt;0,MC_MACHOTE!$BT$121,"")</f>
        <v/>
      </c>
      <c r="X109" s="47" t="str">
        <f>MC_MACHOTE!$C$3</f>
        <v>MACHOTE</v>
      </c>
      <c r="Y109" s="46" t="s">
        <v>872</v>
      </c>
      <c r="Z109" s="47">
        <v>94</v>
      </c>
      <c r="AA109" s="47" t="str">
        <f t="shared" si="4"/>
        <v/>
      </c>
      <c r="AB109" s="47" t="str">
        <f t="shared" si="5"/>
        <v/>
      </c>
      <c r="AC109" s="68" t="str">
        <f>IF(MC_MACHOTE!$X$121&gt;0,IF(MC_MACHOTE!$AJ$121&gt;0,MC_MACHOTE!$AJ$121,""),"")</f>
        <v/>
      </c>
      <c r="AD109" s="61"/>
      <c r="AE109" s="51"/>
      <c r="AF109" s="68" t="str">
        <f>IF(MC_MACHOTE!$X$121&gt;0,IF(MC_MACHOTE!$AK$121&gt;0,MC_MACHOTE!$AK$121,""),"")</f>
        <v/>
      </c>
      <c r="AG109" s="61"/>
      <c r="AH109" s="51"/>
      <c r="AI109" s="68" t="str">
        <f>IF(MC_MACHOTE!$X$121&gt;0,IF(MC_MACHOTE!$AL$121&gt;0,MC_MACHOTE!$AL$121,""),"")</f>
        <v/>
      </c>
      <c r="AJ109" s="51"/>
      <c r="AL109" t="b">
        <f>COUNTIF(MC_MACHOTE!$CA$25:$CB$124,94)&gt;0</f>
        <v>0</v>
      </c>
      <c r="AM109">
        <v>94</v>
      </c>
    </row>
    <row r="110" spans="2:39" ht="23.45" customHeight="1" x14ac:dyDescent="0.45">
      <c r="B110" s="47" t="str">
        <f>MC_MACHOTE!$C$3</f>
        <v>MACHOTE</v>
      </c>
      <c r="C110" s="46" t="s">
        <v>872</v>
      </c>
      <c r="D110" s="47">
        <v>96</v>
      </c>
      <c r="E110" s="47" t="str">
        <f>IF(MC_MACHOTE!$X$122&gt;0,MC_MACHOTE!$CA$122,"")</f>
        <v/>
      </c>
      <c r="F110" s="47" t="str">
        <f>IF(MC_MACHOTE!$X$122&gt;0,MC_MACHOTE!$CB$122,"")</f>
        <v/>
      </c>
      <c r="G110" s="69" t="str">
        <f>IF(MC_MACHOTE!$X$122&gt;0,MC_MACHOTE!$W$122,"")</f>
        <v/>
      </c>
      <c r="H110" s="51"/>
      <c r="I110" s="43" t="str">
        <f>IF(MC_MACHOTE!$X$122&gt;0,MC_MACHOTE!$X$122,"")</f>
        <v/>
      </c>
      <c r="J110" s="43" t="str">
        <f>IF(MC_MACHOTE!$X$122&gt;0,MC_MACHOTE!$BH$122,"")</f>
        <v/>
      </c>
      <c r="K110" s="69" t="str">
        <f>IF(MC_MACHOTE!$X$122&gt;0,MC_MACHOTE!$BL$122,"")</f>
        <v/>
      </c>
      <c r="L110" s="51"/>
      <c r="M110" s="46" t="str">
        <f>IF(MC_MACHOTE!$X$122&gt;0,IF(N(MC_MACHOTE!$BP$122)&gt;0,MC_MACHOTE!$BP$122,""),"")</f>
        <v/>
      </c>
      <c r="N110" s="46" t="str">
        <f>IF(MC_MACHOTE!$X$122&gt;0,MC_MACHOTE!$AT$122,"")</f>
        <v/>
      </c>
      <c r="O110" s="46" t="str">
        <f>IF(MC_MACHOTE!$X$122&gt;0,MC_MACHOTE!$BO$122,"")</f>
        <v/>
      </c>
      <c r="P110" s="46" t="str">
        <f>IF(MC_MACHOTE!$X$122&gt;0,MC_MACHOTE!$BI$122,"")</f>
        <v/>
      </c>
      <c r="Q110" s="46" t="str">
        <f>IF(MC_MACHOTE!$X$122&gt;0,MC_MACHOTE!$BM$122,"")</f>
        <v/>
      </c>
      <c r="R110" s="46" t="str">
        <f>IF(MC_MACHOTE!$X$122&gt;0,MC_MACHOTE!$BQ$122,"")</f>
        <v/>
      </c>
      <c r="S110" s="46" t="str">
        <f>IF(MC_MACHOTE!$X$122&gt;0,MC_MACHOTE!$BR$122,"")</f>
        <v/>
      </c>
      <c r="T110" s="46" t="str">
        <f>IF(MC_MACHOTE!$X$122&gt;0,MC_MACHOTE!$BS$122,"")</f>
        <v/>
      </c>
      <c r="U110" s="46" t="str">
        <f>IF(MC_MACHOTE!$X$122&gt;0,IF(MC_MACHOTE!$L$122="","CU",IF(MC_MACHOTE!$L$122="AL-MC","AL",MC_MACHOTE!$L$122)),"")</f>
        <v/>
      </c>
      <c r="V110" s="46" t="str">
        <f>IF(MC_MACHOTE!$X$122&gt;0,IF(MC_MACHOTE!$M$122="","THHN",MC_MACHOTE!$M$122),"")</f>
        <v/>
      </c>
      <c r="W110" s="46" t="str">
        <f>IF(MC_MACHOTE!$X$122&gt;0,MC_MACHOTE!$BT$122,"")</f>
        <v/>
      </c>
      <c r="X110" s="47" t="str">
        <f>MC_MACHOTE!$C$3</f>
        <v>MACHOTE</v>
      </c>
      <c r="Y110" s="46" t="s">
        <v>872</v>
      </c>
      <c r="Z110" s="47">
        <v>96</v>
      </c>
      <c r="AA110" s="47" t="str">
        <f t="shared" si="4"/>
        <v/>
      </c>
      <c r="AB110" s="47" t="str">
        <f t="shared" si="5"/>
        <v/>
      </c>
      <c r="AC110" s="68" t="str">
        <f>IF(MC_MACHOTE!$X$122&gt;0,IF(MC_MACHOTE!$AJ$122&gt;0,MC_MACHOTE!$AJ$122,""),"")</f>
        <v/>
      </c>
      <c r="AD110" s="61"/>
      <c r="AE110" s="51"/>
      <c r="AF110" s="68" t="str">
        <f>IF(MC_MACHOTE!$X$122&gt;0,IF(MC_MACHOTE!$AK$122&gt;0,MC_MACHOTE!$AK$122,""),"")</f>
        <v/>
      </c>
      <c r="AG110" s="61"/>
      <c r="AH110" s="51"/>
      <c r="AI110" s="68" t="str">
        <f>IF(MC_MACHOTE!$X$122&gt;0,IF(MC_MACHOTE!$AL$122&gt;0,MC_MACHOTE!$AL$122,""),"")</f>
        <v/>
      </c>
      <c r="AJ110" s="51"/>
      <c r="AL110" t="b">
        <f>COUNTIF(MC_MACHOTE!$CA$25:$CB$124,96)&gt;0</f>
        <v>0</v>
      </c>
      <c r="AM110">
        <v>96</v>
      </c>
    </row>
    <row r="111" spans="2:39" ht="23.45" customHeight="1" x14ac:dyDescent="0.45">
      <c r="B111" s="47" t="str">
        <f>MC_MACHOTE!$C$3</f>
        <v>MACHOTE</v>
      </c>
      <c r="C111" s="46" t="s">
        <v>872</v>
      </c>
      <c r="D111" s="47">
        <v>98</v>
      </c>
      <c r="E111" s="47" t="str">
        <f>IF(MC_MACHOTE!$X$123&gt;0,MC_MACHOTE!$CA$123,"")</f>
        <v/>
      </c>
      <c r="F111" s="47" t="str">
        <f>IF(MC_MACHOTE!$X$123&gt;0,MC_MACHOTE!$CB$123,"")</f>
        <v/>
      </c>
      <c r="G111" s="69" t="str">
        <f>IF(MC_MACHOTE!$X$123&gt;0,MC_MACHOTE!$W$123,"")</f>
        <v/>
      </c>
      <c r="H111" s="51"/>
      <c r="I111" s="43" t="str">
        <f>IF(MC_MACHOTE!$X$123&gt;0,MC_MACHOTE!$X$123,"")</f>
        <v/>
      </c>
      <c r="J111" s="43" t="str">
        <f>IF(MC_MACHOTE!$X$123&gt;0,MC_MACHOTE!$BH$123,"")</f>
        <v/>
      </c>
      <c r="K111" s="69" t="str">
        <f>IF(MC_MACHOTE!$X$123&gt;0,MC_MACHOTE!$BL$123,"")</f>
        <v/>
      </c>
      <c r="L111" s="51"/>
      <c r="M111" s="46" t="str">
        <f>IF(MC_MACHOTE!$X$123&gt;0,IF(N(MC_MACHOTE!$BP$123)&gt;0,MC_MACHOTE!$BP$123,""),"")</f>
        <v/>
      </c>
      <c r="N111" s="46" t="str">
        <f>IF(MC_MACHOTE!$X$123&gt;0,MC_MACHOTE!$AT$123,"")</f>
        <v/>
      </c>
      <c r="O111" s="46" t="str">
        <f>IF(MC_MACHOTE!$X$123&gt;0,MC_MACHOTE!$BO$123,"")</f>
        <v/>
      </c>
      <c r="P111" s="46" t="str">
        <f>IF(MC_MACHOTE!$X$123&gt;0,MC_MACHOTE!$BI$123,"")</f>
        <v/>
      </c>
      <c r="Q111" s="46" t="str">
        <f>IF(MC_MACHOTE!$X$123&gt;0,MC_MACHOTE!$BM$123,"")</f>
        <v/>
      </c>
      <c r="R111" s="46" t="str">
        <f>IF(MC_MACHOTE!$X$123&gt;0,MC_MACHOTE!$BQ$123,"")</f>
        <v/>
      </c>
      <c r="S111" s="46" t="str">
        <f>IF(MC_MACHOTE!$X$123&gt;0,MC_MACHOTE!$BR$123,"")</f>
        <v/>
      </c>
      <c r="T111" s="46" t="str">
        <f>IF(MC_MACHOTE!$X$123&gt;0,MC_MACHOTE!$BS$123,"")</f>
        <v/>
      </c>
      <c r="U111" s="46" t="str">
        <f>IF(MC_MACHOTE!$X$123&gt;0,IF(MC_MACHOTE!$L$123="","CU",IF(MC_MACHOTE!$L$123="AL-MC","AL",MC_MACHOTE!$L$123)),"")</f>
        <v/>
      </c>
      <c r="V111" s="46" t="str">
        <f>IF(MC_MACHOTE!$X$123&gt;0,IF(MC_MACHOTE!$M$123="","THHN",MC_MACHOTE!$M$123),"")</f>
        <v/>
      </c>
      <c r="W111" s="46" t="str">
        <f>IF(MC_MACHOTE!$X$123&gt;0,MC_MACHOTE!$BT$123,"")</f>
        <v/>
      </c>
      <c r="X111" s="47" t="str">
        <f>MC_MACHOTE!$C$3</f>
        <v>MACHOTE</v>
      </c>
      <c r="Y111" s="46" t="s">
        <v>872</v>
      </c>
      <c r="Z111" s="47">
        <v>98</v>
      </c>
      <c r="AA111" s="47" t="str">
        <f t="shared" si="4"/>
        <v/>
      </c>
      <c r="AB111" s="47" t="str">
        <f t="shared" si="5"/>
        <v/>
      </c>
      <c r="AC111" s="68" t="str">
        <f>IF(MC_MACHOTE!$X$123&gt;0,IF(MC_MACHOTE!$AJ$123&gt;0,MC_MACHOTE!$AJ$123,""),"")</f>
        <v/>
      </c>
      <c r="AD111" s="61"/>
      <c r="AE111" s="51"/>
      <c r="AF111" s="68" t="str">
        <f>IF(MC_MACHOTE!$X$123&gt;0,IF(MC_MACHOTE!$AK$123&gt;0,MC_MACHOTE!$AK$123,""),"")</f>
        <v/>
      </c>
      <c r="AG111" s="61"/>
      <c r="AH111" s="51"/>
      <c r="AI111" s="68" t="str">
        <f>IF(MC_MACHOTE!$X$123&gt;0,IF(MC_MACHOTE!$AL$123&gt;0,MC_MACHOTE!$AL$123,""),"")</f>
        <v/>
      </c>
      <c r="AJ111" s="51"/>
      <c r="AL111" t="b">
        <f>COUNTIF(MC_MACHOTE!$CA$25:$CB$124,98)&gt;0</f>
        <v>0</v>
      </c>
      <c r="AM111">
        <v>98</v>
      </c>
    </row>
    <row r="112" spans="2:39" ht="23.45" customHeight="1" x14ac:dyDescent="0.45">
      <c r="B112" s="47" t="str">
        <f>MC_MACHOTE!$C$3</f>
        <v>MACHOTE</v>
      </c>
      <c r="C112" s="46" t="s">
        <v>872</v>
      </c>
      <c r="D112" s="47">
        <v>100</v>
      </c>
      <c r="E112" s="47" t="str">
        <f>IF(MC_MACHOTE!$X$124&gt;0,MC_MACHOTE!$CA$124,"")</f>
        <v/>
      </c>
      <c r="F112" s="47" t="str">
        <f>IF(MC_MACHOTE!$X$124&gt;0,MC_MACHOTE!$CB$124,"")</f>
        <v/>
      </c>
      <c r="G112" s="69" t="str">
        <f>IF(MC_MACHOTE!$X$124&gt;0,MC_MACHOTE!$W$124,"")</f>
        <v/>
      </c>
      <c r="H112" s="51"/>
      <c r="I112" s="43" t="str">
        <f>IF(MC_MACHOTE!$X$124&gt;0,MC_MACHOTE!$X$124,"")</f>
        <v/>
      </c>
      <c r="J112" s="43" t="str">
        <f>IF(MC_MACHOTE!$X$124&gt;0,MC_MACHOTE!$BH$124,"")</f>
        <v/>
      </c>
      <c r="K112" s="69" t="str">
        <f>IF(MC_MACHOTE!$X$124&gt;0,MC_MACHOTE!$BL$124,"")</f>
        <v/>
      </c>
      <c r="L112" s="51"/>
      <c r="M112" s="46" t="str">
        <f>IF(MC_MACHOTE!$X$124&gt;0,IF(N(MC_MACHOTE!$BP$124)&gt;0,MC_MACHOTE!$BP$124,""),"")</f>
        <v/>
      </c>
      <c r="N112" s="46" t="str">
        <f>IF(MC_MACHOTE!$X$124&gt;0,MC_MACHOTE!$AT$124,"")</f>
        <v/>
      </c>
      <c r="O112" s="46" t="str">
        <f>IF(MC_MACHOTE!$X$124&gt;0,MC_MACHOTE!$BO$124,"")</f>
        <v/>
      </c>
      <c r="P112" s="46" t="str">
        <f>IF(MC_MACHOTE!$X$124&gt;0,MC_MACHOTE!$BI$124,"")</f>
        <v/>
      </c>
      <c r="Q112" s="46" t="str">
        <f>IF(MC_MACHOTE!$X$124&gt;0,MC_MACHOTE!$BM$124,"")</f>
        <v/>
      </c>
      <c r="R112" s="46" t="str">
        <f>IF(MC_MACHOTE!$X$124&gt;0,MC_MACHOTE!$BQ$124,"")</f>
        <v/>
      </c>
      <c r="S112" s="46" t="str">
        <f>IF(MC_MACHOTE!$X$124&gt;0,MC_MACHOTE!$BR$124,"")</f>
        <v/>
      </c>
      <c r="T112" s="46" t="str">
        <f>IF(MC_MACHOTE!$X$124&gt;0,MC_MACHOTE!$BS$124,"")</f>
        <v/>
      </c>
      <c r="U112" s="46" t="str">
        <f>IF(MC_MACHOTE!$X$124&gt;0,IF(MC_MACHOTE!$L$124="","CU",IF(MC_MACHOTE!$L$124="AL-MC","AL",MC_MACHOTE!$L$124)),"")</f>
        <v/>
      </c>
      <c r="V112" s="46" t="str">
        <f>IF(MC_MACHOTE!$X$124&gt;0,IF(MC_MACHOTE!$M$124="","THHN",MC_MACHOTE!$M$124),"")</f>
        <v/>
      </c>
      <c r="W112" s="46" t="str">
        <f>IF(MC_MACHOTE!$X$124&gt;0,MC_MACHOTE!$BT$124,"")</f>
        <v/>
      </c>
      <c r="X112" s="47" t="str">
        <f>MC_MACHOTE!$C$3</f>
        <v>MACHOTE</v>
      </c>
      <c r="Y112" s="46" t="s">
        <v>872</v>
      </c>
      <c r="Z112" s="47">
        <v>100</v>
      </c>
      <c r="AA112" s="47" t="str">
        <f t="shared" si="4"/>
        <v/>
      </c>
      <c r="AB112" s="47" t="str">
        <f t="shared" si="5"/>
        <v/>
      </c>
      <c r="AC112" s="68" t="str">
        <f>IF(MC_MACHOTE!$X$124&gt;0,IF(MC_MACHOTE!$AJ$124&gt;0,MC_MACHOTE!$AJ$124,""),"")</f>
        <v/>
      </c>
      <c r="AD112" s="61"/>
      <c r="AE112" s="51"/>
      <c r="AF112" s="68" t="str">
        <f>IF(MC_MACHOTE!$X$124&gt;0,IF(MC_MACHOTE!$AK$124&gt;0,MC_MACHOTE!$AK$124,""),"")</f>
        <v/>
      </c>
      <c r="AG112" s="61"/>
      <c r="AH112" s="51"/>
      <c r="AI112" s="68" t="str">
        <f>IF(MC_MACHOTE!$X$124&gt;0,IF(MC_MACHOTE!$AL$124&gt;0,MC_MACHOTE!$AL$124,""),"")</f>
        <v/>
      </c>
      <c r="AJ112" s="51"/>
      <c r="AL112" t="b">
        <f>COUNTIF(MC_MACHOTE!$CA$25:$CB$124,100)&gt;0</f>
        <v>0</v>
      </c>
      <c r="AM112">
        <v>100</v>
      </c>
    </row>
    <row r="113" spans="2:36" x14ac:dyDescent="0.45">
      <c r="B113" s="81" t="s">
        <v>873</v>
      </c>
      <c r="C113" s="56"/>
      <c r="D113" s="56"/>
      <c r="E113" s="56"/>
      <c r="F113" s="56"/>
      <c r="G113" s="56"/>
      <c r="H113" s="56"/>
      <c r="I113" s="56"/>
      <c r="J113" s="56"/>
      <c r="K113" s="56"/>
      <c r="L113" s="56"/>
      <c r="M113" s="56"/>
      <c r="N113" s="56"/>
      <c r="O113" s="56"/>
      <c r="P113" s="56"/>
      <c r="Q113" s="56"/>
      <c r="R113" s="56"/>
      <c r="S113" s="56"/>
      <c r="T113" s="56"/>
      <c r="U113" s="56"/>
      <c r="V113" s="56"/>
      <c r="W113" s="56"/>
      <c r="X113" s="49" t="s">
        <v>874</v>
      </c>
      <c r="Y113" s="71"/>
      <c r="Z113" s="71"/>
      <c r="AA113" s="71"/>
      <c r="AB113" s="72"/>
      <c r="AC113" s="79">
        <f>MC_MACHOTE!$BX$4</f>
        <v>0</v>
      </c>
      <c r="AD113" s="71"/>
      <c r="AE113" s="72"/>
      <c r="AF113" s="79">
        <f>MC_MACHOTE!$BX$5</f>
        <v>0</v>
      </c>
      <c r="AG113" s="71"/>
      <c r="AH113" s="72"/>
      <c r="AI113" s="79">
        <f>MC_MACHOTE!$BX$6</f>
        <v>0</v>
      </c>
      <c r="AJ113" s="72"/>
    </row>
    <row r="114" spans="2:36" x14ac:dyDescent="0.45">
      <c r="B114" s="56"/>
      <c r="C114" s="56"/>
      <c r="D114" s="56"/>
      <c r="E114" s="56"/>
      <c r="F114" s="56"/>
      <c r="G114" s="56"/>
      <c r="H114" s="56"/>
      <c r="I114" s="56"/>
      <c r="J114" s="56"/>
      <c r="K114" s="56"/>
      <c r="L114" s="56"/>
      <c r="M114" s="56"/>
      <c r="N114" s="56"/>
      <c r="O114" s="56"/>
      <c r="P114" s="56"/>
      <c r="Q114" s="56"/>
      <c r="R114" s="56"/>
      <c r="S114" s="56"/>
      <c r="T114" s="56"/>
      <c r="U114" s="56"/>
      <c r="V114" s="56"/>
      <c r="W114" s="56"/>
      <c r="X114" s="73"/>
      <c r="Y114" s="74"/>
      <c r="Z114" s="74"/>
      <c r="AA114" s="74"/>
      <c r="AB114" s="75"/>
      <c r="AC114" s="73"/>
      <c r="AD114" s="74"/>
      <c r="AE114" s="75"/>
      <c r="AF114" s="73"/>
      <c r="AG114" s="74"/>
      <c r="AH114" s="75"/>
      <c r="AI114" s="73"/>
      <c r="AJ114" s="75"/>
    </row>
  </sheetData>
  <mergeCells count="569">
    <mergeCell ref="G109:H109"/>
    <mergeCell ref="AI21:AJ21"/>
    <mergeCell ref="G47:H47"/>
    <mergeCell ref="AI92:AJ92"/>
    <mergeCell ref="K38:L38"/>
    <mergeCell ref="G46:H46"/>
    <mergeCell ref="G40:H40"/>
    <mergeCell ref="G111:H111"/>
    <mergeCell ref="AI23:AJ23"/>
    <mergeCell ref="AH4:AJ5"/>
    <mergeCell ref="AI51:AJ51"/>
    <mergeCell ref="AC49:AE49"/>
    <mergeCell ref="AF81:AH81"/>
    <mergeCell ref="AC36:AE36"/>
    <mergeCell ref="G4:G5"/>
    <mergeCell ref="K86:L86"/>
    <mergeCell ref="I4:I5"/>
    <mergeCell ref="G45:H45"/>
    <mergeCell ref="G55:H55"/>
    <mergeCell ref="P9:R9"/>
    <mergeCell ref="G50:H50"/>
    <mergeCell ref="AF53:AH53"/>
    <mergeCell ref="G96:H96"/>
    <mergeCell ref="AI8:AJ8"/>
    <mergeCell ref="AI73:AJ73"/>
    <mergeCell ref="AF68:AH68"/>
    <mergeCell ref="G52:H52"/>
    <mergeCell ref="K108:L108"/>
    <mergeCell ref="G27:H27"/>
    <mergeCell ref="G98:H98"/>
    <mergeCell ref="AC54:AE54"/>
    <mergeCell ref="AF15:AH15"/>
    <mergeCell ref="AI74:AJ74"/>
    <mergeCell ref="K20:L20"/>
    <mergeCell ref="K91:L91"/>
    <mergeCell ref="K85:L85"/>
    <mergeCell ref="AF79:AH79"/>
    <mergeCell ref="AC56:AE56"/>
    <mergeCell ref="G93:H93"/>
    <mergeCell ref="K84:L84"/>
    <mergeCell ref="AC105:AE105"/>
    <mergeCell ref="K22:L22"/>
    <mergeCell ref="P3:AJ3"/>
    <mergeCell ref="G24:H24"/>
    <mergeCell ref="AI63:AJ63"/>
    <mergeCell ref="AF18:AH18"/>
    <mergeCell ref="G88:H88"/>
    <mergeCell ref="G26:H26"/>
    <mergeCell ref="AF34:AH34"/>
    <mergeCell ref="K17:L17"/>
    <mergeCell ref="AI71:AJ71"/>
    <mergeCell ref="AI58:AJ58"/>
    <mergeCell ref="K82:L82"/>
    <mergeCell ref="AF49:AH49"/>
    <mergeCell ref="H4:H5"/>
    <mergeCell ref="K19:L19"/>
    <mergeCell ref="AF29:AH29"/>
    <mergeCell ref="AF78:AH78"/>
    <mergeCell ref="AC33:AE33"/>
    <mergeCell ref="K83:L83"/>
    <mergeCell ref="AF65:AH65"/>
    <mergeCell ref="P8:R8"/>
    <mergeCell ref="G42:H42"/>
    <mergeCell ref="AF44:AH44"/>
    <mergeCell ref="AF80:AH80"/>
    <mergeCell ref="AC35:AE35"/>
    <mergeCell ref="P4:Q5"/>
    <mergeCell ref="K67:L67"/>
    <mergeCell ref="AF28:AH28"/>
    <mergeCell ref="AC104:AE104"/>
    <mergeCell ref="AF39:AH39"/>
    <mergeCell ref="AI75:AJ75"/>
    <mergeCell ref="AF70:AH70"/>
    <mergeCell ref="G100:H100"/>
    <mergeCell ref="G94:H94"/>
    <mergeCell ref="G44:H44"/>
    <mergeCell ref="AI52:AJ52"/>
    <mergeCell ref="K69:L69"/>
    <mergeCell ref="AI39:AJ39"/>
    <mergeCell ref="G102:H102"/>
    <mergeCell ref="G77:H77"/>
    <mergeCell ref="AI103:AJ103"/>
    <mergeCell ref="B7:O7"/>
    <mergeCell ref="AI53:AJ53"/>
    <mergeCell ref="AC20:AE20"/>
    <mergeCell ref="K64:L64"/>
    <mergeCell ref="K51:L51"/>
    <mergeCell ref="AF58:AH58"/>
    <mergeCell ref="AC84:AE84"/>
    <mergeCell ref="AC22:AE22"/>
    <mergeCell ref="X113:AB114"/>
    <mergeCell ref="AC93:AE93"/>
    <mergeCell ref="AC90:AE90"/>
    <mergeCell ref="AI49:AJ49"/>
    <mergeCell ref="G53:H53"/>
    <mergeCell ref="G28:H28"/>
    <mergeCell ref="AC65:AE65"/>
    <mergeCell ref="AI36:AJ36"/>
    <mergeCell ref="AF31:AH31"/>
    <mergeCell ref="G74:H74"/>
    <mergeCell ref="K59:L59"/>
    <mergeCell ref="G92:H92"/>
    <mergeCell ref="G30:H30"/>
    <mergeCell ref="AI100:AJ100"/>
    <mergeCell ref="AF56:AH56"/>
    <mergeCell ref="K61:L61"/>
    <mergeCell ref="AF105:AH105"/>
    <mergeCell ref="AF43:AH43"/>
    <mergeCell ref="AI31:AJ31"/>
    <mergeCell ref="AI102:AJ102"/>
    <mergeCell ref="K48:L48"/>
    <mergeCell ref="AC113:AE114"/>
    <mergeCell ref="AC75:AE75"/>
    <mergeCell ref="AF107:AH107"/>
    <mergeCell ref="R4:R5"/>
    <mergeCell ref="AC24:AE24"/>
    <mergeCell ref="AF25:AH25"/>
    <mergeCell ref="AC89:AE89"/>
    <mergeCell ref="V4:V5"/>
    <mergeCell ref="AC64:AE64"/>
    <mergeCell ref="AC88:AE88"/>
    <mergeCell ref="AC26:AE26"/>
    <mergeCell ref="AI59:AJ59"/>
    <mergeCell ref="AC82:AE82"/>
    <mergeCell ref="AI9:AJ9"/>
    <mergeCell ref="AF13:AH13"/>
    <mergeCell ref="AC17:AE17"/>
    <mergeCell ref="S4:S5"/>
    <mergeCell ref="AF57:AH57"/>
    <mergeCell ref="AC12:AE12"/>
    <mergeCell ref="AC83:AE83"/>
    <mergeCell ref="AI64:AJ64"/>
    <mergeCell ref="AC14:AE14"/>
    <mergeCell ref="AB5:AC5"/>
    <mergeCell ref="AD5:AE5"/>
    <mergeCell ref="AF75:AH75"/>
    <mergeCell ref="AI50:AJ50"/>
    <mergeCell ref="AF50:AH50"/>
    <mergeCell ref="K111:L111"/>
    <mergeCell ref="AC11:AE11"/>
    <mergeCell ref="AF99:AH99"/>
    <mergeCell ref="G15:H15"/>
    <mergeCell ref="AI54:AJ54"/>
    <mergeCell ref="G80:H80"/>
    <mergeCell ref="K71:L71"/>
    <mergeCell ref="AF36:AH36"/>
    <mergeCell ref="AI112:AJ112"/>
    <mergeCell ref="G79:H79"/>
    <mergeCell ref="AI62:AJ62"/>
    <mergeCell ref="G73:H73"/>
    <mergeCell ref="AI56:AJ56"/>
    <mergeCell ref="K73:L73"/>
    <mergeCell ref="AC87:AE87"/>
    <mergeCell ref="AC111:AE111"/>
    <mergeCell ref="K112:L112"/>
    <mergeCell ref="K62:L62"/>
    <mergeCell ref="G21:H21"/>
    <mergeCell ref="G81:H81"/>
    <mergeCell ref="AC112:AE112"/>
    <mergeCell ref="AC106:AE106"/>
    <mergeCell ref="G23:H23"/>
    <mergeCell ref="K76:L76"/>
    <mergeCell ref="T4:U5"/>
    <mergeCell ref="G25:H25"/>
    <mergeCell ref="AC62:AE62"/>
    <mergeCell ref="AI33:AJ33"/>
    <mergeCell ref="AF101:AH101"/>
    <mergeCell ref="G60:H60"/>
    <mergeCell ref="K93:L93"/>
    <mergeCell ref="I11:I12"/>
    <mergeCell ref="X5:AA5"/>
    <mergeCell ref="K16:L16"/>
    <mergeCell ref="AC91:AE91"/>
    <mergeCell ref="R11:V11"/>
    <mergeCell ref="AI34:AJ34"/>
    <mergeCell ref="AI28:AJ28"/>
    <mergeCell ref="AI99:AJ99"/>
    <mergeCell ref="K45:L45"/>
    <mergeCell ref="L4:N4"/>
    <mergeCell ref="AF12:AH12"/>
    <mergeCell ref="AI30:AJ30"/>
    <mergeCell ref="K47:L47"/>
    <mergeCell ref="AF41:AH41"/>
    <mergeCell ref="AF35:AH35"/>
    <mergeCell ref="G13:H13"/>
    <mergeCell ref="K46:L46"/>
    <mergeCell ref="B8:F8"/>
    <mergeCell ref="AF91:AH91"/>
    <mergeCell ref="AI79:AJ79"/>
    <mergeCell ref="AC21:AE21"/>
    <mergeCell ref="K96:L96"/>
    <mergeCell ref="AF84:AH84"/>
    <mergeCell ref="AF22:AH22"/>
    <mergeCell ref="AI81:AJ81"/>
    <mergeCell ref="K27:L27"/>
    <mergeCell ref="AC48:AE48"/>
    <mergeCell ref="K11:Q11"/>
    <mergeCell ref="G65:H65"/>
    <mergeCell ref="AF86:AH86"/>
    <mergeCell ref="AC96:AE96"/>
    <mergeCell ref="AI94:AJ94"/>
    <mergeCell ref="K40:L40"/>
    <mergeCell ref="G78:H78"/>
    <mergeCell ref="G18:H18"/>
    <mergeCell ref="G34:H34"/>
    <mergeCell ref="K72:L72"/>
    <mergeCell ref="AF60:AH60"/>
    <mergeCell ref="AI70:AJ70"/>
    <mergeCell ref="G49:H49"/>
    <mergeCell ref="AC80:AE80"/>
    <mergeCell ref="X10:AJ10"/>
    <mergeCell ref="K21:L21"/>
    <mergeCell ref="AI40:AJ40"/>
    <mergeCell ref="AI15:AJ15"/>
    <mergeCell ref="AI86:AJ86"/>
    <mergeCell ref="K32:L32"/>
    <mergeCell ref="K63:L63"/>
    <mergeCell ref="AI80:AJ80"/>
    <mergeCell ref="AF6:AG6"/>
    <mergeCell ref="T6:U6"/>
    <mergeCell ref="AC51:AE51"/>
    <mergeCell ref="AF52:AH52"/>
    <mergeCell ref="AI60:AJ60"/>
    <mergeCell ref="AF55:AH55"/>
    <mergeCell ref="AH6:AJ6"/>
    <mergeCell ref="K60:L60"/>
    <mergeCell ref="AC34:AE34"/>
    <mergeCell ref="AI55:AJ55"/>
    <mergeCell ref="AC59:AE59"/>
    <mergeCell ref="AC61:AE61"/>
    <mergeCell ref="AI46:AJ46"/>
    <mergeCell ref="AD8:AF8"/>
    <mergeCell ref="AF24:AH24"/>
    <mergeCell ref="K65:L65"/>
    <mergeCell ref="G110:H110"/>
    <mergeCell ref="AI93:AJ93"/>
    <mergeCell ref="AC66:AE66"/>
    <mergeCell ref="K37:L37"/>
    <mergeCell ref="G75:H75"/>
    <mergeCell ref="AC77:AE77"/>
    <mergeCell ref="AC74:AE74"/>
    <mergeCell ref="AC68:AE68"/>
    <mergeCell ref="AC43:AE43"/>
    <mergeCell ref="AI38:AJ38"/>
    <mergeCell ref="AC97:AE97"/>
    <mergeCell ref="AI84:AJ84"/>
    <mergeCell ref="G70:H70"/>
    <mergeCell ref="AC72:AE72"/>
    <mergeCell ref="AI104:AJ104"/>
    <mergeCell ref="K98:L98"/>
    <mergeCell ref="AC103:AE103"/>
    <mergeCell ref="AF104:AH104"/>
    <mergeCell ref="K109:L109"/>
    <mergeCell ref="AF106:AH106"/>
    <mergeCell ref="AC109:AE109"/>
    <mergeCell ref="AF110:AH110"/>
    <mergeCell ref="AC99:AE99"/>
    <mergeCell ref="G90:H90"/>
    <mergeCell ref="M1:O1"/>
    <mergeCell ref="G31:H31"/>
    <mergeCell ref="AI14:AJ14"/>
    <mergeCell ref="K87:L87"/>
    <mergeCell ref="AF113:AH114"/>
    <mergeCell ref="B113:W114"/>
    <mergeCell ref="K49:L49"/>
    <mergeCell ref="AC53:AE53"/>
    <mergeCell ref="AI13:AJ13"/>
    <mergeCell ref="AF54:AH54"/>
    <mergeCell ref="AI78:AJ78"/>
    <mergeCell ref="K24:L24"/>
    <mergeCell ref="K95:L95"/>
    <mergeCell ref="K89:L89"/>
    <mergeCell ref="AF108:AH108"/>
    <mergeCell ref="AC55:AE55"/>
    <mergeCell ref="AF83:AH83"/>
    <mergeCell ref="G97:H97"/>
    <mergeCell ref="AC38:AE38"/>
    <mergeCell ref="K88:L88"/>
    <mergeCell ref="J11:J12"/>
    <mergeCell ref="K26:L26"/>
    <mergeCell ref="AF20:AH20"/>
    <mergeCell ref="AF14:AH14"/>
    <mergeCell ref="AD6:AE6"/>
    <mergeCell ref="B4:F5"/>
    <mergeCell ref="K102:L102"/>
    <mergeCell ref="AF72:AH72"/>
    <mergeCell ref="AC27:AE27"/>
    <mergeCell ref="K77:L77"/>
    <mergeCell ref="X7:AJ7"/>
    <mergeCell ref="AI37:AJ37"/>
    <mergeCell ref="G29:H29"/>
    <mergeCell ref="AI12:AJ12"/>
    <mergeCell ref="AC46:AE46"/>
    <mergeCell ref="J4:J5"/>
    <mergeCell ref="AF85:AH85"/>
    <mergeCell ref="AC40:AE40"/>
    <mergeCell ref="G57:H57"/>
    <mergeCell ref="K90:L90"/>
    <mergeCell ref="AI27:AJ27"/>
    <mergeCell ref="AI91:AJ91"/>
    <mergeCell ref="AI25:AJ25"/>
    <mergeCell ref="X9:AC9"/>
    <mergeCell ref="G11:H12"/>
    <mergeCell ref="AC41:AE41"/>
    <mergeCell ref="K42:L42"/>
    <mergeCell ref="AD9:AF9"/>
    <mergeCell ref="G105:H105"/>
    <mergeCell ref="AI17:AJ17"/>
    <mergeCell ref="G43:H43"/>
    <mergeCell ref="AI88:AJ88"/>
    <mergeCell ref="K34:L34"/>
    <mergeCell ref="AI82:AJ82"/>
    <mergeCell ref="AC76:AE76"/>
    <mergeCell ref="G36:H36"/>
    <mergeCell ref="G107:H107"/>
    <mergeCell ref="AI19:AJ19"/>
    <mergeCell ref="AI90:AJ90"/>
    <mergeCell ref="K36:L36"/>
    <mergeCell ref="AI65:AJ65"/>
    <mergeCell ref="AF59:AH59"/>
    <mergeCell ref="AC63:AE63"/>
    <mergeCell ref="AF95:AH95"/>
    <mergeCell ref="AC50:AE50"/>
    <mergeCell ref="K100:L100"/>
    <mergeCell ref="K94:L94"/>
    <mergeCell ref="G58:H58"/>
    <mergeCell ref="AI106:AJ106"/>
    <mergeCell ref="AF96:AH96"/>
    <mergeCell ref="G39:H39"/>
    <mergeCell ref="G103:H103"/>
    <mergeCell ref="AF112:AH112"/>
    <mergeCell ref="AF62:AH62"/>
    <mergeCell ref="B1:L2"/>
    <mergeCell ref="AF64:AH64"/>
    <mergeCell ref="AC19:AE19"/>
    <mergeCell ref="AF51:AH51"/>
    <mergeCell ref="G101:H101"/>
    <mergeCell ref="AI11:AJ11"/>
    <mergeCell ref="P1:AJ2"/>
    <mergeCell ref="AF38:AH38"/>
    <mergeCell ref="AI110:AJ110"/>
    <mergeCell ref="AC52:AE52"/>
    <mergeCell ref="K4:K5"/>
    <mergeCell ref="AI72:AJ72"/>
    <mergeCell ref="K23:L23"/>
    <mergeCell ref="AC45:AE45"/>
    <mergeCell ref="X4:AE4"/>
    <mergeCell ref="AC32:AE32"/>
    <mergeCell ref="AF33:AH33"/>
    <mergeCell ref="AC81:AE81"/>
    <mergeCell ref="AC37:AE37"/>
    <mergeCell ref="G54:H54"/>
    <mergeCell ref="AF82:AH82"/>
    <mergeCell ref="B11:F12"/>
    <mergeCell ref="AC108:AE108"/>
    <mergeCell ref="AC95:AE95"/>
    <mergeCell ref="G33:H33"/>
    <mergeCell ref="G104:H104"/>
    <mergeCell ref="AI16:AJ16"/>
    <mergeCell ref="P7:W7"/>
    <mergeCell ref="B9:F9"/>
    <mergeCell ref="G35:H35"/>
    <mergeCell ref="AI105:AJ105"/>
    <mergeCell ref="AI43:AJ43"/>
    <mergeCell ref="AI18:AJ18"/>
    <mergeCell ref="AF67:AH67"/>
    <mergeCell ref="K66:L66"/>
    <mergeCell ref="G99:H99"/>
    <mergeCell ref="AI107:AJ107"/>
    <mergeCell ref="AF69:AH69"/>
    <mergeCell ref="AI57:AJ57"/>
    <mergeCell ref="K74:L74"/>
    <mergeCell ref="K68:L68"/>
    <mergeCell ref="AF87:AH87"/>
    <mergeCell ref="G41:H41"/>
    <mergeCell ref="AC47:AE47"/>
    <mergeCell ref="G106:H106"/>
    <mergeCell ref="X8:AC8"/>
    <mergeCell ref="G84:H84"/>
    <mergeCell ref="G22:H22"/>
    <mergeCell ref="AI67:AJ67"/>
    <mergeCell ref="K13:L13"/>
    <mergeCell ref="AI61:AJ61"/>
    <mergeCell ref="K78:L78"/>
    <mergeCell ref="AI48:AJ48"/>
    <mergeCell ref="G86:H86"/>
    <mergeCell ref="AI69:AJ69"/>
    <mergeCell ref="K15:L15"/>
    <mergeCell ref="K80:L80"/>
    <mergeCell ref="AC42:AE42"/>
    <mergeCell ref="K55:L55"/>
    <mergeCell ref="AF74:AH74"/>
    <mergeCell ref="AC29:AE29"/>
    <mergeCell ref="K79:L79"/>
    <mergeCell ref="G38:H38"/>
    <mergeCell ref="AC44:AE44"/>
    <mergeCell ref="AF76:AH76"/>
    <mergeCell ref="AC31:AE31"/>
    <mergeCell ref="K18:L18"/>
    <mergeCell ref="G56:H56"/>
    <mergeCell ref="G37:H37"/>
    <mergeCell ref="G32:H32"/>
    <mergeCell ref="W4:W5"/>
    <mergeCell ref="AC28:AE28"/>
    <mergeCell ref="K103:L103"/>
    <mergeCell ref="AC92:AE92"/>
    <mergeCell ref="AC30:AE30"/>
    <mergeCell ref="G72:H72"/>
    <mergeCell ref="AC67:AE67"/>
    <mergeCell ref="AF93:AH93"/>
    <mergeCell ref="AC23:AE23"/>
    <mergeCell ref="AC69:AE69"/>
    <mergeCell ref="AG8:AH9"/>
    <mergeCell ref="AF42:AH42"/>
    <mergeCell ref="K50:L50"/>
    <mergeCell ref="AC98:AE98"/>
    <mergeCell ref="AF17:AH17"/>
    <mergeCell ref="AF47:AH47"/>
    <mergeCell ref="K58:L58"/>
    <mergeCell ref="K52:L52"/>
    <mergeCell ref="AF19:AH19"/>
    <mergeCell ref="AF46:AH46"/>
    <mergeCell ref="AF61:AH61"/>
    <mergeCell ref="AC16:AE16"/>
    <mergeCell ref="AF48:AH48"/>
    <mergeCell ref="G20:H20"/>
    <mergeCell ref="G19:H19"/>
    <mergeCell ref="K75:L75"/>
    <mergeCell ref="AI45:AJ45"/>
    <mergeCell ref="AF40:AH40"/>
    <mergeCell ref="AI20:AJ20"/>
    <mergeCell ref="G83:H83"/>
    <mergeCell ref="K12:L12"/>
    <mergeCell ref="G14:H14"/>
    <mergeCell ref="AF71:AH71"/>
    <mergeCell ref="AI22:AJ22"/>
    <mergeCell ref="K39:L39"/>
    <mergeCell ref="K14:L14"/>
    <mergeCell ref="K70:L70"/>
    <mergeCell ref="AF37:AH37"/>
    <mergeCell ref="AF73:AH73"/>
    <mergeCell ref="AI41:AJ41"/>
    <mergeCell ref="AI35:AJ35"/>
    <mergeCell ref="AI66:AJ66"/>
    <mergeCell ref="K53:L53"/>
    <mergeCell ref="AI68:AJ68"/>
    <mergeCell ref="AC18:AE18"/>
    <mergeCell ref="G63:H63"/>
    <mergeCell ref="AF66:AH66"/>
    <mergeCell ref="G95:H95"/>
    <mergeCell ref="AF27:AH27"/>
    <mergeCell ref="G89:H89"/>
    <mergeCell ref="G64:H64"/>
    <mergeCell ref="K97:L97"/>
    <mergeCell ref="AI109:AJ109"/>
    <mergeCell ref="AI47:AJ47"/>
    <mergeCell ref="G51:H51"/>
    <mergeCell ref="AI96:AJ96"/>
    <mergeCell ref="K57:L57"/>
    <mergeCell ref="AC78:AE78"/>
    <mergeCell ref="AI98:AJ98"/>
    <mergeCell ref="AF103:AH103"/>
    <mergeCell ref="AC107:AE107"/>
    <mergeCell ref="AC79:AE79"/>
    <mergeCell ref="AC73:AE73"/>
    <mergeCell ref="AF45:AH45"/>
    <mergeCell ref="G82:H82"/>
    <mergeCell ref="AC102:AE102"/>
    <mergeCell ref="AF98:AH98"/>
    <mergeCell ref="AF109:AH109"/>
    <mergeCell ref="G108:H108"/>
    <mergeCell ref="G91:H91"/>
    <mergeCell ref="G85:H85"/>
    <mergeCell ref="AI113:AJ114"/>
    <mergeCell ref="AI44:AJ44"/>
    <mergeCell ref="K54:L54"/>
    <mergeCell ref="AF21:AH21"/>
    <mergeCell ref="K29:L29"/>
    <mergeCell ref="AI83:AJ83"/>
    <mergeCell ref="AC25:AE25"/>
    <mergeCell ref="AC85:AE85"/>
    <mergeCell ref="AC60:AE60"/>
    <mergeCell ref="AF32:AH32"/>
    <mergeCell ref="K44:L44"/>
    <mergeCell ref="AF88:AH88"/>
    <mergeCell ref="AF26:AH26"/>
    <mergeCell ref="AF23:AH23"/>
    <mergeCell ref="K31:L31"/>
    <mergeCell ref="AI85:AJ85"/>
    <mergeCell ref="AF90:AH90"/>
    <mergeCell ref="AI32:AJ32"/>
    <mergeCell ref="AI111:AJ111"/>
    <mergeCell ref="K110:L110"/>
    <mergeCell ref="AC110:AE110"/>
    <mergeCell ref="AF111:AH111"/>
    <mergeCell ref="AC100:AE100"/>
    <mergeCell ref="AC94:AE94"/>
    <mergeCell ref="AI108:AJ108"/>
    <mergeCell ref="G112:H112"/>
    <mergeCell ref="AI24:AJ24"/>
    <mergeCell ref="AI95:AJ95"/>
    <mergeCell ref="K41:L41"/>
    <mergeCell ref="AI89:AJ89"/>
    <mergeCell ref="G62:H62"/>
    <mergeCell ref="K106:L106"/>
    <mergeCell ref="K56:L56"/>
    <mergeCell ref="AF100:AH100"/>
    <mergeCell ref="AI26:AJ26"/>
    <mergeCell ref="K105:L105"/>
    <mergeCell ref="AI97:AJ97"/>
    <mergeCell ref="K43:L43"/>
    <mergeCell ref="AC70:AE70"/>
    <mergeCell ref="AF102:AH102"/>
    <mergeCell ref="K107:L107"/>
    <mergeCell ref="AF77:AH77"/>
    <mergeCell ref="G76:H76"/>
    <mergeCell ref="AC71:AE71"/>
    <mergeCell ref="AI42:AJ42"/>
    <mergeCell ref="AF97:AH97"/>
    <mergeCell ref="AC101:AE101"/>
    <mergeCell ref="K25:L25"/>
    <mergeCell ref="K28:L28"/>
    <mergeCell ref="X6:AA6"/>
    <mergeCell ref="M2:O2"/>
    <mergeCell ref="AC86:AE86"/>
    <mergeCell ref="G59:H59"/>
    <mergeCell ref="K92:L92"/>
    <mergeCell ref="K30:L30"/>
    <mergeCell ref="AC58:AE58"/>
    <mergeCell ref="AI29:AJ29"/>
    <mergeCell ref="AC39:AE39"/>
    <mergeCell ref="O4:O5"/>
    <mergeCell ref="G67:H67"/>
    <mergeCell ref="AF89:AH89"/>
    <mergeCell ref="G61:H61"/>
    <mergeCell ref="G48:H48"/>
    <mergeCell ref="G16:H16"/>
    <mergeCell ref="G69:H69"/>
    <mergeCell ref="G87:H87"/>
    <mergeCell ref="AC13:AE13"/>
    <mergeCell ref="AC15:AE15"/>
    <mergeCell ref="AF16:AH16"/>
    <mergeCell ref="AB6:AC6"/>
    <mergeCell ref="G17:H17"/>
    <mergeCell ref="AF11:AH11"/>
    <mergeCell ref="B10:W10"/>
    <mergeCell ref="AF63:AH63"/>
    <mergeCell ref="AI87:AJ87"/>
    <mergeCell ref="K33:L33"/>
    <mergeCell ref="G71:H71"/>
    <mergeCell ref="K104:L104"/>
    <mergeCell ref="B3:O3"/>
    <mergeCell ref="AF92:AH92"/>
    <mergeCell ref="AF30:AH30"/>
    <mergeCell ref="K35:L35"/>
    <mergeCell ref="P6:Q6"/>
    <mergeCell ref="K81:L81"/>
    <mergeCell ref="AF94:AH94"/>
    <mergeCell ref="G66:H66"/>
    <mergeCell ref="K99:L99"/>
    <mergeCell ref="AI101:AJ101"/>
    <mergeCell ref="G68:H68"/>
    <mergeCell ref="AI76:AJ76"/>
    <mergeCell ref="X11:AB12"/>
    <mergeCell ref="AF4:AG5"/>
    <mergeCell ref="B6:F6"/>
    <mergeCell ref="AC57:AE57"/>
    <mergeCell ref="AI77:AJ77"/>
    <mergeCell ref="K101:L101"/>
  </mergeCells>
  <conditionalFormatting sqref="G13:H112">
    <cfRule type="expression" dxfId="3" priority="1">
      <formula>$I13=""</formula>
    </cfRule>
  </conditionalFormatting>
  <conditionalFormatting sqref="AC13:AE112">
    <cfRule type="expression" dxfId="2" priority="2">
      <formula>AND($AC13="",OR($AL13,MOD(INT(($AM13-1)/2),3)&lt;&gt;0))</formula>
    </cfRule>
  </conditionalFormatting>
  <conditionalFormatting sqref="AF13:AH112">
    <cfRule type="expression" dxfId="1" priority="3">
      <formula>AND($AF13="",OR($AL13,MOD(INT(($AM13-1)/2),3)&lt;&gt;1))</formula>
    </cfRule>
  </conditionalFormatting>
  <conditionalFormatting sqref="AI13:AJ112">
    <cfRule type="expression" dxfId="0" priority="4">
      <formula>AND($AI13="",OR($AL13,MOD(INT(($AM13-1)/2),3)&lt;&gt;2))</formula>
    </cfRule>
  </conditionalFormatting>
  <pageMargins left="0.75" right="0.75" top="1" bottom="1" header="0.5" footer="0.5"/>
  <pageSetup fitToHeight="0" orientation="landscape"/>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E14"/>
  <sheetViews>
    <sheetView workbookViewId="0">
      <pane ySplit="1" topLeftCell="A2" activePane="bottomLeft" state="frozen"/>
      <selection pane="bottomLeft"/>
    </sheetView>
  </sheetViews>
  <sheetFormatPr defaultRowHeight="14.25" x14ac:dyDescent="0.45"/>
  <cols>
    <col min="1" max="5" width="16" customWidth="1"/>
  </cols>
  <sheetData>
    <row r="1" spans="1:5" x14ac:dyDescent="0.45">
      <c r="A1" s="17" t="s">
        <v>830</v>
      </c>
      <c r="B1" s="17" t="s">
        <v>875</v>
      </c>
      <c r="C1" s="17" t="s">
        <v>832</v>
      </c>
      <c r="D1" s="17" t="s">
        <v>125</v>
      </c>
      <c r="E1" s="17" t="s">
        <v>876</v>
      </c>
    </row>
    <row r="2" spans="1:5" x14ac:dyDescent="0.45">
      <c r="A2">
        <v>1</v>
      </c>
      <c r="B2" t="s">
        <v>145</v>
      </c>
      <c r="C2" t="s">
        <v>877</v>
      </c>
      <c r="D2">
        <v>1</v>
      </c>
      <c r="E2">
        <v>1</v>
      </c>
    </row>
    <row r="3" spans="1:5" x14ac:dyDescent="0.45">
      <c r="A3">
        <v>2</v>
      </c>
      <c r="B3" t="s">
        <v>148</v>
      </c>
      <c r="C3" t="s">
        <v>878</v>
      </c>
      <c r="D3">
        <v>1</v>
      </c>
      <c r="E3">
        <v>1</v>
      </c>
    </row>
    <row r="4" spans="1:5" x14ac:dyDescent="0.45">
      <c r="A4">
        <v>3</v>
      </c>
      <c r="B4" t="s">
        <v>152</v>
      </c>
      <c r="C4" t="s">
        <v>878</v>
      </c>
      <c r="D4">
        <v>1</v>
      </c>
      <c r="E4">
        <v>1</v>
      </c>
    </row>
    <row r="5" spans="1:5" x14ac:dyDescent="0.45">
      <c r="A5">
        <v>4</v>
      </c>
      <c r="B5" t="s">
        <v>879</v>
      </c>
      <c r="C5" t="s">
        <v>877</v>
      </c>
      <c r="D5">
        <v>0.8</v>
      </c>
      <c r="E5">
        <v>1</v>
      </c>
    </row>
    <row r="6" spans="1:5" x14ac:dyDescent="0.45">
      <c r="A6">
        <v>5</v>
      </c>
      <c r="B6" t="s">
        <v>246</v>
      </c>
      <c r="C6" t="s">
        <v>877</v>
      </c>
      <c r="D6">
        <v>0.8</v>
      </c>
      <c r="E6">
        <v>1</v>
      </c>
    </row>
    <row r="7" spans="1:5" x14ac:dyDescent="0.45">
      <c r="A7">
        <v>6</v>
      </c>
      <c r="B7" t="s">
        <v>880</v>
      </c>
      <c r="C7" t="s">
        <v>877</v>
      </c>
      <c r="D7">
        <v>0.8</v>
      </c>
      <c r="E7">
        <v>1</v>
      </c>
    </row>
    <row r="8" spans="1:5" x14ac:dyDescent="0.45">
      <c r="A8">
        <v>7</v>
      </c>
      <c r="B8" t="s">
        <v>218</v>
      </c>
      <c r="C8" t="s">
        <v>877</v>
      </c>
      <c r="D8">
        <v>0.8</v>
      </c>
      <c r="E8">
        <v>1</v>
      </c>
    </row>
    <row r="9" spans="1:5" x14ac:dyDescent="0.45">
      <c r="A9">
        <v>8</v>
      </c>
      <c r="B9" t="s">
        <v>215</v>
      </c>
      <c r="C9" t="s">
        <v>877</v>
      </c>
      <c r="D9">
        <v>0.8</v>
      </c>
      <c r="E9">
        <v>1</v>
      </c>
    </row>
    <row r="10" spans="1:5" x14ac:dyDescent="0.45">
      <c r="A10">
        <v>9</v>
      </c>
      <c r="B10" t="s">
        <v>221</v>
      </c>
      <c r="C10" t="s">
        <v>877</v>
      </c>
      <c r="D10">
        <v>0.8</v>
      </c>
      <c r="E10">
        <v>1</v>
      </c>
    </row>
    <row r="11" spans="1:5" x14ac:dyDescent="0.45">
      <c r="A11">
        <v>10</v>
      </c>
      <c r="B11" t="s">
        <v>223</v>
      </c>
      <c r="C11" t="s">
        <v>877</v>
      </c>
      <c r="D11">
        <v>0.8</v>
      </c>
      <c r="E11">
        <v>1</v>
      </c>
    </row>
    <row r="12" spans="1:5" x14ac:dyDescent="0.45">
      <c r="A12">
        <v>11</v>
      </c>
      <c r="B12" t="s">
        <v>881</v>
      </c>
      <c r="C12" t="s">
        <v>877</v>
      </c>
      <c r="D12">
        <v>0.75</v>
      </c>
      <c r="E12">
        <v>1</v>
      </c>
    </row>
    <row r="13" spans="1:5" x14ac:dyDescent="0.45">
      <c r="A13">
        <v>12</v>
      </c>
      <c r="B13" t="s">
        <v>882</v>
      </c>
      <c r="C13" t="s">
        <v>877</v>
      </c>
      <c r="D13">
        <v>0.65</v>
      </c>
      <c r="E13">
        <v>1</v>
      </c>
    </row>
    <row r="14" spans="1:5" x14ac:dyDescent="0.45">
      <c r="A14">
        <v>13</v>
      </c>
      <c r="B14" t="s">
        <v>883</v>
      </c>
      <c r="C14" t="s">
        <v>877</v>
      </c>
      <c r="D14">
        <v>0.8</v>
      </c>
      <c r="E14">
        <v>1</v>
      </c>
    </row>
  </sheetData>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CZ33"/>
  <sheetViews>
    <sheetView workbookViewId="0"/>
  </sheetViews>
  <sheetFormatPr defaultRowHeight="14.25" x14ac:dyDescent="0.45"/>
  <sheetData>
    <row r="1" spans="1:104" x14ac:dyDescent="0.45">
      <c r="A1" s="17" t="s">
        <v>884</v>
      </c>
      <c r="D1" s="17" t="s">
        <v>885</v>
      </c>
      <c r="G1" s="17" t="s">
        <v>886</v>
      </c>
      <c r="J1" s="17" t="s">
        <v>754</v>
      </c>
      <c r="P1" s="17" t="s">
        <v>887</v>
      </c>
      <c r="U1" s="17" t="s">
        <v>755</v>
      </c>
      <c r="AB1" s="17" t="s">
        <v>888</v>
      </c>
      <c r="BA1" s="17" t="s">
        <v>889</v>
      </c>
      <c r="BO1" s="17" t="s">
        <v>890</v>
      </c>
      <c r="BT1" s="17" t="s">
        <v>891</v>
      </c>
      <c r="BW1" s="17" t="s">
        <v>892</v>
      </c>
      <c r="CH1" s="17" t="s">
        <v>893</v>
      </c>
      <c r="CI1" s="17" t="s">
        <v>894</v>
      </c>
      <c r="CJ1" s="17" t="s">
        <v>895</v>
      </c>
      <c r="CK1" s="17" t="s">
        <v>896</v>
      </c>
      <c r="CL1" s="17" t="s">
        <v>897</v>
      </c>
      <c r="CM1" s="17" t="s">
        <v>898</v>
      </c>
      <c r="CN1" s="17" t="s">
        <v>899</v>
      </c>
      <c r="CO1" s="17" t="s">
        <v>900</v>
      </c>
      <c r="CP1" s="17" t="s">
        <v>901</v>
      </c>
      <c r="CQ1" s="17" t="s">
        <v>902</v>
      </c>
      <c r="CR1" s="17" t="s">
        <v>903</v>
      </c>
      <c r="CS1" s="17" t="s">
        <v>35</v>
      </c>
      <c r="CT1" s="17" t="s">
        <v>332</v>
      </c>
      <c r="CU1" s="17" t="s">
        <v>686</v>
      </c>
      <c r="CV1" s="17" t="s">
        <v>904</v>
      </c>
      <c r="CW1" s="17" t="s">
        <v>669</v>
      </c>
      <c r="CX1" s="17" t="s">
        <v>905</v>
      </c>
      <c r="CY1" s="17" t="s">
        <v>906</v>
      </c>
      <c r="CZ1" s="17" t="s">
        <v>907</v>
      </c>
    </row>
    <row r="2" spans="1:104" x14ac:dyDescent="0.45">
      <c r="A2" s="48" t="s">
        <v>908</v>
      </c>
      <c r="B2" s="48" t="s">
        <v>732</v>
      </c>
      <c r="D2" s="48" t="s">
        <v>908</v>
      </c>
      <c r="E2" s="48" t="s">
        <v>732</v>
      </c>
      <c r="G2" s="48" t="s">
        <v>908</v>
      </c>
      <c r="H2" s="48" t="s">
        <v>41</v>
      </c>
      <c r="J2" s="48" t="s">
        <v>909</v>
      </c>
      <c r="K2" s="48" t="s">
        <v>608</v>
      </c>
      <c r="L2" s="48" t="s">
        <v>910</v>
      </c>
      <c r="M2" s="48" t="s">
        <v>911</v>
      </c>
      <c r="N2" s="48" t="s">
        <v>912</v>
      </c>
      <c r="P2" s="48" t="s">
        <v>732</v>
      </c>
      <c r="Q2" s="48" t="s">
        <v>913</v>
      </c>
      <c r="R2" s="48" t="s">
        <v>914</v>
      </c>
      <c r="S2" s="48" t="s">
        <v>915</v>
      </c>
      <c r="U2" s="48" t="s">
        <v>916</v>
      </c>
      <c r="V2" s="48" t="s">
        <v>608</v>
      </c>
      <c r="W2" s="48" t="s">
        <v>911</v>
      </c>
      <c r="X2" s="48" t="s">
        <v>917</v>
      </c>
      <c r="Y2" s="48" t="s">
        <v>910</v>
      </c>
      <c r="Z2" s="48" t="s">
        <v>912</v>
      </c>
      <c r="AC2" t="s">
        <v>918</v>
      </c>
      <c r="AD2" t="s">
        <v>919</v>
      </c>
      <c r="AE2" t="s">
        <v>920</v>
      </c>
      <c r="AF2" t="s">
        <v>921</v>
      </c>
      <c r="AG2" t="s">
        <v>922</v>
      </c>
      <c r="AH2" t="s">
        <v>923</v>
      </c>
      <c r="AI2" t="s">
        <v>924</v>
      </c>
      <c r="AJ2" t="s">
        <v>925</v>
      </c>
      <c r="AK2" t="s">
        <v>926</v>
      </c>
      <c r="AL2" t="s">
        <v>927</v>
      </c>
      <c r="AM2" t="s">
        <v>928</v>
      </c>
      <c r="AN2" t="s">
        <v>929</v>
      </c>
      <c r="AO2" t="s">
        <v>930</v>
      </c>
      <c r="AP2" t="s">
        <v>931</v>
      </c>
      <c r="AQ2" t="s">
        <v>932</v>
      </c>
      <c r="AR2" t="s">
        <v>933</v>
      </c>
      <c r="AS2" t="s">
        <v>934</v>
      </c>
      <c r="AT2" t="s">
        <v>935</v>
      </c>
      <c r="AU2" t="s">
        <v>936</v>
      </c>
      <c r="AV2" t="s">
        <v>937</v>
      </c>
      <c r="AW2" t="s">
        <v>938</v>
      </c>
      <c r="AX2" t="s">
        <v>939</v>
      </c>
      <c r="BA2" s="48" t="s">
        <v>732</v>
      </c>
      <c r="BB2" s="48" t="s">
        <v>940</v>
      </c>
      <c r="BC2" s="48" t="s">
        <v>941</v>
      </c>
      <c r="BD2" s="48" t="s">
        <v>942</v>
      </c>
      <c r="BE2" s="48" t="s">
        <v>943</v>
      </c>
      <c r="BF2" s="48" t="s">
        <v>944</v>
      </c>
      <c r="BG2" s="48" t="s">
        <v>945</v>
      </c>
      <c r="BH2" s="48" t="s">
        <v>946</v>
      </c>
      <c r="BI2" s="48" t="s">
        <v>947</v>
      </c>
      <c r="BJ2" s="48" t="s">
        <v>948</v>
      </c>
      <c r="BK2" s="48" t="s">
        <v>949</v>
      </c>
      <c r="BL2" s="48" t="s">
        <v>950</v>
      </c>
      <c r="BM2" s="48" t="s">
        <v>951</v>
      </c>
      <c r="BO2" s="48" t="s">
        <v>952</v>
      </c>
      <c r="BP2" s="48" t="s">
        <v>953</v>
      </c>
      <c r="BQ2" s="48" t="s">
        <v>954</v>
      </c>
      <c r="BR2" s="48" t="s">
        <v>955</v>
      </c>
      <c r="BT2" s="48" t="s">
        <v>634</v>
      </c>
      <c r="BU2" s="48" t="s">
        <v>956</v>
      </c>
      <c r="BW2" s="48" t="s">
        <v>732</v>
      </c>
      <c r="BX2" s="48" t="s">
        <v>957</v>
      </c>
      <c r="BY2" s="48" t="s">
        <v>958</v>
      </c>
      <c r="BZ2" s="48" t="s">
        <v>959</v>
      </c>
      <c r="CA2" s="48" t="s">
        <v>960</v>
      </c>
      <c r="CB2" s="48" t="s">
        <v>961</v>
      </c>
      <c r="CC2" s="48" t="s">
        <v>962</v>
      </c>
      <c r="CD2" s="48" t="s">
        <v>963</v>
      </c>
      <c r="CH2" t="s">
        <v>622</v>
      </c>
      <c r="CI2" t="s">
        <v>608</v>
      </c>
      <c r="CJ2" t="s">
        <v>913</v>
      </c>
      <c r="CK2" t="s">
        <v>617</v>
      </c>
      <c r="CL2" t="s">
        <v>677</v>
      </c>
      <c r="CM2" t="s">
        <v>964</v>
      </c>
      <c r="CN2" t="s">
        <v>965</v>
      </c>
      <c r="CO2" t="s">
        <v>23</v>
      </c>
      <c r="CP2" t="s">
        <v>441</v>
      </c>
      <c r="CQ2" t="s">
        <v>659</v>
      </c>
      <c r="CR2" t="s">
        <v>32</v>
      </c>
      <c r="CS2" t="s">
        <v>335</v>
      </c>
      <c r="CT2" t="s">
        <v>397</v>
      </c>
      <c r="CU2" t="s">
        <v>34</v>
      </c>
      <c r="CV2" t="s">
        <v>665</v>
      </c>
      <c r="CW2" t="s">
        <v>315</v>
      </c>
      <c r="CX2" t="s">
        <v>27</v>
      </c>
      <c r="CY2" t="s">
        <v>30</v>
      </c>
      <c r="CZ2" t="s">
        <v>695</v>
      </c>
    </row>
    <row r="3" spans="1:104" x14ac:dyDescent="0.45">
      <c r="A3">
        <v>1E-3</v>
      </c>
      <c r="B3" t="s">
        <v>938</v>
      </c>
      <c r="D3">
        <v>1E-3</v>
      </c>
      <c r="E3" t="s">
        <v>938</v>
      </c>
      <c r="G3">
        <v>1E-3</v>
      </c>
      <c r="H3">
        <v>20</v>
      </c>
      <c r="J3">
        <v>1E-3</v>
      </c>
      <c r="K3" t="s">
        <v>938</v>
      </c>
      <c r="L3" t="s">
        <v>937</v>
      </c>
      <c r="M3" t="s">
        <v>938</v>
      </c>
      <c r="N3" t="s">
        <v>937</v>
      </c>
      <c r="P3" t="s">
        <v>938</v>
      </c>
      <c r="Q3">
        <v>13</v>
      </c>
      <c r="R3">
        <v>19</v>
      </c>
      <c r="S3">
        <v>13</v>
      </c>
      <c r="U3" t="s">
        <v>938</v>
      </c>
      <c r="V3" t="s">
        <v>936</v>
      </c>
      <c r="W3" t="s">
        <v>936</v>
      </c>
      <c r="X3" t="s">
        <v>938</v>
      </c>
      <c r="Y3" t="s">
        <v>935</v>
      </c>
      <c r="Z3" t="s">
        <v>935</v>
      </c>
      <c r="AB3">
        <v>1</v>
      </c>
      <c r="AC3">
        <v>0.28000000000000003</v>
      </c>
      <c r="AD3">
        <v>0.31</v>
      </c>
      <c r="AE3">
        <v>0.34</v>
      </c>
      <c r="AF3">
        <v>0.35</v>
      </c>
      <c r="AG3">
        <v>0.37</v>
      </c>
      <c r="AH3">
        <v>0.42</v>
      </c>
      <c r="AI3">
        <v>0.5</v>
      </c>
      <c r="AJ3">
        <v>0.6</v>
      </c>
      <c r="AK3">
        <v>0.68</v>
      </c>
      <c r="AL3">
        <v>0.78</v>
      </c>
      <c r="AM3">
        <v>0.92</v>
      </c>
      <c r="AN3">
        <v>1.1000000000000001</v>
      </c>
      <c r="AO3">
        <v>1.4</v>
      </c>
      <c r="AP3">
        <v>1.7</v>
      </c>
      <c r="AQ3">
        <v>2.1</v>
      </c>
      <c r="AR3">
        <v>3.4</v>
      </c>
      <c r="AS3">
        <v>5.3</v>
      </c>
      <c r="AT3">
        <v>8.4</v>
      </c>
      <c r="AU3">
        <v>13</v>
      </c>
      <c r="AV3">
        <v>21</v>
      </c>
      <c r="AW3">
        <v>33</v>
      </c>
      <c r="AX3">
        <v>53</v>
      </c>
      <c r="BA3" t="s">
        <v>939</v>
      </c>
      <c r="BB3">
        <v>15</v>
      </c>
      <c r="BC3">
        <v>20</v>
      </c>
      <c r="BD3">
        <v>25</v>
      </c>
      <c r="BE3">
        <v>15</v>
      </c>
      <c r="BF3">
        <v>20</v>
      </c>
      <c r="BG3">
        <v>25</v>
      </c>
      <c r="BO3" t="s">
        <v>964</v>
      </c>
      <c r="BP3">
        <v>1.29</v>
      </c>
      <c r="BQ3">
        <v>1.2</v>
      </c>
      <c r="BR3">
        <v>1.1499999999999999</v>
      </c>
      <c r="BT3" t="s">
        <v>966</v>
      </c>
      <c r="BU3">
        <v>0.8</v>
      </c>
      <c r="BW3" t="s">
        <v>938</v>
      </c>
      <c r="BX3">
        <v>617</v>
      </c>
      <c r="BY3">
        <v>617</v>
      </c>
      <c r="BZ3">
        <v>617</v>
      </c>
      <c r="CA3">
        <v>617</v>
      </c>
      <c r="CB3">
        <v>376</v>
      </c>
      <c r="CC3">
        <v>376</v>
      </c>
      <c r="CD3">
        <v>225</v>
      </c>
      <c r="CH3" t="s">
        <v>967</v>
      </c>
      <c r="CI3" t="s">
        <v>910</v>
      </c>
      <c r="CJ3" t="s">
        <v>614</v>
      </c>
      <c r="CK3" t="s">
        <v>968</v>
      </c>
      <c r="CL3" t="s">
        <v>969</v>
      </c>
      <c r="CM3" t="s">
        <v>970</v>
      </c>
      <c r="CN3" t="s">
        <v>966</v>
      </c>
      <c r="CO3" t="s">
        <v>971</v>
      </c>
      <c r="CP3" t="s">
        <v>531</v>
      </c>
      <c r="CQ3" t="s">
        <v>477</v>
      </c>
      <c r="CR3" t="s">
        <v>149</v>
      </c>
      <c r="CS3" t="s">
        <v>356</v>
      </c>
      <c r="CT3" t="s">
        <v>393</v>
      </c>
      <c r="CU3" t="s">
        <v>972</v>
      </c>
      <c r="CV3" t="s">
        <v>973</v>
      </c>
      <c r="CW3" t="s">
        <v>34</v>
      </c>
      <c r="CX3" t="s">
        <v>974</v>
      </c>
      <c r="CY3" t="s">
        <v>975</v>
      </c>
      <c r="CZ3" t="s">
        <v>976</v>
      </c>
    </row>
    <row r="4" spans="1:104" x14ac:dyDescent="0.45">
      <c r="A4">
        <v>16.001000000000001</v>
      </c>
      <c r="B4" t="s">
        <v>938</v>
      </c>
      <c r="D4">
        <v>15.000999999999999</v>
      </c>
      <c r="E4" t="s">
        <v>937</v>
      </c>
      <c r="G4">
        <v>20.001000000000001</v>
      </c>
      <c r="H4">
        <v>30</v>
      </c>
      <c r="J4">
        <v>20.001000000000001</v>
      </c>
      <c r="K4" t="s">
        <v>938</v>
      </c>
      <c r="L4" t="s">
        <v>937</v>
      </c>
      <c r="M4" t="s">
        <v>938</v>
      </c>
      <c r="N4" t="s">
        <v>937</v>
      </c>
      <c r="P4" t="s">
        <v>937</v>
      </c>
      <c r="Q4">
        <v>13</v>
      </c>
      <c r="R4">
        <v>25</v>
      </c>
      <c r="S4">
        <v>19</v>
      </c>
      <c r="U4" t="s">
        <v>937</v>
      </c>
      <c r="V4" t="s">
        <v>936</v>
      </c>
      <c r="W4" t="s">
        <v>936</v>
      </c>
      <c r="X4" t="s">
        <v>937</v>
      </c>
      <c r="Y4" t="s">
        <v>935</v>
      </c>
      <c r="Z4" t="s">
        <v>935</v>
      </c>
      <c r="AB4">
        <v>0.95</v>
      </c>
      <c r="AC4">
        <v>0.5</v>
      </c>
      <c r="AD4">
        <v>0.52</v>
      </c>
      <c r="AE4">
        <v>0.55000000000000004</v>
      </c>
      <c r="AF4">
        <v>0.56999999999999995</v>
      </c>
      <c r="AG4">
        <v>0.59</v>
      </c>
      <c r="AH4">
        <v>0.64</v>
      </c>
      <c r="AI4">
        <v>0.71</v>
      </c>
      <c r="AJ4">
        <v>0.81</v>
      </c>
      <c r="AK4">
        <v>0.88</v>
      </c>
      <c r="AL4">
        <v>1</v>
      </c>
      <c r="AM4">
        <v>1.1000000000000001</v>
      </c>
      <c r="AN4">
        <v>1.3</v>
      </c>
      <c r="AO4">
        <v>1.5</v>
      </c>
      <c r="AP4">
        <v>1.9</v>
      </c>
      <c r="AQ4">
        <v>2.2999999999999998</v>
      </c>
      <c r="AR4">
        <v>3.5</v>
      </c>
      <c r="AS4">
        <v>5.3</v>
      </c>
      <c r="AT4">
        <v>8.1999999999999993</v>
      </c>
      <c r="AU4">
        <v>13</v>
      </c>
      <c r="AV4">
        <v>20</v>
      </c>
      <c r="AW4">
        <v>32</v>
      </c>
      <c r="AX4">
        <v>50</v>
      </c>
      <c r="BA4" t="s">
        <v>938</v>
      </c>
      <c r="BB4">
        <v>20</v>
      </c>
      <c r="BC4">
        <v>25</v>
      </c>
      <c r="BD4">
        <v>30</v>
      </c>
      <c r="BE4">
        <v>20</v>
      </c>
      <c r="BF4">
        <v>25</v>
      </c>
      <c r="BG4">
        <v>30</v>
      </c>
      <c r="BH4">
        <v>15</v>
      </c>
      <c r="BI4">
        <v>20</v>
      </c>
      <c r="BJ4">
        <v>25</v>
      </c>
      <c r="BK4">
        <v>15</v>
      </c>
      <c r="BL4">
        <v>20</v>
      </c>
      <c r="BM4">
        <v>25</v>
      </c>
      <c r="BO4" t="s">
        <v>970</v>
      </c>
      <c r="BP4">
        <v>1.22</v>
      </c>
      <c r="BQ4">
        <v>1.1499999999999999</v>
      </c>
      <c r="BR4">
        <v>1.1200000000000001</v>
      </c>
      <c r="BT4" t="s">
        <v>977</v>
      </c>
      <c r="BU4">
        <v>0.7</v>
      </c>
      <c r="BW4" t="s">
        <v>937</v>
      </c>
      <c r="BX4">
        <v>981</v>
      </c>
      <c r="BY4">
        <v>981</v>
      </c>
      <c r="BZ4">
        <v>981</v>
      </c>
      <c r="CA4">
        <v>981</v>
      </c>
      <c r="CB4">
        <v>599</v>
      </c>
      <c r="CC4">
        <v>599</v>
      </c>
      <c r="CD4">
        <v>400</v>
      </c>
      <c r="CH4" t="s">
        <v>978</v>
      </c>
      <c r="CI4" t="s">
        <v>912</v>
      </c>
      <c r="CJ4" t="s">
        <v>914</v>
      </c>
      <c r="CM4" t="s">
        <v>979</v>
      </c>
      <c r="CN4" t="s">
        <v>977</v>
      </c>
      <c r="CP4" t="s">
        <v>532</v>
      </c>
      <c r="CQ4" t="s">
        <v>481</v>
      </c>
      <c r="CV4" t="s">
        <v>980</v>
      </c>
      <c r="CX4" t="s">
        <v>981</v>
      </c>
      <c r="CZ4" t="s">
        <v>982</v>
      </c>
    </row>
    <row r="5" spans="1:104" x14ac:dyDescent="0.45">
      <c r="A5">
        <v>20.001000000000001</v>
      </c>
      <c r="B5" t="s">
        <v>937</v>
      </c>
      <c r="D5">
        <v>20.001000000000001</v>
      </c>
      <c r="E5" t="s">
        <v>937</v>
      </c>
      <c r="G5">
        <v>30.001000000000001</v>
      </c>
      <c r="H5">
        <v>40</v>
      </c>
      <c r="J5">
        <v>40</v>
      </c>
      <c r="K5" t="s">
        <v>938</v>
      </c>
      <c r="L5" t="s">
        <v>937</v>
      </c>
      <c r="M5" t="s">
        <v>938</v>
      </c>
      <c r="N5" t="s">
        <v>937</v>
      </c>
      <c r="P5" t="s">
        <v>936</v>
      </c>
      <c r="Q5">
        <v>19</v>
      </c>
      <c r="R5">
        <v>31.8</v>
      </c>
      <c r="S5">
        <v>25</v>
      </c>
      <c r="U5" t="s">
        <v>936</v>
      </c>
      <c r="V5" t="s">
        <v>936</v>
      </c>
      <c r="W5" t="s">
        <v>936</v>
      </c>
      <c r="X5" t="s">
        <v>936</v>
      </c>
      <c r="Y5" t="s">
        <v>935</v>
      </c>
      <c r="Z5" t="s">
        <v>935</v>
      </c>
      <c r="AB5">
        <v>0.9</v>
      </c>
      <c r="AC5">
        <v>0.56999999999999995</v>
      </c>
      <c r="AD5">
        <v>0.59</v>
      </c>
      <c r="AE5">
        <v>0.62</v>
      </c>
      <c r="AF5">
        <v>0.64</v>
      </c>
      <c r="AG5">
        <v>0.66</v>
      </c>
      <c r="AH5">
        <v>0.71</v>
      </c>
      <c r="AI5">
        <v>0.78</v>
      </c>
      <c r="AJ5">
        <v>0.88</v>
      </c>
      <c r="AK5">
        <v>0.95</v>
      </c>
      <c r="AL5">
        <v>1.1000000000000001</v>
      </c>
      <c r="AM5">
        <v>1.2</v>
      </c>
      <c r="AN5">
        <v>1.3</v>
      </c>
      <c r="AO5">
        <v>1.6</v>
      </c>
      <c r="AP5">
        <v>1.9</v>
      </c>
      <c r="AQ5">
        <v>2.2999999999999998</v>
      </c>
      <c r="AR5">
        <v>3.4</v>
      </c>
      <c r="AS5">
        <v>5.2</v>
      </c>
      <c r="AT5">
        <v>8</v>
      </c>
      <c r="AU5">
        <v>12</v>
      </c>
      <c r="AV5">
        <v>19</v>
      </c>
      <c r="AW5">
        <v>30</v>
      </c>
      <c r="AX5">
        <v>48</v>
      </c>
      <c r="BA5" t="s">
        <v>937</v>
      </c>
      <c r="BB5">
        <v>30</v>
      </c>
      <c r="BC5">
        <v>35</v>
      </c>
      <c r="BD5">
        <v>40</v>
      </c>
      <c r="BE5">
        <v>30</v>
      </c>
      <c r="BF5">
        <v>35</v>
      </c>
      <c r="BG5">
        <v>40</v>
      </c>
      <c r="BH5">
        <v>25</v>
      </c>
      <c r="BI5">
        <v>30</v>
      </c>
      <c r="BJ5">
        <v>35</v>
      </c>
      <c r="BK5">
        <v>25</v>
      </c>
      <c r="BL5">
        <v>30</v>
      </c>
      <c r="BM5">
        <v>35</v>
      </c>
      <c r="BO5" t="s">
        <v>979</v>
      </c>
      <c r="BP5">
        <v>1.1499999999999999</v>
      </c>
      <c r="BQ5">
        <v>1.1100000000000001</v>
      </c>
      <c r="BR5">
        <v>1.08</v>
      </c>
      <c r="BT5" t="s">
        <v>983</v>
      </c>
      <c r="BU5">
        <v>0.5</v>
      </c>
      <c r="BW5" t="s">
        <v>936</v>
      </c>
      <c r="BX5">
        <v>1558</v>
      </c>
      <c r="BY5">
        <v>1557</v>
      </c>
      <c r="BZ5">
        <v>1558</v>
      </c>
      <c r="CA5">
        <v>1557</v>
      </c>
      <c r="CB5">
        <v>952</v>
      </c>
      <c r="CC5">
        <v>951</v>
      </c>
      <c r="CD5">
        <v>600</v>
      </c>
      <c r="CH5" t="s">
        <v>984</v>
      </c>
      <c r="CI5" t="s">
        <v>911</v>
      </c>
      <c r="CJ5" t="s">
        <v>985</v>
      </c>
      <c r="CM5" t="s">
        <v>986</v>
      </c>
      <c r="CN5" t="s">
        <v>983</v>
      </c>
      <c r="CP5" t="s">
        <v>534</v>
      </c>
      <c r="CQ5" t="s">
        <v>527</v>
      </c>
      <c r="CX5" t="s">
        <v>987</v>
      </c>
      <c r="CZ5" t="s">
        <v>988</v>
      </c>
    </row>
    <row r="6" spans="1:104" x14ac:dyDescent="0.45">
      <c r="A6">
        <v>30.001000000000001</v>
      </c>
      <c r="B6" t="s">
        <v>936</v>
      </c>
      <c r="D6">
        <v>30.001000000000001</v>
      </c>
      <c r="E6" t="s">
        <v>935</v>
      </c>
      <c r="G6">
        <v>40.000999999999998</v>
      </c>
      <c r="H6">
        <v>50</v>
      </c>
      <c r="J6">
        <v>50</v>
      </c>
      <c r="K6" t="s">
        <v>938</v>
      </c>
      <c r="L6" t="s">
        <v>937</v>
      </c>
      <c r="M6" t="s">
        <v>938</v>
      </c>
      <c r="N6" t="s">
        <v>937</v>
      </c>
      <c r="P6" t="s">
        <v>935</v>
      </c>
      <c r="Q6">
        <v>25</v>
      </c>
      <c r="R6">
        <v>31.8</v>
      </c>
      <c r="S6">
        <v>25</v>
      </c>
      <c r="U6" t="s">
        <v>935</v>
      </c>
      <c r="V6" t="s">
        <v>936</v>
      </c>
      <c r="W6" t="s">
        <v>936</v>
      </c>
      <c r="X6" t="s">
        <v>935</v>
      </c>
      <c r="Y6" t="s">
        <v>935</v>
      </c>
      <c r="Z6" t="s">
        <v>935</v>
      </c>
      <c r="AB6">
        <v>0.8</v>
      </c>
      <c r="AC6">
        <v>0.66</v>
      </c>
      <c r="AD6">
        <v>0.68</v>
      </c>
      <c r="AE6">
        <v>0.71</v>
      </c>
      <c r="AF6">
        <v>0.73</v>
      </c>
      <c r="AG6">
        <v>0.74</v>
      </c>
      <c r="AH6">
        <v>0.8</v>
      </c>
      <c r="AI6">
        <v>0.85</v>
      </c>
      <c r="AJ6">
        <v>0.95</v>
      </c>
      <c r="AK6">
        <v>1</v>
      </c>
      <c r="AL6">
        <v>1.1000000000000001</v>
      </c>
      <c r="AM6">
        <v>1.2</v>
      </c>
      <c r="AN6">
        <v>1.4</v>
      </c>
      <c r="AO6">
        <v>1.6</v>
      </c>
      <c r="AP6">
        <v>1.9</v>
      </c>
      <c r="AQ6">
        <v>2.2999999999999998</v>
      </c>
      <c r="AR6">
        <v>3.2</v>
      </c>
      <c r="AS6">
        <v>4.8</v>
      </c>
      <c r="AT6">
        <v>7.3</v>
      </c>
      <c r="AU6">
        <v>11</v>
      </c>
      <c r="AV6">
        <v>17</v>
      </c>
      <c r="AW6">
        <v>27</v>
      </c>
      <c r="AX6">
        <v>43</v>
      </c>
      <c r="BA6" t="s">
        <v>936</v>
      </c>
      <c r="BB6">
        <v>40</v>
      </c>
      <c r="BC6">
        <v>50</v>
      </c>
      <c r="BD6">
        <v>55</v>
      </c>
      <c r="BE6">
        <v>40</v>
      </c>
      <c r="BF6">
        <v>50</v>
      </c>
      <c r="BG6">
        <v>55</v>
      </c>
      <c r="BH6">
        <v>35</v>
      </c>
      <c r="BI6">
        <v>40</v>
      </c>
      <c r="BJ6">
        <v>45</v>
      </c>
      <c r="BK6">
        <v>35</v>
      </c>
      <c r="BL6">
        <v>40</v>
      </c>
      <c r="BM6">
        <v>45</v>
      </c>
      <c r="BO6" t="s">
        <v>986</v>
      </c>
      <c r="BP6">
        <v>1.08</v>
      </c>
      <c r="BQ6">
        <v>1.05</v>
      </c>
      <c r="BR6">
        <v>1.04</v>
      </c>
      <c r="BT6" t="s">
        <v>989</v>
      </c>
      <c r="BU6">
        <v>0.45</v>
      </c>
      <c r="BW6" t="s">
        <v>935</v>
      </c>
      <c r="BX6">
        <v>2430</v>
      </c>
      <c r="BY6">
        <v>2425</v>
      </c>
      <c r="BZ6">
        <v>2430</v>
      </c>
      <c r="CA6">
        <v>2425</v>
      </c>
      <c r="CB6">
        <v>1482</v>
      </c>
      <c r="CC6">
        <v>1481</v>
      </c>
      <c r="CD6">
        <v>800</v>
      </c>
      <c r="CH6" t="s">
        <v>990</v>
      </c>
      <c r="CJ6" t="s">
        <v>991</v>
      </c>
      <c r="CM6" t="s">
        <v>644</v>
      </c>
      <c r="CN6" t="s">
        <v>989</v>
      </c>
      <c r="CP6" t="s">
        <v>533</v>
      </c>
      <c r="CX6" t="s">
        <v>992</v>
      </c>
      <c r="CZ6" t="s">
        <v>993</v>
      </c>
    </row>
    <row r="7" spans="1:104" x14ac:dyDescent="0.45">
      <c r="A7">
        <v>40.000999999999998</v>
      </c>
      <c r="B7" t="s">
        <v>935</v>
      </c>
      <c r="D7">
        <v>40.000999999999998</v>
      </c>
      <c r="E7" t="s">
        <v>934</v>
      </c>
      <c r="G7">
        <v>50.000999999999998</v>
      </c>
      <c r="H7">
        <v>60</v>
      </c>
      <c r="J7">
        <v>60</v>
      </c>
      <c r="K7" t="s">
        <v>937</v>
      </c>
      <c r="L7" t="s">
        <v>936</v>
      </c>
      <c r="M7" t="s">
        <v>937</v>
      </c>
      <c r="N7" t="s">
        <v>936</v>
      </c>
      <c r="P7" t="s">
        <v>934</v>
      </c>
      <c r="Q7">
        <v>31.8</v>
      </c>
      <c r="R7">
        <v>38.1</v>
      </c>
      <c r="S7">
        <v>31.8</v>
      </c>
      <c r="U7" t="s">
        <v>934</v>
      </c>
      <c r="V7" t="s">
        <v>936</v>
      </c>
      <c r="W7" t="s">
        <v>936</v>
      </c>
      <c r="X7" t="s">
        <v>934</v>
      </c>
      <c r="Y7" t="s">
        <v>935</v>
      </c>
      <c r="Z7" t="s">
        <v>935</v>
      </c>
      <c r="AC7" t="s">
        <v>918</v>
      </c>
      <c r="AD7" t="s">
        <v>919</v>
      </c>
      <c r="AE7" t="s">
        <v>920</v>
      </c>
      <c r="AF7" t="s">
        <v>921</v>
      </c>
      <c r="AG7" t="s">
        <v>922</v>
      </c>
      <c r="AH7" t="s">
        <v>923</v>
      </c>
      <c r="AI7" t="s">
        <v>924</v>
      </c>
      <c r="AJ7" t="s">
        <v>925</v>
      </c>
      <c r="AK7" t="s">
        <v>926</v>
      </c>
      <c r="AL7" t="s">
        <v>927</v>
      </c>
      <c r="AM7" t="s">
        <v>928</v>
      </c>
      <c r="AN7" t="s">
        <v>929</v>
      </c>
      <c r="AO7" t="s">
        <v>930</v>
      </c>
      <c r="AP7" t="s">
        <v>931</v>
      </c>
      <c r="AQ7" t="s">
        <v>932</v>
      </c>
      <c r="AR7" t="s">
        <v>933</v>
      </c>
      <c r="AS7" t="s">
        <v>934</v>
      </c>
      <c r="AT7" t="s">
        <v>935</v>
      </c>
      <c r="AU7" t="s">
        <v>936</v>
      </c>
      <c r="AV7" t="s">
        <v>937</v>
      </c>
      <c r="AW7" t="s">
        <v>938</v>
      </c>
      <c r="AX7" t="s">
        <v>939</v>
      </c>
      <c r="BA7" t="s">
        <v>935</v>
      </c>
      <c r="BB7">
        <v>55</v>
      </c>
      <c r="BC7">
        <v>65</v>
      </c>
      <c r="BD7">
        <v>75</v>
      </c>
      <c r="BE7">
        <v>55</v>
      </c>
      <c r="BF7">
        <v>65</v>
      </c>
      <c r="BG7">
        <v>75</v>
      </c>
      <c r="BH7">
        <v>40</v>
      </c>
      <c r="BI7">
        <v>50</v>
      </c>
      <c r="BJ7">
        <v>55</v>
      </c>
      <c r="BK7">
        <v>40</v>
      </c>
      <c r="BL7">
        <v>50</v>
      </c>
      <c r="BM7">
        <v>55</v>
      </c>
      <c r="BO7" t="s">
        <v>644</v>
      </c>
      <c r="BP7">
        <v>1</v>
      </c>
      <c r="BQ7">
        <v>1</v>
      </c>
      <c r="BR7">
        <v>1</v>
      </c>
      <c r="BT7" t="s">
        <v>994</v>
      </c>
      <c r="BU7">
        <v>0.4</v>
      </c>
      <c r="BW7" t="s">
        <v>934</v>
      </c>
      <c r="BX7">
        <v>3825</v>
      </c>
      <c r="BY7">
        <v>3806</v>
      </c>
      <c r="BZ7">
        <v>3825</v>
      </c>
      <c r="CA7">
        <v>3806</v>
      </c>
      <c r="CB7">
        <v>2350</v>
      </c>
      <c r="CC7">
        <v>2346</v>
      </c>
      <c r="CD7">
        <v>1000</v>
      </c>
      <c r="CH7" t="s">
        <v>925</v>
      </c>
      <c r="CJ7" t="s">
        <v>995</v>
      </c>
      <c r="CM7" t="s">
        <v>996</v>
      </c>
      <c r="CN7" t="s">
        <v>994</v>
      </c>
      <c r="CP7" t="s">
        <v>997</v>
      </c>
      <c r="CZ7" t="s">
        <v>998</v>
      </c>
    </row>
    <row r="8" spans="1:104" x14ac:dyDescent="0.45">
      <c r="A8">
        <v>50.000999999999998</v>
      </c>
      <c r="B8" t="s">
        <v>934</v>
      </c>
      <c r="D8">
        <v>50.000999999999998</v>
      </c>
      <c r="E8" t="s">
        <v>933</v>
      </c>
      <c r="G8">
        <v>60.000999999999998</v>
      </c>
      <c r="H8">
        <v>70</v>
      </c>
      <c r="J8">
        <v>70</v>
      </c>
      <c r="K8" t="s">
        <v>937</v>
      </c>
      <c r="L8" t="s">
        <v>936</v>
      </c>
      <c r="M8" t="s">
        <v>937</v>
      </c>
      <c r="N8" t="s">
        <v>936</v>
      </c>
      <c r="P8" t="s">
        <v>933</v>
      </c>
      <c r="Q8">
        <v>38.1</v>
      </c>
      <c r="R8">
        <v>50.8</v>
      </c>
      <c r="S8">
        <v>31.8</v>
      </c>
      <c r="U8" t="s">
        <v>933</v>
      </c>
      <c r="V8" t="s">
        <v>936</v>
      </c>
      <c r="W8" t="s">
        <v>936</v>
      </c>
      <c r="X8" t="s">
        <v>933</v>
      </c>
      <c r="Y8" t="s">
        <v>935</v>
      </c>
      <c r="Z8" t="s">
        <v>935</v>
      </c>
      <c r="AB8">
        <v>1</v>
      </c>
      <c r="AC8">
        <v>0.42</v>
      </c>
      <c r="AD8">
        <v>0.45</v>
      </c>
      <c r="AE8">
        <v>0.49</v>
      </c>
      <c r="AF8">
        <v>0.52</v>
      </c>
      <c r="AG8">
        <v>0.55000000000000004</v>
      </c>
      <c r="AH8">
        <v>0.63</v>
      </c>
      <c r="AI8">
        <v>0.74</v>
      </c>
      <c r="AJ8">
        <v>0.91</v>
      </c>
      <c r="AK8">
        <v>1</v>
      </c>
      <c r="AL8">
        <v>1.2</v>
      </c>
      <c r="AM8">
        <v>1.4</v>
      </c>
      <c r="AN8">
        <v>1.7</v>
      </c>
      <c r="AO8">
        <v>2.1</v>
      </c>
      <c r="AP8">
        <v>2.6</v>
      </c>
      <c r="AQ8">
        <v>3.3</v>
      </c>
      <c r="AR8">
        <v>5.2</v>
      </c>
      <c r="AS8">
        <v>8.4</v>
      </c>
      <c r="AT8">
        <v>13</v>
      </c>
      <c r="AU8">
        <v>21</v>
      </c>
      <c r="BA8" t="s">
        <v>934</v>
      </c>
      <c r="BB8">
        <v>70</v>
      </c>
      <c r="BC8">
        <v>85</v>
      </c>
      <c r="BD8">
        <v>95</v>
      </c>
      <c r="BE8">
        <v>70</v>
      </c>
      <c r="BF8">
        <v>85</v>
      </c>
      <c r="BG8">
        <v>95</v>
      </c>
      <c r="BH8">
        <v>55</v>
      </c>
      <c r="BI8">
        <v>65</v>
      </c>
      <c r="BJ8">
        <v>75</v>
      </c>
      <c r="BK8">
        <v>55</v>
      </c>
      <c r="BL8">
        <v>65</v>
      </c>
      <c r="BM8">
        <v>75</v>
      </c>
      <c r="BO8" t="s">
        <v>996</v>
      </c>
      <c r="BP8">
        <v>0.91</v>
      </c>
      <c r="BQ8">
        <v>0.94</v>
      </c>
      <c r="BR8">
        <v>0.96</v>
      </c>
      <c r="BT8" t="s">
        <v>999</v>
      </c>
      <c r="BU8">
        <v>0.35</v>
      </c>
      <c r="BW8" t="s">
        <v>933</v>
      </c>
      <c r="BX8">
        <v>6044</v>
      </c>
      <c r="BY8">
        <v>5906</v>
      </c>
      <c r="BZ8">
        <v>6044</v>
      </c>
      <c r="CA8">
        <v>5906</v>
      </c>
      <c r="CB8">
        <v>3730</v>
      </c>
      <c r="CC8">
        <v>3713</v>
      </c>
      <c r="CD8">
        <v>1200</v>
      </c>
      <c r="CH8" t="s">
        <v>1000</v>
      </c>
      <c r="CJ8" t="s">
        <v>1001</v>
      </c>
      <c r="CM8" t="s">
        <v>1002</v>
      </c>
      <c r="CN8" t="s">
        <v>999</v>
      </c>
      <c r="CZ8" t="s">
        <v>1003</v>
      </c>
    </row>
    <row r="9" spans="1:104" x14ac:dyDescent="0.45">
      <c r="A9">
        <v>60.000999999999998</v>
      </c>
      <c r="B9" t="s">
        <v>934</v>
      </c>
      <c r="D9">
        <v>60.000999999999998</v>
      </c>
      <c r="E9" t="s">
        <v>933</v>
      </c>
      <c r="G9">
        <v>70.001000000000005</v>
      </c>
      <c r="H9">
        <v>80</v>
      </c>
      <c r="J9">
        <v>90</v>
      </c>
      <c r="K9" t="s">
        <v>937</v>
      </c>
      <c r="L9" t="s">
        <v>936</v>
      </c>
      <c r="M9" t="s">
        <v>937</v>
      </c>
      <c r="N9" t="s">
        <v>936</v>
      </c>
      <c r="P9" t="s">
        <v>932</v>
      </c>
      <c r="Q9">
        <v>50.8</v>
      </c>
      <c r="R9">
        <v>63.5</v>
      </c>
      <c r="S9">
        <v>50.8</v>
      </c>
      <c r="U9" t="s">
        <v>932</v>
      </c>
      <c r="V9" t="s">
        <v>935</v>
      </c>
      <c r="W9" t="s">
        <v>935</v>
      </c>
      <c r="X9" t="s">
        <v>932</v>
      </c>
      <c r="Y9" t="s">
        <v>935</v>
      </c>
      <c r="Z9" t="s">
        <v>935</v>
      </c>
      <c r="AB9">
        <v>0.95</v>
      </c>
      <c r="AC9">
        <v>0.62</v>
      </c>
      <c r="AD9">
        <v>0.65</v>
      </c>
      <c r="AE9">
        <v>0.7</v>
      </c>
      <c r="AF9">
        <v>0.73</v>
      </c>
      <c r="AG9">
        <v>0.76</v>
      </c>
      <c r="AH9">
        <v>0.83</v>
      </c>
      <c r="AI9">
        <v>0.94</v>
      </c>
      <c r="AJ9">
        <v>1.1000000000000001</v>
      </c>
      <c r="AK9">
        <v>1.2</v>
      </c>
      <c r="AL9">
        <v>1.4</v>
      </c>
      <c r="AM9">
        <v>1.6</v>
      </c>
      <c r="AN9">
        <v>1.8</v>
      </c>
      <c r="AO9">
        <v>2.2999999999999998</v>
      </c>
      <c r="AP9">
        <v>2.7</v>
      </c>
      <c r="AQ9">
        <v>3.4</v>
      </c>
      <c r="AR9">
        <v>5.3</v>
      </c>
      <c r="AS9">
        <v>8.1999999999999993</v>
      </c>
      <c r="AT9">
        <v>13</v>
      </c>
      <c r="AU9">
        <v>20</v>
      </c>
      <c r="BA9" t="s">
        <v>1004</v>
      </c>
      <c r="BB9">
        <v>85</v>
      </c>
      <c r="BC9">
        <v>100</v>
      </c>
      <c r="BD9">
        <v>115</v>
      </c>
      <c r="BE9">
        <v>85</v>
      </c>
      <c r="BF9">
        <v>100</v>
      </c>
      <c r="BG9">
        <v>115</v>
      </c>
      <c r="BH9">
        <v>65</v>
      </c>
      <c r="BI9">
        <v>75</v>
      </c>
      <c r="BJ9">
        <v>85</v>
      </c>
      <c r="BK9">
        <v>65</v>
      </c>
      <c r="BL9">
        <v>75</v>
      </c>
      <c r="BM9">
        <v>85</v>
      </c>
      <c r="BO9" t="s">
        <v>1002</v>
      </c>
      <c r="BP9">
        <v>0.82</v>
      </c>
      <c r="BQ9">
        <v>0.88</v>
      </c>
      <c r="BR9">
        <v>0.91</v>
      </c>
      <c r="BT9" t="s">
        <v>965</v>
      </c>
      <c r="BU9">
        <v>1</v>
      </c>
      <c r="BW9" t="s">
        <v>932</v>
      </c>
      <c r="BX9">
        <v>9317</v>
      </c>
      <c r="BY9">
        <v>8924</v>
      </c>
      <c r="BZ9">
        <v>9317</v>
      </c>
      <c r="CA9">
        <v>8924</v>
      </c>
      <c r="CB9">
        <v>5838</v>
      </c>
      <c r="CC9">
        <v>5777</v>
      </c>
      <c r="CD9">
        <v>1350</v>
      </c>
      <c r="CM9" t="s">
        <v>1005</v>
      </c>
      <c r="CZ9" t="s">
        <v>1006</v>
      </c>
    </row>
    <row r="10" spans="1:104" x14ac:dyDescent="0.45">
      <c r="A10">
        <v>70.001000000000005</v>
      </c>
      <c r="B10" t="s">
        <v>933</v>
      </c>
      <c r="D10">
        <v>70.001000000000005</v>
      </c>
      <c r="E10" t="s">
        <v>932</v>
      </c>
      <c r="G10">
        <v>80.001000000000005</v>
      </c>
      <c r="H10">
        <v>90</v>
      </c>
      <c r="J10">
        <v>100</v>
      </c>
      <c r="K10" t="s">
        <v>936</v>
      </c>
      <c r="L10" t="s">
        <v>935</v>
      </c>
      <c r="M10" t="s">
        <v>936</v>
      </c>
      <c r="N10" t="s">
        <v>935</v>
      </c>
      <c r="P10" t="s">
        <v>931</v>
      </c>
      <c r="Q10">
        <v>50.8</v>
      </c>
      <c r="R10">
        <v>63.5</v>
      </c>
      <c r="S10">
        <v>50.8</v>
      </c>
      <c r="U10" t="s">
        <v>931</v>
      </c>
      <c r="V10" t="s">
        <v>934</v>
      </c>
      <c r="W10" t="s">
        <v>934</v>
      </c>
      <c r="X10" t="s">
        <v>931</v>
      </c>
      <c r="Y10" t="s">
        <v>934</v>
      </c>
      <c r="Z10" t="s">
        <v>934</v>
      </c>
      <c r="AB10">
        <v>0.9</v>
      </c>
      <c r="AC10">
        <v>0.69</v>
      </c>
      <c r="AD10">
        <v>0.72</v>
      </c>
      <c r="AE10">
        <v>0.76</v>
      </c>
      <c r="AF10">
        <v>0.79</v>
      </c>
      <c r="AG10">
        <v>0.82</v>
      </c>
      <c r="AH10">
        <v>0.88</v>
      </c>
      <c r="AI10">
        <v>0.99</v>
      </c>
      <c r="AJ10">
        <v>1.2</v>
      </c>
      <c r="AK10">
        <v>1.3</v>
      </c>
      <c r="AL10">
        <v>1.4</v>
      </c>
      <c r="AM10">
        <v>1.6</v>
      </c>
      <c r="AN10">
        <v>1.9</v>
      </c>
      <c r="AO10">
        <v>2.2999999999999998</v>
      </c>
      <c r="AP10">
        <v>2.7</v>
      </c>
      <c r="AQ10">
        <v>3.4</v>
      </c>
      <c r="AR10">
        <v>5.0999999999999996</v>
      </c>
      <c r="AS10">
        <v>7.9</v>
      </c>
      <c r="AT10">
        <v>12</v>
      </c>
      <c r="AU10">
        <v>19</v>
      </c>
      <c r="BA10" t="s">
        <v>933</v>
      </c>
      <c r="BB10">
        <v>95</v>
      </c>
      <c r="BC10">
        <v>115</v>
      </c>
      <c r="BD10">
        <v>130</v>
      </c>
      <c r="BE10">
        <v>95</v>
      </c>
      <c r="BF10">
        <v>115</v>
      </c>
      <c r="BG10">
        <v>130</v>
      </c>
      <c r="BH10">
        <v>75</v>
      </c>
      <c r="BI10">
        <v>90</v>
      </c>
      <c r="BJ10">
        <v>100</v>
      </c>
      <c r="BK10">
        <v>75</v>
      </c>
      <c r="BL10">
        <v>90</v>
      </c>
      <c r="BM10">
        <v>100</v>
      </c>
      <c r="BO10" t="s">
        <v>1005</v>
      </c>
      <c r="BP10">
        <v>0.71</v>
      </c>
      <c r="BQ10">
        <v>0.82</v>
      </c>
      <c r="BR10">
        <v>0.87</v>
      </c>
      <c r="BW10" t="s">
        <v>931</v>
      </c>
      <c r="BX10">
        <v>11423</v>
      </c>
      <c r="BY10">
        <v>10755</v>
      </c>
      <c r="BZ10">
        <v>11423</v>
      </c>
      <c r="CA10">
        <v>10755</v>
      </c>
      <c r="CB10">
        <v>7301</v>
      </c>
      <c r="CC10">
        <v>7187</v>
      </c>
      <c r="CD10">
        <v>1600</v>
      </c>
      <c r="CM10" t="s">
        <v>1007</v>
      </c>
      <c r="CZ10" t="s">
        <v>1008</v>
      </c>
    </row>
    <row r="11" spans="1:104" x14ac:dyDescent="0.45">
      <c r="A11">
        <v>80.001000000000005</v>
      </c>
      <c r="B11" t="s">
        <v>933</v>
      </c>
      <c r="D11">
        <v>80.001000000000005</v>
      </c>
      <c r="E11" t="s">
        <v>932</v>
      </c>
      <c r="G11">
        <v>90.001000000000005</v>
      </c>
      <c r="H11">
        <v>100</v>
      </c>
      <c r="J11">
        <v>125</v>
      </c>
      <c r="K11" t="s">
        <v>936</v>
      </c>
      <c r="L11" t="s">
        <v>935</v>
      </c>
      <c r="M11" t="s">
        <v>936</v>
      </c>
      <c r="N11" t="s">
        <v>935</v>
      </c>
      <c r="P11" t="s">
        <v>930</v>
      </c>
      <c r="Q11">
        <v>63.5</v>
      </c>
      <c r="R11">
        <v>76.2</v>
      </c>
      <c r="S11">
        <v>50.8</v>
      </c>
      <c r="U11" t="s">
        <v>930</v>
      </c>
      <c r="V11" t="s">
        <v>933</v>
      </c>
      <c r="W11" t="s">
        <v>933</v>
      </c>
      <c r="X11" t="s">
        <v>930</v>
      </c>
      <c r="Y11" t="s">
        <v>934</v>
      </c>
      <c r="Z11" t="s">
        <v>934</v>
      </c>
      <c r="AB11">
        <v>0.8</v>
      </c>
      <c r="AC11">
        <v>0.76</v>
      </c>
      <c r="AD11">
        <v>0.8</v>
      </c>
      <c r="AE11">
        <v>0.83</v>
      </c>
      <c r="AF11">
        <v>0.85</v>
      </c>
      <c r="AG11">
        <v>0.88</v>
      </c>
      <c r="AH11">
        <v>0.95</v>
      </c>
      <c r="AI11">
        <v>1</v>
      </c>
      <c r="AJ11">
        <v>1.2</v>
      </c>
      <c r="AK11">
        <v>1.3</v>
      </c>
      <c r="AL11">
        <v>1.4</v>
      </c>
      <c r="AM11">
        <v>1.6</v>
      </c>
      <c r="AN11">
        <v>1.8</v>
      </c>
      <c r="AO11">
        <v>2.2000000000000002</v>
      </c>
      <c r="AP11">
        <v>2.6</v>
      </c>
      <c r="AQ11">
        <v>3.2</v>
      </c>
      <c r="AR11">
        <v>4.7</v>
      </c>
      <c r="AS11">
        <v>7.3</v>
      </c>
      <c r="AT11">
        <v>11</v>
      </c>
      <c r="AU11">
        <v>17</v>
      </c>
      <c r="BA11" t="s">
        <v>1009</v>
      </c>
      <c r="BB11">
        <v>110</v>
      </c>
      <c r="BC11">
        <v>130</v>
      </c>
      <c r="BD11">
        <v>145</v>
      </c>
      <c r="BE11">
        <v>110</v>
      </c>
      <c r="BF11">
        <v>130</v>
      </c>
      <c r="BG11">
        <v>145</v>
      </c>
      <c r="BH11">
        <v>85</v>
      </c>
      <c r="BI11">
        <v>100</v>
      </c>
      <c r="BJ11">
        <v>115</v>
      </c>
      <c r="BK11">
        <v>85</v>
      </c>
      <c r="BL11">
        <v>100</v>
      </c>
      <c r="BM11">
        <v>115</v>
      </c>
      <c r="BO11" t="s">
        <v>1007</v>
      </c>
      <c r="BP11">
        <v>0.57999999999999996</v>
      </c>
      <c r="BQ11">
        <v>0.75</v>
      </c>
      <c r="BR11">
        <v>0.82</v>
      </c>
      <c r="BW11" t="s">
        <v>930</v>
      </c>
      <c r="BX11">
        <v>13923</v>
      </c>
      <c r="BY11">
        <v>12843</v>
      </c>
      <c r="BZ11">
        <v>13923</v>
      </c>
      <c r="CA11">
        <v>12843</v>
      </c>
      <c r="CB11">
        <v>9110</v>
      </c>
      <c r="CC11">
        <v>8826</v>
      </c>
      <c r="CD11">
        <v>2000</v>
      </c>
      <c r="CM11" t="s">
        <v>1010</v>
      </c>
      <c r="CZ11" t="s">
        <v>1011</v>
      </c>
    </row>
    <row r="12" spans="1:104" x14ac:dyDescent="0.45">
      <c r="A12">
        <v>90.001000000000005</v>
      </c>
      <c r="B12" t="s">
        <v>932</v>
      </c>
      <c r="D12">
        <v>90.001000000000005</v>
      </c>
      <c r="E12" t="s">
        <v>932</v>
      </c>
      <c r="G12">
        <v>100.001</v>
      </c>
      <c r="H12">
        <v>125</v>
      </c>
      <c r="J12">
        <v>150</v>
      </c>
      <c r="K12" t="s">
        <v>936</v>
      </c>
      <c r="L12" t="s">
        <v>935</v>
      </c>
      <c r="M12" t="s">
        <v>936</v>
      </c>
      <c r="N12" t="s">
        <v>935</v>
      </c>
      <c r="P12" t="s">
        <v>929</v>
      </c>
      <c r="Q12">
        <v>63.5</v>
      </c>
      <c r="R12">
        <v>76.2</v>
      </c>
      <c r="S12">
        <v>63.5</v>
      </c>
      <c r="U12" t="s">
        <v>929</v>
      </c>
      <c r="V12" t="s">
        <v>933</v>
      </c>
      <c r="W12" t="s">
        <v>933</v>
      </c>
      <c r="X12" t="s">
        <v>929</v>
      </c>
      <c r="Y12" t="s">
        <v>933</v>
      </c>
      <c r="Z12" t="s">
        <v>933</v>
      </c>
      <c r="BA12" t="s">
        <v>932</v>
      </c>
      <c r="BB12">
        <v>125</v>
      </c>
      <c r="BC12">
        <v>150</v>
      </c>
      <c r="BD12">
        <v>170</v>
      </c>
      <c r="BE12">
        <v>125</v>
      </c>
      <c r="BF12">
        <v>150</v>
      </c>
      <c r="BG12">
        <v>170</v>
      </c>
      <c r="BH12">
        <v>100</v>
      </c>
      <c r="BI12">
        <v>120</v>
      </c>
      <c r="BJ12">
        <v>135</v>
      </c>
      <c r="BK12">
        <v>100</v>
      </c>
      <c r="BL12">
        <v>120</v>
      </c>
      <c r="BM12">
        <v>135</v>
      </c>
      <c r="BO12" t="s">
        <v>1010</v>
      </c>
      <c r="BP12">
        <v>0.41</v>
      </c>
      <c r="BQ12">
        <v>0.67</v>
      </c>
      <c r="BR12">
        <v>0.76</v>
      </c>
      <c r="BW12" t="s">
        <v>929</v>
      </c>
      <c r="BX12">
        <v>16673</v>
      </c>
      <c r="BY12">
        <v>15082</v>
      </c>
      <c r="BZ12">
        <v>16673</v>
      </c>
      <c r="CA12">
        <v>15082</v>
      </c>
      <c r="CB12">
        <v>11174</v>
      </c>
      <c r="CC12">
        <v>10741</v>
      </c>
      <c r="CD12">
        <v>2500</v>
      </c>
      <c r="CM12" t="s">
        <v>1012</v>
      </c>
    </row>
    <row r="13" spans="1:104" x14ac:dyDescent="0.45">
      <c r="A13">
        <v>100.001</v>
      </c>
      <c r="B13" t="s">
        <v>932</v>
      </c>
      <c r="D13">
        <v>100.001</v>
      </c>
      <c r="E13" t="s">
        <v>931</v>
      </c>
      <c r="G13">
        <v>125.001</v>
      </c>
      <c r="H13">
        <v>150</v>
      </c>
      <c r="J13">
        <v>175</v>
      </c>
      <c r="K13" t="s">
        <v>936</v>
      </c>
      <c r="L13" t="s">
        <v>935</v>
      </c>
      <c r="M13" t="s">
        <v>936</v>
      </c>
      <c r="N13" t="s">
        <v>935</v>
      </c>
      <c r="P13" t="s">
        <v>928</v>
      </c>
      <c r="Q13">
        <v>76.2</v>
      </c>
      <c r="R13">
        <v>88.9</v>
      </c>
      <c r="S13">
        <v>63.5</v>
      </c>
      <c r="U13" t="s">
        <v>928</v>
      </c>
      <c r="V13" t="s">
        <v>933</v>
      </c>
      <c r="W13" t="s">
        <v>933</v>
      </c>
      <c r="X13" t="s">
        <v>928</v>
      </c>
      <c r="Y13" t="s">
        <v>932</v>
      </c>
      <c r="Z13" t="s">
        <v>932</v>
      </c>
      <c r="BA13" t="s">
        <v>931</v>
      </c>
      <c r="BB13">
        <v>145</v>
      </c>
      <c r="BC13">
        <v>175</v>
      </c>
      <c r="BD13">
        <v>195</v>
      </c>
      <c r="BE13">
        <v>145</v>
      </c>
      <c r="BF13">
        <v>175</v>
      </c>
      <c r="BG13">
        <v>195</v>
      </c>
      <c r="BH13">
        <v>115</v>
      </c>
      <c r="BI13">
        <v>135</v>
      </c>
      <c r="BJ13">
        <v>150</v>
      </c>
      <c r="BK13">
        <v>115</v>
      </c>
      <c r="BL13">
        <v>135</v>
      </c>
      <c r="BM13">
        <v>150</v>
      </c>
      <c r="BO13" t="s">
        <v>1012</v>
      </c>
      <c r="BP13">
        <v>0</v>
      </c>
      <c r="BQ13">
        <v>0.57999999999999996</v>
      </c>
      <c r="BR13">
        <v>0.71</v>
      </c>
      <c r="BW13" t="s">
        <v>928</v>
      </c>
      <c r="BX13">
        <v>18593</v>
      </c>
      <c r="BY13">
        <v>16483</v>
      </c>
      <c r="BZ13">
        <v>18593</v>
      </c>
      <c r="CA13">
        <v>16483</v>
      </c>
      <c r="CB13">
        <v>12862</v>
      </c>
      <c r="CC13">
        <v>12122</v>
      </c>
      <c r="CD13">
        <v>3000</v>
      </c>
      <c r="CM13" t="s">
        <v>1013</v>
      </c>
    </row>
    <row r="14" spans="1:104" x14ac:dyDescent="0.45">
      <c r="A14">
        <v>125.001</v>
      </c>
      <c r="B14" t="s">
        <v>932</v>
      </c>
      <c r="D14">
        <v>125.001</v>
      </c>
      <c r="E14" t="s">
        <v>930</v>
      </c>
      <c r="G14">
        <v>150.001</v>
      </c>
      <c r="H14">
        <v>175</v>
      </c>
      <c r="J14">
        <v>200</v>
      </c>
      <c r="K14" t="s">
        <v>935</v>
      </c>
      <c r="L14" t="s">
        <v>934</v>
      </c>
      <c r="M14" t="s">
        <v>935</v>
      </c>
      <c r="N14" t="s">
        <v>934</v>
      </c>
      <c r="P14" t="s">
        <v>927</v>
      </c>
      <c r="Q14">
        <v>76.2</v>
      </c>
      <c r="R14">
        <v>88.9</v>
      </c>
      <c r="S14">
        <v>76.2</v>
      </c>
      <c r="U14" t="s">
        <v>927</v>
      </c>
      <c r="V14" t="s">
        <v>933</v>
      </c>
      <c r="W14" t="s">
        <v>933</v>
      </c>
      <c r="X14" t="s">
        <v>927</v>
      </c>
      <c r="Y14" t="s">
        <v>932</v>
      </c>
      <c r="Z14" t="s">
        <v>932</v>
      </c>
      <c r="BA14" t="s">
        <v>930</v>
      </c>
      <c r="BB14">
        <v>165</v>
      </c>
      <c r="BC14">
        <v>200</v>
      </c>
      <c r="BD14">
        <v>225</v>
      </c>
      <c r="BE14">
        <v>165</v>
      </c>
      <c r="BF14">
        <v>200</v>
      </c>
      <c r="BG14">
        <v>225</v>
      </c>
      <c r="BH14">
        <v>130</v>
      </c>
      <c r="BI14">
        <v>155</v>
      </c>
      <c r="BJ14">
        <v>175</v>
      </c>
      <c r="BK14">
        <v>130</v>
      </c>
      <c r="BL14">
        <v>155</v>
      </c>
      <c r="BM14">
        <v>175</v>
      </c>
      <c r="BO14" t="s">
        <v>1013</v>
      </c>
      <c r="BP14">
        <v>0</v>
      </c>
      <c r="BQ14">
        <v>0.47</v>
      </c>
      <c r="BR14">
        <v>0.65</v>
      </c>
      <c r="BW14" t="s">
        <v>927</v>
      </c>
      <c r="BX14">
        <v>20867</v>
      </c>
      <c r="BY14">
        <v>18176</v>
      </c>
      <c r="BZ14">
        <v>20867</v>
      </c>
      <c r="CA14">
        <v>18176</v>
      </c>
      <c r="CB14">
        <v>14923</v>
      </c>
      <c r="CC14">
        <v>13910</v>
      </c>
      <c r="CD14">
        <v>4000</v>
      </c>
      <c r="CM14" t="s">
        <v>1014</v>
      </c>
    </row>
    <row r="15" spans="1:104" x14ac:dyDescent="0.45">
      <c r="A15">
        <v>150.001</v>
      </c>
      <c r="B15" t="s">
        <v>931</v>
      </c>
      <c r="D15">
        <v>150.001</v>
      </c>
      <c r="E15" t="s">
        <v>929</v>
      </c>
      <c r="G15">
        <v>175.001</v>
      </c>
      <c r="H15">
        <v>200</v>
      </c>
      <c r="J15">
        <v>225</v>
      </c>
      <c r="K15" t="s">
        <v>935</v>
      </c>
      <c r="L15" t="s">
        <v>934</v>
      </c>
      <c r="M15" t="s">
        <v>935</v>
      </c>
      <c r="N15" t="s">
        <v>934</v>
      </c>
      <c r="P15" t="s">
        <v>926</v>
      </c>
      <c r="Q15">
        <v>76.2</v>
      </c>
      <c r="R15">
        <v>88.9</v>
      </c>
      <c r="S15">
        <v>76.2</v>
      </c>
      <c r="U15" t="s">
        <v>926</v>
      </c>
      <c r="V15" t="s">
        <v>932</v>
      </c>
      <c r="W15" t="s">
        <v>932</v>
      </c>
      <c r="X15" t="s">
        <v>926</v>
      </c>
      <c r="Y15" t="s">
        <v>932</v>
      </c>
      <c r="Z15" t="s">
        <v>932</v>
      </c>
      <c r="BA15" t="s">
        <v>929</v>
      </c>
      <c r="BB15">
        <v>195</v>
      </c>
      <c r="BC15">
        <v>230</v>
      </c>
      <c r="BD15">
        <v>260</v>
      </c>
      <c r="BE15">
        <v>195</v>
      </c>
      <c r="BF15">
        <v>230</v>
      </c>
      <c r="BG15">
        <v>260</v>
      </c>
      <c r="BH15">
        <v>150</v>
      </c>
      <c r="BI15">
        <v>180</v>
      </c>
      <c r="BJ15">
        <v>205</v>
      </c>
      <c r="BK15">
        <v>150</v>
      </c>
      <c r="BL15">
        <v>180</v>
      </c>
      <c r="BM15">
        <v>205</v>
      </c>
      <c r="BO15" t="s">
        <v>1014</v>
      </c>
      <c r="BP15">
        <v>0</v>
      </c>
      <c r="BQ15">
        <v>0.33</v>
      </c>
      <c r="BR15">
        <v>0.57999999999999996</v>
      </c>
      <c r="BW15" t="s">
        <v>926</v>
      </c>
      <c r="BX15">
        <v>22736</v>
      </c>
      <c r="BY15">
        <v>119703</v>
      </c>
      <c r="BZ15">
        <v>22736</v>
      </c>
      <c r="CA15">
        <v>119703</v>
      </c>
      <c r="CB15">
        <v>16813</v>
      </c>
      <c r="CC15">
        <v>15484</v>
      </c>
      <c r="CM15" t="s">
        <v>1015</v>
      </c>
    </row>
    <row r="16" spans="1:104" x14ac:dyDescent="0.45">
      <c r="A16">
        <v>175.001</v>
      </c>
      <c r="B16" t="s">
        <v>930</v>
      </c>
      <c r="D16">
        <v>175.001</v>
      </c>
      <c r="E16" t="s">
        <v>928</v>
      </c>
      <c r="G16">
        <v>200.001</v>
      </c>
      <c r="H16">
        <v>225</v>
      </c>
      <c r="J16">
        <v>250</v>
      </c>
      <c r="K16" t="s">
        <v>935</v>
      </c>
      <c r="L16" t="s">
        <v>934</v>
      </c>
      <c r="M16" t="s">
        <v>935</v>
      </c>
      <c r="N16" t="s">
        <v>934</v>
      </c>
      <c r="P16" t="s">
        <v>925</v>
      </c>
      <c r="Q16">
        <v>76.2</v>
      </c>
      <c r="R16">
        <v>88.9</v>
      </c>
      <c r="S16">
        <v>76.2</v>
      </c>
      <c r="U16" t="s">
        <v>925</v>
      </c>
      <c r="V16" t="s">
        <v>932</v>
      </c>
      <c r="W16" t="s">
        <v>932</v>
      </c>
      <c r="X16" t="s">
        <v>925</v>
      </c>
      <c r="Y16" t="s">
        <v>932</v>
      </c>
      <c r="Z16" t="s">
        <v>932</v>
      </c>
      <c r="BA16" t="s">
        <v>928</v>
      </c>
      <c r="BB16">
        <v>215</v>
      </c>
      <c r="BC16">
        <v>255</v>
      </c>
      <c r="BD16">
        <v>290</v>
      </c>
      <c r="BE16">
        <v>215</v>
      </c>
      <c r="BF16">
        <v>255</v>
      </c>
      <c r="BG16">
        <v>290</v>
      </c>
      <c r="BH16">
        <v>170</v>
      </c>
      <c r="BI16">
        <v>205</v>
      </c>
      <c r="BJ16">
        <v>230</v>
      </c>
      <c r="BK16">
        <v>170</v>
      </c>
      <c r="BL16">
        <v>205</v>
      </c>
      <c r="BM16">
        <v>230</v>
      </c>
      <c r="BO16" t="s">
        <v>1015</v>
      </c>
      <c r="BP16">
        <v>0</v>
      </c>
      <c r="BQ16">
        <v>0</v>
      </c>
      <c r="BR16">
        <v>0.5</v>
      </c>
      <c r="BW16" t="s">
        <v>925</v>
      </c>
      <c r="BX16">
        <v>24296</v>
      </c>
      <c r="BY16">
        <v>20565</v>
      </c>
      <c r="BZ16">
        <v>24296</v>
      </c>
      <c r="CA16">
        <v>20565</v>
      </c>
      <c r="CB16">
        <v>18506</v>
      </c>
      <c r="CC16">
        <v>16671</v>
      </c>
      <c r="CM16" t="s">
        <v>1016</v>
      </c>
    </row>
    <row r="17" spans="1:81" x14ac:dyDescent="0.45">
      <c r="A17">
        <v>200.001</v>
      </c>
      <c r="B17" t="s">
        <v>929</v>
      </c>
      <c r="D17">
        <v>200.001</v>
      </c>
      <c r="E17" t="s">
        <v>927</v>
      </c>
      <c r="G17">
        <v>225.001</v>
      </c>
      <c r="H17">
        <v>250</v>
      </c>
      <c r="J17">
        <v>300.00099999999998</v>
      </c>
      <c r="K17" t="s">
        <v>934</v>
      </c>
      <c r="L17" t="s">
        <v>933</v>
      </c>
      <c r="M17" t="s">
        <v>934</v>
      </c>
      <c r="N17" t="s">
        <v>933</v>
      </c>
      <c r="P17" t="s">
        <v>924</v>
      </c>
      <c r="Q17">
        <v>76.2</v>
      </c>
      <c r="R17">
        <v>88.9</v>
      </c>
      <c r="S17">
        <v>88.9</v>
      </c>
      <c r="U17" t="s">
        <v>924</v>
      </c>
      <c r="V17" t="s">
        <v>932</v>
      </c>
      <c r="W17" t="s">
        <v>932</v>
      </c>
      <c r="X17" t="s">
        <v>924</v>
      </c>
      <c r="Y17" t="s">
        <v>930</v>
      </c>
      <c r="Z17" t="s">
        <v>930</v>
      </c>
      <c r="BA17" t="s">
        <v>927</v>
      </c>
      <c r="BB17">
        <v>240</v>
      </c>
      <c r="BC17">
        <v>285</v>
      </c>
      <c r="BD17">
        <v>320</v>
      </c>
      <c r="BE17">
        <v>240</v>
      </c>
      <c r="BF17">
        <v>285</v>
      </c>
      <c r="BG17">
        <v>320</v>
      </c>
      <c r="BH17">
        <v>195</v>
      </c>
      <c r="BI17">
        <v>230</v>
      </c>
      <c r="BJ17">
        <v>260</v>
      </c>
      <c r="BK17">
        <v>195</v>
      </c>
      <c r="BL17">
        <v>230</v>
      </c>
      <c r="BM17">
        <v>260</v>
      </c>
      <c r="BO17" t="s">
        <v>1016</v>
      </c>
      <c r="BP17">
        <v>0</v>
      </c>
      <c r="BQ17">
        <v>0</v>
      </c>
      <c r="BR17">
        <v>0.41</v>
      </c>
      <c r="BW17" t="s">
        <v>924</v>
      </c>
      <c r="BX17">
        <v>26706</v>
      </c>
      <c r="BY17">
        <v>22185</v>
      </c>
      <c r="BZ17">
        <v>26706</v>
      </c>
      <c r="CA17">
        <v>22185</v>
      </c>
      <c r="CB17">
        <v>21391</v>
      </c>
      <c r="CC17">
        <v>18756</v>
      </c>
    </row>
    <row r="18" spans="1:81" x14ac:dyDescent="0.45">
      <c r="A18">
        <v>225.001</v>
      </c>
      <c r="B18" t="s">
        <v>928</v>
      </c>
      <c r="D18">
        <v>225.001</v>
      </c>
      <c r="E18" t="s">
        <v>926</v>
      </c>
      <c r="G18">
        <v>250.001</v>
      </c>
      <c r="H18">
        <v>300</v>
      </c>
      <c r="J18">
        <v>400.00099999999998</v>
      </c>
      <c r="K18" t="s">
        <v>932</v>
      </c>
      <c r="L18" t="s">
        <v>931</v>
      </c>
      <c r="M18" t="s">
        <v>932</v>
      </c>
      <c r="N18" t="s">
        <v>931</v>
      </c>
      <c r="P18" t="s">
        <v>923</v>
      </c>
      <c r="Q18">
        <v>101.6</v>
      </c>
      <c r="R18">
        <v>129</v>
      </c>
      <c r="S18">
        <v>101.6</v>
      </c>
      <c r="U18" t="s">
        <v>923</v>
      </c>
      <c r="V18" t="s">
        <v>931</v>
      </c>
      <c r="W18" t="s">
        <v>931</v>
      </c>
      <c r="X18" t="s">
        <v>923</v>
      </c>
      <c r="Y18" t="s">
        <v>930</v>
      </c>
      <c r="Z18" t="s">
        <v>930</v>
      </c>
      <c r="BA18" t="s">
        <v>926</v>
      </c>
      <c r="BB18">
        <v>260</v>
      </c>
      <c r="BC18">
        <v>310</v>
      </c>
      <c r="BD18">
        <v>350</v>
      </c>
      <c r="BE18">
        <v>260</v>
      </c>
      <c r="BF18">
        <v>310</v>
      </c>
      <c r="BG18">
        <v>350</v>
      </c>
      <c r="BH18">
        <v>210</v>
      </c>
      <c r="BI18">
        <v>250</v>
      </c>
      <c r="BJ18">
        <v>280</v>
      </c>
      <c r="BK18">
        <v>210</v>
      </c>
      <c r="BL18">
        <v>250</v>
      </c>
      <c r="BM18">
        <v>280</v>
      </c>
      <c r="BW18" t="s">
        <v>923</v>
      </c>
      <c r="BX18">
        <v>28033</v>
      </c>
      <c r="BY18">
        <v>22965</v>
      </c>
      <c r="BZ18">
        <v>28033</v>
      </c>
      <c r="CA18">
        <v>22965</v>
      </c>
      <c r="CB18">
        <v>23451</v>
      </c>
      <c r="CC18">
        <v>20093</v>
      </c>
    </row>
    <row r="19" spans="1:81" x14ac:dyDescent="0.45">
      <c r="A19">
        <v>250.001</v>
      </c>
      <c r="B19" t="s">
        <v>926</v>
      </c>
      <c r="D19">
        <v>250.001</v>
      </c>
      <c r="E19" t="s">
        <v>924</v>
      </c>
      <c r="G19">
        <v>300.00099999999998</v>
      </c>
      <c r="H19">
        <v>350</v>
      </c>
      <c r="J19">
        <v>600.00099999999998</v>
      </c>
      <c r="K19" t="s">
        <v>932</v>
      </c>
      <c r="L19" t="s">
        <v>930</v>
      </c>
      <c r="M19" t="s">
        <v>932</v>
      </c>
      <c r="N19" t="s">
        <v>930</v>
      </c>
      <c r="P19" t="s">
        <v>922</v>
      </c>
      <c r="Q19">
        <v>101.6</v>
      </c>
      <c r="R19">
        <v>129</v>
      </c>
      <c r="S19">
        <v>101.6</v>
      </c>
      <c r="U19" t="s">
        <v>922</v>
      </c>
      <c r="V19" t="s">
        <v>931</v>
      </c>
      <c r="W19" t="s">
        <v>931</v>
      </c>
      <c r="X19" t="s">
        <v>922</v>
      </c>
      <c r="Y19" t="s">
        <v>930</v>
      </c>
      <c r="Z19" t="s">
        <v>930</v>
      </c>
      <c r="BA19" t="s">
        <v>925</v>
      </c>
      <c r="BB19">
        <v>280</v>
      </c>
      <c r="BC19">
        <v>335</v>
      </c>
      <c r="BD19">
        <v>380</v>
      </c>
      <c r="BE19">
        <v>280</v>
      </c>
      <c r="BF19">
        <v>335</v>
      </c>
      <c r="BG19">
        <v>380</v>
      </c>
      <c r="BH19">
        <v>225</v>
      </c>
      <c r="BI19">
        <v>270</v>
      </c>
      <c r="BJ19">
        <v>305</v>
      </c>
      <c r="BK19">
        <v>225</v>
      </c>
      <c r="BL19">
        <v>270</v>
      </c>
      <c r="BM19">
        <v>305</v>
      </c>
      <c r="BW19" t="s">
        <v>921</v>
      </c>
      <c r="BX19">
        <v>29735</v>
      </c>
      <c r="BY19">
        <v>24137</v>
      </c>
      <c r="BZ19">
        <v>29735</v>
      </c>
      <c r="CA19">
        <v>24137</v>
      </c>
      <c r="CB19">
        <v>25976</v>
      </c>
      <c r="CC19">
        <v>21766</v>
      </c>
    </row>
    <row r="20" spans="1:81" x14ac:dyDescent="0.45">
      <c r="A20">
        <v>285.00099999999998</v>
      </c>
      <c r="B20" t="s">
        <v>926</v>
      </c>
      <c r="D20">
        <v>300.00099999999998</v>
      </c>
      <c r="E20" t="s">
        <v>922</v>
      </c>
      <c r="G20">
        <v>350.00099999999998</v>
      </c>
      <c r="H20">
        <v>400</v>
      </c>
      <c r="J20">
        <v>800.00099999999998</v>
      </c>
      <c r="K20" t="s">
        <v>932</v>
      </c>
      <c r="L20" t="s">
        <v>930</v>
      </c>
      <c r="M20" t="s">
        <v>932</v>
      </c>
      <c r="N20" t="s">
        <v>930</v>
      </c>
      <c r="P20" t="s">
        <v>921</v>
      </c>
      <c r="Q20">
        <v>129</v>
      </c>
      <c r="R20">
        <v>129</v>
      </c>
      <c r="S20">
        <v>129</v>
      </c>
      <c r="U20" t="s">
        <v>921</v>
      </c>
      <c r="V20" t="s">
        <v>931</v>
      </c>
      <c r="W20" t="s">
        <v>931</v>
      </c>
      <c r="X20" t="s">
        <v>921</v>
      </c>
      <c r="Y20" t="s">
        <v>930</v>
      </c>
      <c r="Z20" t="s">
        <v>930</v>
      </c>
      <c r="BA20" t="s">
        <v>924</v>
      </c>
      <c r="BB20">
        <v>320</v>
      </c>
      <c r="BC20">
        <v>380</v>
      </c>
      <c r="BD20">
        <v>430</v>
      </c>
      <c r="BE20">
        <v>320</v>
      </c>
      <c r="BF20">
        <v>380</v>
      </c>
      <c r="BG20">
        <v>430</v>
      </c>
      <c r="BH20">
        <v>260</v>
      </c>
      <c r="BI20">
        <v>310</v>
      </c>
      <c r="BJ20">
        <v>350</v>
      </c>
      <c r="BK20">
        <v>260</v>
      </c>
      <c r="BL20">
        <v>310</v>
      </c>
      <c r="BM20">
        <v>350</v>
      </c>
      <c r="BW20" t="s">
        <v>920</v>
      </c>
    </row>
    <row r="21" spans="1:81" x14ac:dyDescent="0.45">
      <c r="A21">
        <v>310.00099999999998</v>
      </c>
      <c r="B21" t="s">
        <v>923</v>
      </c>
      <c r="D21">
        <v>350.00099999999998</v>
      </c>
      <c r="E21" t="s">
        <v>919</v>
      </c>
      <c r="G21">
        <v>400.00099999999998</v>
      </c>
      <c r="H21">
        <v>500</v>
      </c>
      <c r="J21">
        <v>1000.001</v>
      </c>
      <c r="K21" t="s">
        <v>931</v>
      </c>
      <c r="L21" t="s">
        <v>929</v>
      </c>
      <c r="M21" t="s">
        <v>931</v>
      </c>
      <c r="N21" t="s">
        <v>929</v>
      </c>
      <c r="U21" t="s">
        <v>919</v>
      </c>
      <c r="V21" t="s">
        <v>931</v>
      </c>
      <c r="W21" t="s">
        <v>931</v>
      </c>
      <c r="X21" t="s">
        <v>919</v>
      </c>
      <c r="Y21" t="s">
        <v>929</v>
      </c>
      <c r="Z21" t="s">
        <v>929</v>
      </c>
      <c r="BA21" t="s">
        <v>923</v>
      </c>
      <c r="BB21">
        <v>350</v>
      </c>
      <c r="BC21">
        <v>420</v>
      </c>
      <c r="BD21">
        <v>475</v>
      </c>
      <c r="BE21">
        <v>350</v>
      </c>
      <c r="BF21">
        <v>420</v>
      </c>
      <c r="BG21">
        <v>475</v>
      </c>
      <c r="BH21">
        <v>285</v>
      </c>
      <c r="BI21">
        <v>340</v>
      </c>
      <c r="BJ21">
        <v>385</v>
      </c>
      <c r="BK21">
        <v>285</v>
      </c>
      <c r="BL21">
        <v>340</v>
      </c>
      <c r="BM21">
        <v>385</v>
      </c>
      <c r="BW21" t="s">
        <v>1017</v>
      </c>
    </row>
    <row r="22" spans="1:81" x14ac:dyDescent="0.45">
      <c r="A22">
        <v>335.00099999999998</v>
      </c>
      <c r="B22" t="s">
        <v>922</v>
      </c>
      <c r="D22">
        <v>400.00099999999998</v>
      </c>
      <c r="E22" t="s">
        <v>1018</v>
      </c>
      <c r="G22">
        <v>500.00099999999998</v>
      </c>
      <c r="H22">
        <v>600</v>
      </c>
      <c r="J22">
        <v>1200.001</v>
      </c>
      <c r="K22" t="s">
        <v>930</v>
      </c>
      <c r="L22" t="s">
        <v>928</v>
      </c>
      <c r="M22" t="s">
        <v>930</v>
      </c>
      <c r="N22" t="s">
        <v>928</v>
      </c>
      <c r="U22" t="s">
        <v>1018</v>
      </c>
      <c r="V22" t="s">
        <v>930</v>
      </c>
      <c r="W22" t="s">
        <v>930</v>
      </c>
      <c r="X22" t="s">
        <v>1018</v>
      </c>
      <c r="Y22" t="s">
        <v>928</v>
      </c>
      <c r="Z22" t="s">
        <v>928</v>
      </c>
      <c r="BA22" t="s">
        <v>922</v>
      </c>
      <c r="BB22">
        <v>385</v>
      </c>
      <c r="BC22">
        <v>460</v>
      </c>
      <c r="BD22">
        <v>520</v>
      </c>
      <c r="BE22">
        <v>385</v>
      </c>
      <c r="BF22">
        <v>460</v>
      </c>
      <c r="BG22">
        <v>520</v>
      </c>
      <c r="BH22">
        <v>315</v>
      </c>
      <c r="BI22">
        <v>375</v>
      </c>
      <c r="BJ22">
        <v>425</v>
      </c>
      <c r="BK22">
        <v>315</v>
      </c>
      <c r="BL22">
        <v>375</v>
      </c>
      <c r="BM22">
        <v>425</v>
      </c>
    </row>
    <row r="23" spans="1:81" x14ac:dyDescent="0.45">
      <c r="A23">
        <v>380.00099999999998</v>
      </c>
      <c r="B23" t="s">
        <v>919</v>
      </c>
      <c r="G23">
        <v>600.00099999999998</v>
      </c>
      <c r="H23">
        <v>700</v>
      </c>
      <c r="J23">
        <v>1600.001</v>
      </c>
      <c r="K23" t="s">
        <v>929</v>
      </c>
      <c r="L23" t="s">
        <v>928</v>
      </c>
      <c r="M23" t="s">
        <v>929</v>
      </c>
      <c r="N23" t="s">
        <v>928</v>
      </c>
      <c r="BA23" t="s">
        <v>921</v>
      </c>
      <c r="BB23">
        <v>400</v>
      </c>
      <c r="BC23">
        <v>475</v>
      </c>
      <c r="BD23">
        <v>535</v>
      </c>
      <c r="BE23">
        <v>400</v>
      </c>
      <c r="BF23">
        <v>475</v>
      </c>
      <c r="BG23">
        <v>535</v>
      </c>
      <c r="BH23">
        <v>320</v>
      </c>
      <c r="BI23">
        <v>385</v>
      </c>
      <c r="BJ23">
        <v>435</v>
      </c>
      <c r="BK23">
        <v>320</v>
      </c>
      <c r="BL23">
        <v>385</v>
      </c>
      <c r="BM23">
        <v>435</v>
      </c>
    </row>
    <row r="24" spans="1:81" x14ac:dyDescent="0.45">
      <c r="G24">
        <v>700.00099999999998</v>
      </c>
      <c r="H24">
        <v>800</v>
      </c>
      <c r="J24">
        <v>2000.001</v>
      </c>
      <c r="K24" t="s">
        <v>928</v>
      </c>
      <c r="L24" t="s">
        <v>925</v>
      </c>
      <c r="M24" t="s">
        <v>928</v>
      </c>
      <c r="N24" t="s">
        <v>925</v>
      </c>
      <c r="BA24" t="s">
        <v>920</v>
      </c>
      <c r="BB24">
        <v>410</v>
      </c>
      <c r="BC24">
        <v>490</v>
      </c>
      <c r="BD24">
        <v>555</v>
      </c>
      <c r="BE24">
        <v>410</v>
      </c>
      <c r="BF24">
        <v>490</v>
      </c>
      <c r="BG24">
        <v>555</v>
      </c>
      <c r="BH24">
        <v>330</v>
      </c>
      <c r="BI24">
        <v>395</v>
      </c>
      <c r="BJ24">
        <v>445</v>
      </c>
      <c r="BK24">
        <v>330</v>
      </c>
      <c r="BL24">
        <v>395</v>
      </c>
      <c r="BM24">
        <v>445</v>
      </c>
    </row>
    <row r="25" spans="1:81" x14ac:dyDescent="0.45">
      <c r="G25">
        <v>800.00099999999998</v>
      </c>
      <c r="H25">
        <v>900</v>
      </c>
      <c r="J25">
        <v>2500.0010000000002</v>
      </c>
      <c r="K25" t="s">
        <v>926</v>
      </c>
      <c r="L25" t="s">
        <v>923</v>
      </c>
      <c r="M25" t="s">
        <v>926</v>
      </c>
      <c r="N25" t="s">
        <v>923</v>
      </c>
      <c r="BA25" t="s">
        <v>919</v>
      </c>
      <c r="BB25">
        <v>435</v>
      </c>
      <c r="BC25">
        <v>520</v>
      </c>
      <c r="BD25">
        <v>585</v>
      </c>
      <c r="BE25">
        <v>435</v>
      </c>
      <c r="BF25">
        <v>520</v>
      </c>
      <c r="BG25">
        <v>585</v>
      </c>
      <c r="BH25">
        <v>355</v>
      </c>
      <c r="BI25">
        <v>425</v>
      </c>
      <c r="BJ25">
        <v>480</v>
      </c>
      <c r="BK25">
        <v>355</v>
      </c>
      <c r="BL25">
        <v>425</v>
      </c>
      <c r="BM25">
        <v>480</v>
      </c>
    </row>
    <row r="26" spans="1:81" x14ac:dyDescent="0.45">
      <c r="G26">
        <v>900.00099999999998</v>
      </c>
      <c r="H26">
        <v>1000</v>
      </c>
      <c r="BA26" t="s">
        <v>918</v>
      </c>
      <c r="BB26">
        <v>455</v>
      </c>
      <c r="BC26">
        <v>545</v>
      </c>
      <c r="BD26">
        <v>615</v>
      </c>
      <c r="BE26">
        <v>455</v>
      </c>
      <c r="BF26">
        <v>545</v>
      </c>
      <c r="BG26">
        <v>615</v>
      </c>
      <c r="BH26">
        <v>375</v>
      </c>
      <c r="BI26">
        <v>445</v>
      </c>
      <c r="BJ26">
        <v>500</v>
      </c>
      <c r="BK26">
        <v>375</v>
      </c>
      <c r="BL26">
        <v>445</v>
      </c>
      <c r="BM26">
        <v>500</v>
      </c>
    </row>
    <row r="27" spans="1:81" x14ac:dyDescent="0.45">
      <c r="G27">
        <v>1000.001</v>
      </c>
      <c r="H27">
        <v>1200</v>
      </c>
    </row>
    <row r="28" spans="1:81" x14ac:dyDescent="0.45">
      <c r="G28">
        <v>1200.001</v>
      </c>
      <c r="H28">
        <v>1400</v>
      </c>
    </row>
    <row r="29" spans="1:81" x14ac:dyDescent="0.45">
      <c r="G29">
        <v>1400.001</v>
      </c>
      <c r="H29">
        <v>1500</v>
      </c>
    </row>
    <row r="30" spans="1:81" x14ac:dyDescent="0.45">
      <c r="G30">
        <v>1500.001</v>
      </c>
      <c r="H30">
        <v>1600</v>
      </c>
    </row>
    <row r="31" spans="1:81" x14ac:dyDescent="0.45">
      <c r="G31">
        <v>1600.001</v>
      </c>
      <c r="H31">
        <v>1800</v>
      </c>
    </row>
    <row r="32" spans="1:81" x14ac:dyDescent="0.45">
      <c r="G32">
        <v>1800.001</v>
      </c>
      <c r="H32">
        <v>2000</v>
      </c>
    </row>
    <row r="33" spans="7:8" x14ac:dyDescent="0.45">
      <c r="G33">
        <v>2000.001</v>
      </c>
      <c r="H33">
        <v>2500</v>
      </c>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K191"/>
  <sheetViews>
    <sheetView workbookViewId="0">
      <pane ySplit="1" topLeftCell="A2" activePane="bottomLeft" state="frozen"/>
      <selection pane="bottomLeft"/>
    </sheetView>
  </sheetViews>
  <sheetFormatPr defaultRowHeight="14.25" x14ac:dyDescent="0.45"/>
  <cols>
    <col min="1" max="10" width="16" customWidth="1"/>
  </cols>
  <sheetData>
    <row r="1" spans="1:11" x14ac:dyDescent="0.45">
      <c r="A1" s="17" t="s">
        <v>777</v>
      </c>
      <c r="B1" s="17" t="s">
        <v>35</v>
      </c>
      <c r="C1" s="17" t="s">
        <v>330</v>
      </c>
      <c r="D1" s="17" t="s">
        <v>75</v>
      </c>
      <c r="E1" s="17" t="s">
        <v>435</v>
      </c>
      <c r="F1" s="17" t="s">
        <v>437</v>
      </c>
      <c r="G1" s="17" t="s">
        <v>436</v>
      </c>
      <c r="H1" s="17" t="s">
        <v>79</v>
      </c>
      <c r="I1" s="17" t="s">
        <v>1019</v>
      </c>
      <c r="J1" s="17" t="s">
        <v>1020</v>
      </c>
      <c r="K1" t="s">
        <v>131</v>
      </c>
    </row>
    <row r="2" spans="1:11" x14ac:dyDescent="0.45">
      <c r="A2" t="s">
        <v>971</v>
      </c>
      <c r="B2">
        <v>1</v>
      </c>
      <c r="C2" t="s">
        <v>439</v>
      </c>
      <c r="E2" t="s">
        <v>440</v>
      </c>
      <c r="F2" t="s">
        <v>441</v>
      </c>
      <c r="G2">
        <v>1</v>
      </c>
      <c r="H2">
        <v>10</v>
      </c>
      <c r="I2">
        <v>240</v>
      </c>
      <c r="J2" t="s">
        <v>1021</v>
      </c>
      <c r="K2" t="str">
        <f t="shared" ref="K2:K33" si="0">B2&amp;" · "&amp;A2&amp;" "&amp;C2&amp;" "&amp;E2&amp;" A "&amp;IF(F2="","STD",F2)&amp;" "&amp;G2&amp;"P "&amp;H2&amp;" kA @"&amp;I2&amp;" V"</f>
        <v>1 · Square D QOB 15-70 A STD 1P 10 kA @240 V</v>
      </c>
    </row>
    <row r="3" spans="1:11" x14ac:dyDescent="0.45">
      <c r="A3" t="s">
        <v>971</v>
      </c>
      <c r="B3">
        <v>2</v>
      </c>
      <c r="C3" t="s">
        <v>439</v>
      </c>
      <c r="E3" t="s">
        <v>443</v>
      </c>
      <c r="F3" t="s">
        <v>441</v>
      </c>
      <c r="G3">
        <v>2</v>
      </c>
      <c r="H3">
        <v>10</v>
      </c>
      <c r="I3">
        <v>240</v>
      </c>
      <c r="K3" t="str">
        <f t="shared" si="0"/>
        <v>2 · Square D QOB 15-125 A STD 2P 10 kA @240 V</v>
      </c>
    </row>
    <row r="4" spans="1:11" x14ac:dyDescent="0.45">
      <c r="A4" t="s">
        <v>971</v>
      </c>
      <c r="B4">
        <v>3</v>
      </c>
      <c r="C4" t="s">
        <v>439</v>
      </c>
      <c r="E4" t="s">
        <v>444</v>
      </c>
      <c r="F4" t="s">
        <v>441</v>
      </c>
      <c r="G4">
        <v>3</v>
      </c>
      <c r="H4">
        <v>10</v>
      </c>
      <c r="I4">
        <v>240</v>
      </c>
      <c r="K4" t="str">
        <f t="shared" si="0"/>
        <v>3 · Square D QOB 15-100 A STD 3P 10 kA @240 V</v>
      </c>
    </row>
    <row r="5" spans="1:11" x14ac:dyDescent="0.45">
      <c r="A5" t="s">
        <v>971</v>
      </c>
      <c r="B5">
        <v>4</v>
      </c>
      <c r="C5" t="s">
        <v>447</v>
      </c>
      <c r="E5" t="s">
        <v>440</v>
      </c>
      <c r="F5" t="s">
        <v>441</v>
      </c>
      <c r="G5">
        <v>1</v>
      </c>
      <c r="H5">
        <v>22</v>
      </c>
      <c r="I5">
        <v>240</v>
      </c>
      <c r="J5" t="s">
        <v>1021</v>
      </c>
      <c r="K5" t="str">
        <f t="shared" si="0"/>
        <v>4 · Square D QOB-VH 15-70 A STD 1P 22 kA @240 V</v>
      </c>
    </row>
    <row r="6" spans="1:11" x14ac:dyDescent="0.45">
      <c r="A6" t="s">
        <v>971</v>
      </c>
      <c r="B6">
        <v>5</v>
      </c>
      <c r="C6" t="s">
        <v>447</v>
      </c>
      <c r="E6" t="s">
        <v>443</v>
      </c>
      <c r="F6" t="s">
        <v>441</v>
      </c>
      <c r="G6">
        <v>2</v>
      </c>
      <c r="H6">
        <v>22</v>
      </c>
      <c r="I6">
        <v>240</v>
      </c>
      <c r="K6" t="str">
        <f t="shared" si="0"/>
        <v>5 · Square D QOB-VH 15-125 A STD 2P 22 kA @240 V</v>
      </c>
    </row>
    <row r="7" spans="1:11" x14ac:dyDescent="0.45">
      <c r="A7" t="s">
        <v>971</v>
      </c>
      <c r="B7">
        <v>6</v>
      </c>
      <c r="C7" t="s">
        <v>447</v>
      </c>
      <c r="E7" t="s">
        <v>444</v>
      </c>
      <c r="F7" t="s">
        <v>441</v>
      </c>
      <c r="G7">
        <v>3</v>
      </c>
      <c r="H7">
        <v>22</v>
      </c>
      <c r="I7">
        <v>240</v>
      </c>
      <c r="K7" t="str">
        <f t="shared" si="0"/>
        <v>6 · Square D QOB-VH 15-100 A STD 3P 22 kA @240 V</v>
      </c>
    </row>
    <row r="8" spans="1:11" x14ac:dyDescent="0.45">
      <c r="A8" t="s">
        <v>971</v>
      </c>
      <c r="B8">
        <v>7</v>
      </c>
      <c r="C8" t="s">
        <v>451</v>
      </c>
      <c r="E8" t="s">
        <v>440</v>
      </c>
      <c r="F8" t="s">
        <v>441</v>
      </c>
      <c r="G8">
        <v>1</v>
      </c>
      <c r="H8">
        <v>18</v>
      </c>
      <c r="I8">
        <v>480</v>
      </c>
      <c r="J8" t="s">
        <v>1022</v>
      </c>
      <c r="K8" t="str">
        <f t="shared" si="0"/>
        <v>7 · Square D EDB 15-70 A STD 1P 18 kA @480 V</v>
      </c>
    </row>
    <row r="9" spans="1:11" x14ac:dyDescent="0.45">
      <c r="A9" t="s">
        <v>971</v>
      </c>
      <c r="B9">
        <v>8</v>
      </c>
      <c r="C9" t="s">
        <v>451</v>
      </c>
      <c r="E9" t="s">
        <v>453</v>
      </c>
      <c r="F9" t="s">
        <v>441</v>
      </c>
      <c r="G9">
        <v>2</v>
      </c>
      <c r="H9">
        <v>18</v>
      </c>
      <c r="I9">
        <v>480</v>
      </c>
      <c r="K9" t="str">
        <f t="shared" si="0"/>
        <v>8 · Square D EDB 15-150 A STD 2P 18 kA @480 V</v>
      </c>
    </row>
    <row r="10" spans="1:11" x14ac:dyDescent="0.45">
      <c r="A10" t="s">
        <v>971</v>
      </c>
      <c r="B10">
        <v>9</v>
      </c>
      <c r="C10" t="s">
        <v>451</v>
      </c>
      <c r="E10" t="s">
        <v>453</v>
      </c>
      <c r="F10" t="s">
        <v>441</v>
      </c>
      <c r="G10">
        <v>3</v>
      </c>
      <c r="H10">
        <v>18</v>
      </c>
      <c r="I10">
        <v>480</v>
      </c>
      <c r="K10" t="str">
        <f t="shared" si="0"/>
        <v>9 · Square D EDB 15-150 A STD 3P 18 kA @480 V</v>
      </c>
    </row>
    <row r="11" spans="1:11" x14ac:dyDescent="0.45">
      <c r="A11" t="s">
        <v>971</v>
      </c>
      <c r="B11">
        <v>10</v>
      </c>
      <c r="C11" t="s">
        <v>456</v>
      </c>
      <c r="E11" t="s">
        <v>440</v>
      </c>
      <c r="F11" t="s">
        <v>441</v>
      </c>
      <c r="G11">
        <v>1</v>
      </c>
      <c r="H11">
        <v>35</v>
      </c>
      <c r="I11">
        <v>480</v>
      </c>
      <c r="J11" t="s">
        <v>1022</v>
      </c>
      <c r="K11" t="str">
        <f t="shared" si="0"/>
        <v>10 · Square D EGB 15-70 A STD 1P 35 kA @480 V</v>
      </c>
    </row>
    <row r="12" spans="1:11" x14ac:dyDescent="0.45">
      <c r="A12" t="s">
        <v>971</v>
      </c>
      <c r="B12">
        <v>11</v>
      </c>
      <c r="C12" t="s">
        <v>456</v>
      </c>
      <c r="E12" t="s">
        <v>453</v>
      </c>
      <c r="F12" t="s">
        <v>441</v>
      </c>
      <c r="G12">
        <v>2</v>
      </c>
      <c r="H12">
        <v>35</v>
      </c>
      <c r="I12">
        <v>480</v>
      </c>
      <c r="K12" t="str">
        <f t="shared" si="0"/>
        <v>11 · Square D EGB 15-150 A STD 2P 35 kA @480 V</v>
      </c>
    </row>
    <row r="13" spans="1:11" x14ac:dyDescent="0.45">
      <c r="A13" t="s">
        <v>971</v>
      </c>
      <c r="B13">
        <v>12</v>
      </c>
      <c r="C13" t="s">
        <v>456</v>
      </c>
      <c r="E13" t="s">
        <v>453</v>
      </c>
      <c r="F13" t="s">
        <v>441</v>
      </c>
      <c r="G13">
        <v>3</v>
      </c>
      <c r="H13">
        <v>35</v>
      </c>
      <c r="I13">
        <v>480</v>
      </c>
      <c r="K13" t="str">
        <f t="shared" si="0"/>
        <v>12 · Square D EGB 15-150 A STD 3P 35 kA @480 V</v>
      </c>
    </row>
    <row r="14" spans="1:11" x14ac:dyDescent="0.45">
      <c r="A14" t="s">
        <v>971</v>
      </c>
      <c r="B14">
        <v>13</v>
      </c>
      <c r="C14" t="s">
        <v>460</v>
      </c>
      <c r="E14" t="s">
        <v>440</v>
      </c>
      <c r="F14" t="s">
        <v>441</v>
      </c>
      <c r="G14">
        <v>1</v>
      </c>
      <c r="H14">
        <v>65</v>
      </c>
      <c r="I14">
        <v>480</v>
      </c>
      <c r="J14" t="s">
        <v>1022</v>
      </c>
      <c r="K14" t="str">
        <f t="shared" si="0"/>
        <v>13 · Square D EJB 15-70 A STD 1P 65 kA @480 V</v>
      </c>
    </row>
    <row r="15" spans="1:11" x14ac:dyDescent="0.45">
      <c r="A15" t="s">
        <v>971</v>
      </c>
      <c r="B15">
        <v>14</v>
      </c>
      <c r="C15" t="s">
        <v>460</v>
      </c>
      <c r="E15" t="s">
        <v>453</v>
      </c>
      <c r="F15" t="s">
        <v>441</v>
      </c>
      <c r="G15">
        <v>2</v>
      </c>
      <c r="H15">
        <v>65</v>
      </c>
      <c r="I15">
        <v>480</v>
      </c>
      <c r="K15" t="str">
        <f t="shared" si="0"/>
        <v>14 · Square D EJB 15-150 A STD 2P 65 kA @480 V</v>
      </c>
    </row>
    <row r="16" spans="1:11" x14ac:dyDescent="0.45">
      <c r="A16" t="s">
        <v>971</v>
      </c>
      <c r="B16">
        <v>15</v>
      </c>
      <c r="C16" t="s">
        <v>460</v>
      </c>
      <c r="E16" t="s">
        <v>453</v>
      </c>
      <c r="F16" t="s">
        <v>441</v>
      </c>
      <c r="G16">
        <v>3</v>
      </c>
      <c r="H16">
        <v>65</v>
      </c>
      <c r="I16">
        <v>480</v>
      </c>
      <c r="K16" t="str">
        <f t="shared" si="0"/>
        <v>15 · Square D EJB 15-150 A STD 3P 65 kA @480 V</v>
      </c>
    </row>
    <row r="17" spans="1:11" x14ac:dyDescent="0.45">
      <c r="A17" t="s">
        <v>971</v>
      </c>
      <c r="B17">
        <v>16</v>
      </c>
      <c r="C17" t="s">
        <v>464</v>
      </c>
      <c r="D17">
        <v>250</v>
      </c>
      <c r="E17" t="s">
        <v>465</v>
      </c>
      <c r="F17" t="s">
        <v>441</v>
      </c>
      <c r="G17">
        <v>3</v>
      </c>
      <c r="H17">
        <v>10</v>
      </c>
      <c r="I17">
        <v>240</v>
      </c>
      <c r="J17" t="s">
        <v>1021</v>
      </c>
      <c r="K17" t="str">
        <f t="shared" si="0"/>
        <v>16 · Square D QBL32070-250 70-250 A STD 3P 10 kA @240 V</v>
      </c>
    </row>
    <row r="18" spans="1:11" x14ac:dyDescent="0.45">
      <c r="A18" t="s">
        <v>971</v>
      </c>
      <c r="B18">
        <v>17</v>
      </c>
      <c r="C18" t="s">
        <v>466</v>
      </c>
      <c r="D18">
        <v>250</v>
      </c>
      <c r="E18" t="s">
        <v>465</v>
      </c>
      <c r="F18" t="s">
        <v>441</v>
      </c>
      <c r="G18">
        <v>3</v>
      </c>
      <c r="H18">
        <v>25</v>
      </c>
      <c r="I18">
        <v>240</v>
      </c>
      <c r="K18" t="str">
        <f t="shared" si="0"/>
        <v>17 · Square D QDL32070-250 70-250 A STD 3P 25 kA @240 V</v>
      </c>
    </row>
    <row r="19" spans="1:11" x14ac:dyDescent="0.45">
      <c r="A19" t="s">
        <v>971</v>
      </c>
      <c r="B19">
        <v>18</v>
      </c>
      <c r="C19" t="s">
        <v>468</v>
      </c>
      <c r="D19">
        <v>250</v>
      </c>
      <c r="E19" t="s">
        <v>465</v>
      </c>
      <c r="F19" t="s">
        <v>441</v>
      </c>
      <c r="G19">
        <v>3</v>
      </c>
      <c r="H19">
        <v>65</v>
      </c>
      <c r="I19">
        <v>240</v>
      </c>
      <c r="K19" t="str">
        <f t="shared" si="0"/>
        <v>18 · Square D QGL32070-250 70-250 A STD 3P 65 kA @240 V</v>
      </c>
    </row>
    <row r="20" spans="1:11" x14ac:dyDescent="0.45">
      <c r="A20" t="s">
        <v>971</v>
      </c>
      <c r="B20">
        <v>19</v>
      </c>
      <c r="C20" t="s">
        <v>472</v>
      </c>
      <c r="D20">
        <v>150</v>
      </c>
      <c r="E20" t="s">
        <v>453</v>
      </c>
      <c r="F20" t="s">
        <v>441</v>
      </c>
      <c r="G20">
        <v>3</v>
      </c>
      <c r="H20">
        <v>25</v>
      </c>
      <c r="I20">
        <v>240</v>
      </c>
      <c r="J20" t="s">
        <v>1021</v>
      </c>
      <c r="K20" t="str">
        <f t="shared" si="0"/>
        <v>19 · Square D HDL36015-150 15-150 A STD 3P 25 kA @240 V</v>
      </c>
    </row>
    <row r="21" spans="1:11" x14ac:dyDescent="0.45">
      <c r="A21" t="s">
        <v>971</v>
      </c>
      <c r="B21">
        <v>20</v>
      </c>
      <c r="C21" t="s">
        <v>473</v>
      </c>
      <c r="D21">
        <v>150</v>
      </c>
      <c r="E21" t="s">
        <v>453</v>
      </c>
      <c r="F21" t="s">
        <v>441</v>
      </c>
      <c r="G21">
        <v>3</v>
      </c>
      <c r="H21">
        <v>65</v>
      </c>
      <c r="I21">
        <v>240</v>
      </c>
      <c r="K21" t="str">
        <f t="shared" si="0"/>
        <v>20 · Square D HGL36015-150 15-150 A STD 3P 65 kA @240 V</v>
      </c>
    </row>
    <row r="22" spans="1:11" x14ac:dyDescent="0.45">
      <c r="A22" t="s">
        <v>971</v>
      </c>
      <c r="B22">
        <v>21</v>
      </c>
      <c r="C22" t="s">
        <v>474</v>
      </c>
      <c r="D22">
        <v>150</v>
      </c>
      <c r="E22" t="s">
        <v>453</v>
      </c>
      <c r="F22" t="s">
        <v>441</v>
      </c>
      <c r="G22">
        <v>3</v>
      </c>
      <c r="H22">
        <v>100</v>
      </c>
      <c r="I22">
        <v>240</v>
      </c>
      <c r="K22" t="str">
        <f t="shared" si="0"/>
        <v>21 · Square D HJL36015-150 15-150 A STD 3P 100 kA @240 V</v>
      </c>
    </row>
    <row r="23" spans="1:11" x14ac:dyDescent="0.45">
      <c r="A23" t="s">
        <v>971</v>
      </c>
      <c r="B23">
        <v>22</v>
      </c>
      <c r="C23" t="s">
        <v>472</v>
      </c>
      <c r="D23">
        <v>150</v>
      </c>
      <c r="E23" t="s">
        <v>453</v>
      </c>
      <c r="F23" t="s">
        <v>441</v>
      </c>
      <c r="G23">
        <v>3</v>
      </c>
      <c r="H23">
        <v>18</v>
      </c>
      <c r="I23">
        <v>480</v>
      </c>
      <c r="J23" t="s">
        <v>1022</v>
      </c>
      <c r="K23" t="str">
        <f t="shared" si="0"/>
        <v>22 · Square D HDL36015-150 15-150 A STD 3P 18 kA @480 V</v>
      </c>
    </row>
    <row r="24" spans="1:11" x14ac:dyDescent="0.45">
      <c r="A24" t="s">
        <v>971</v>
      </c>
      <c r="B24">
        <v>23</v>
      </c>
      <c r="C24" t="s">
        <v>473</v>
      </c>
      <c r="D24">
        <v>150</v>
      </c>
      <c r="E24" t="s">
        <v>453</v>
      </c>
      <c r="F24" t="s">
        <v>441</v>
      </c>
      <c r="G24">
        <v>3</v>
      </c>
      <c r="H24">
        <v>35</v>
      </c>
      <c r="I24">
        <v>480</v>
      </c>
      <c r="K24" t="str">
        <f t="shared" si="0"/>
        <v>23 · Square D HGL36015-150 15-150 A STD 3P 35 kA @480 V</v>
      </c>
    </row>
    <row r="25" spans="1:11" x14ac:dyDescent="0.45">
      <c r="A25" t="s">
        <v>971</v>
      </c>
      <c r="B25">
        <v>24</v>
      </c>
      <c r="C25" t="s">
        <v>474</v>
      </c>
      <c r="D25">
        <v>150</v>
      </c>
      <c r="E25" t="s">
        <v>453</v>
      </c>
      <c r="F25" t="s">
        <v>441</v>
      </c>
      <c r="G25">
        <v>3</v>
      </c>
      <c r="H25">
        <v>65</v>
      </c>
      <c r="I25">
        <v>480</v>
      </c>
      <c r="K25" t="str">
        <f t="shared" si="0"/>
        <v>24 · Square D HJL36015-150 15-150 A STD 3P 65 kA @480 V</v>
      </c>
    </row>
    <row r="26" spans="1:11" x14ac:dyDescent="0.45">
      <c r="A26" t="s">
        <v>971</v>
      </c>
      <c r="B26">
        <v>25</v>
      </c>
      <c r="C26" t="s">
        <v>488</v>
      </c>
      <c r="D26">
        <v>250</v>
      </c>
      <c r="E26" t="s">
        <v>489</v>
      </c>
      <c r="F26" t="s">
        <v>441</v>
      </c>
      <c r="G26">
        <v>3</v>
      </c>
      <c r="H26">
        <v>25</v>
      </c>
      <c r="I26">
        <v>240</v>
      </c>
      <c r="J26" t="s">
        <v>1021</v>
      </c>
      <c r="K26" t="str">
        <f t="shared" si="0"/>
        <v>25 · Square D JDL36150-250 150-250 A STD 3P 25 kA @240 V</v>
      </c>
    </row>
    <row r="27" spans="1:11" x14ac:dyDescent="0.45">
      <c r="A27" t="s">
        <v>971</v>
      </c>
      <c r="B27">
        <v>26</v>
      </c>
      <c r="C27" t="s">
        <v>490</v>
      </c>
      <c r="D27">
        <v>250</v>
      </c>
      <c r="E27" t="s">
        <v>489</v>
      </c>
      <c r="F27" t="s">
        <v>441</v>
      </c>
      <c r="G27">
        <v>3</v>
      </c>
      <c r="H27">
        <v>65</v>
      </c>
      <c r="I27">
        <v>240</v>
      </c>
      <c r="K27" t="str">
        <f t="shared" si="0"/>
        <v>26 · Square D JGL36150-250 150-250 A STD 3P 65 kA @240 V</v>
      </c>
    </row>
    <row r="28" spans="1:11" x14ac:dyDescent="0.45">
      <c r="A28" t="s">
        <v>971</v>
      </c>
      <c r="B28">
        <v>27</v>
      </c>
      <c r="C28" t="s">
        <v>491</v>
      </c>
      <c r="D28">
        <v>250</v>
      </c>
      <c r="E28" t="s">
        <v>489</v>
      </c>
      <c r="F28" t="s">
        <v>441</v>
      </c>
      <c r="G28">
        <v>3</v>
      </c>
      <c r="H28">
        <v>100</v>
      </c>
      <c r="I28">
        <v>240</v>
      </c>
      <c r="K28" t="str">
        <f t="shared" si="0"/>
        <v>27 · Square D JJL36150-250 150-250 A STD 3P 100 kA @240 V</v>
      </c>
    </row>
    <row r="29" spans="1:11" x14ac:dyDescent="0.45">
      <c r="A29" t="s">
        <v>971</v>
      </c>
      <c r="B29">
        <v>28</v>
      </c>
      <c r="C29" t="s">
        <v>488</v>
      </c>
      <c r="D29">
        <v>250</v>
      </c>
      <c r="E29" t="s">
        <v>489</v>
      </c>
      <c r="F29" t="s">
        <v>441</v>
      </c>
      <c r="G29">
        <v>3</v>
      </c>
      <c r="H29">
        <v>18</v>
      </c>
      <c r="I29">
        <v>480</v>
      </c>
      <c r="J29" t="s">
        <v>1022</v>
      </c>
      <c r="K29" t="str">
        <f t="shared" si="0"/>
        <v>28 · Square D JDL36150-250 150-250 A STD 3P 18 kA @480 V</v>
      </c>
    </row>
    <row r="30" spans="1:11" x14ac:dyDescent="0.45">
      <c r="A30" t="s">
        <v>971</v>
      </c>
      <c r="B30">
        <v>29</v>
      </c>
      <c r="C30" t="s">
        <v>490</v>
      </c>
      <c r="D30">
        <v>250</v>
      </c>
      <c r="E30" t="s">
        <v>489</v>
      </c>
      <c r="F30" t="s">
        <v>441</v>
      </c>
      <c r="G30">
        <v>3</v>
      </c>
      <c r="H30">
        <v>35</v>
      </c>
      <c r="I30">
        <v>480</v>
      </c>
      <c r="K30" t="str">
        <f t="shared" si="0"/>
        <v>29 · Square D JGL36150-250 150-250 A STD 3P 35 kA @480 V</v>
      </c>
    </row>
    <row r="31" spans="1:11" x14ac:dyDescent="0.45">
      <c r="A31" t="s">
        <v>971</v>
      </c>
      <c r="B31">
        <v>30</v>
      </c>
      <c r="C31" t="s">
        <v>491</v>
      </c>
      <c r="D31">
        <v>250</v>
      </c>
      <c r="E31" t="s">
        <v>489</v>
      </c>
      <c r="F31" t="s">
        <v>441</v>
      </c>
      <c r="G31">
        <v>3</v>
      </c>
      <c r="H31">
        <v>65</v>
      </c>
      <c r="I31">
        <v>480</v>
      </c>
      <c r="K31" t="str">
        <f t="shared" si="0"/>
        <v>30 · Square D JJL36150-250 150-250 A STD 3P 65 kA @480 V</v>
      </c>
    </row>
    <row r="32" spans="1:11" x14ac:dyDescent="0.45">
      <c r="A32" t="s">
        <v>971</v>
      </c>
      <c r="B32">
        <v>31</v>
      </c>
      <c r="C32" t="s">
        <v>502</v>
      </c>
      <c r="D32">
        <v>400</v>
      </c>
      <c r="E32" t="s">
        <v>503</v>
      </c>
      <c r="F32" t="s">
        <v>441</v>
      </c>
      <c r="G32">
        <v>3</v>
      </c>
      <c r="H32">
        <v>42</v>
      </c>
      <c r="I32">
        <v>240</v>
      </c>
      <c r="J32" t="s">
        <v>1021</v>
      </c>
      <c r="K32" t="str">
        <f t="shared" si="0"/>
        <v>31 · Square D LAL36125-400 125-400 A STD 3P 42 kA @240 V</v>
      </c>
    </row>
    <row r="33" spans="1:11" x14ac:dyDescent="0.45">
      <c r="A33" t="s">
        <v>971</v>
      </c>
      <c r="B33">
        <v>32</v>
      </c>
      <c r="C33" t="s">
        <v>505</v>
      </c>
      <c r="D33">
        <v>400</v>
      </c>
      <c r="E33" t="s">
        <v>503</v>
      </c>
      <c r="F33" t="s">
        <v>441</v>
      </c>
      <c r="G33">
        <v>3</v>
      </c>
      <c r="H33">
        <v>65</v>
      </c>
      <c r="I33">
        <v>240</v>
      </c>
      <c r="K33" t="str">
        <f t="shared" si="0"/>
        <v>32 · Square D LHL36125-400 125-400 A STD 3P 65 kA @240 V</v>
      </c>
    </row>
    <row r="34" spans="1:11" x14ac:dyDescent="0.45">
      <c r="A34" t="s">
        <v>971</v>
      </c>
      <c r="B34">
        <v>33</v>
      </c>
      <c r="C34" t="s">
        <v>502</v>
      </c>
      <c r="D34">
        <v>400</v>
      </c>
      <c r="E34" t="s">
        <v>503</v>
      </c>
      <c r="F34" t="s">
        <v>441</v>
      </c>
      <c r="G34">
        <v>3</v>
      </c>
      <c r="H34">
        <v>30</v>
      </c>
      <c r="I34">
        <v>480</v>
      </c>
      <c r="J34" t="s">
        <v>1022</v>
      </c>
      <c r="K34" t="str">
        <f t="shared" ref="K34:K65" si="1">B34&amp;" · "&amp;A34&amp;" "&amp;C34&amp;" "&amp;E34&amp;" A "&amp;IF(F34="","STD",F34)&amp;" "&amp;G34&amp;"P "&amp;H34&amp;" kA @"&amp;I34&amp;" V"</f>
        <v>33 · Square D LAL36125-400 125-400 A STD 3P 30 kA @480 V</v>
      </c>
    </row>
    <row r="35" spans="1:11" x14ac:dyDescent="0.45">
      <c r="A35" t="s">
        <v>971</v>
      </c>
      <c r="B35">
        <v>34</v>
      </c>
      <c r="C35" t="s">
        <v>505</v>
      </c>
      <c r="D35">
        <v>400</v>
      </c>
      <c r="E35" t="s">
        <v>503</v>
      </c>
      <c r="F35" t="s">
        <v>441</v>
      </c>
      <c r="G35">
        <v>3</v>
      </c>
      <c r="H35">
        <v>35</v>
      </c>
      <c r="I35">
        <v>480</v>
      </c>
      <c r="K35" t="str">
        <f t="shared" si="1"/>
        <v>34 · Square D LHL36125-400 125-400 A STD 3P 35 kA @480 V</v>
      </c>
    </row>
    <row r="36" spans="1:11" x14ac:dyDescent="0.45">
      <c r="A36" t="s">
        <v>971</v>
      </c>
      <c r="B36">
        <v>35</v>
      </c>
      <c r="C36" t="s">
        <v>519</v>
      </c>
      <c r="D36">
        <v>800</v>
      </c>
      <c r="E36" t="s">
        <v>520</v>
      </c>
      <c r="F36" t="s">
        <v>441</v>
      </c>
      <c r="G36">
        <v>3</v>
      </c>
      <c r="H36">
        <v>65</v>
      </c>
      <c r="I36">
        <v>240</v>
      </c>
      <c r="J36" t="s">
        <v>1021</v>
      </c>
      <c r="K36" t="str">
        <f t="shared" si="1"/>
        <v>35 · Square D MGL36300-800 300-800 A STD 3P 65 kA @240 V</v>
      </c>
    </row>
    <row r="37" spans="1:11" x14ac:dyDescent="0.45">
      <c r="A37" t="s">
        <v>971</v>
      </c>
      <c r="B37">
        <v>36</v>
      </c>
      <c r="C37" t="s">
        <v>521</v>
      </c>
      <c r="D37">
        <v>800</v>
      </c>
      <c r="E37" t="s">
        <v>520</v>
      </c>
      <c r="F37" t="s">
        <v>441</v>
      </c>
      <c r="G37">
        <v>3</v>
      </c>
      <c r="H37">
        <v>100</v>
      </c>
      <c r="I37">
        <v>240</v>
      </c>
      <c r="K37" t="str">
        <f t="shared" si="1"/>
        <v>36 · Square D MJL36300-800 300-800 A STD 3P 100 kA @240 V</v>
      </c>
    </row>
    <row r="38" spans="1:11" x14ac:dyDescent="0.45">
      <c r="A38" t="s">
        <v>971</v>
      </c>
      <c r="B38">
        <v>37</v>
      </c>
      <c r="C38" t="s">
        <v>519</v>
      </c>
      <c r="D38">
        <v>800</v>
      </c>
      <c r="E38" t="s">
        <v>520</v>
      </c>
      <c r="F38" t="s">
        <v>441</v>
      </c>
      <c r="G38">
        <v>3</v>
      </c>
      <c r="H38">
        <v>35</v>
      </c>
      <c r="I38">
        <v>480</v>
      </c>
      <c r="J38" t="s">
        <v>1022</v>
      </c>
      <c r="K38" t="str">
        <f t="shared" si="1"/>
        <v>37 · Square D MGL36300-800 300-800 A STD 3P 35 kA @480 V</v>
      </c>
    </row>
    <row r="39" spans="1:11" x14ac:dyDescent="0.45">
      <c r="A39" t="s">
        <v>971</v>
      </c>
      <c r="B39">
        <v>38</v>
      </c>
      <c r="C39" t="s">
        <v>521</v>
      </c>
      <c r="D39">
        <v>800</v>
      </c>
      <c r="E39" t="s">
        <v>520</v>
      </c>
      <c r="F39" t="s">
        <v>441</v>
      </c>
      <c r="G39">
        <v>3</v>
      </c>
      <c r="H39">
        <v>65</v>
      </c>
      <c r="I39">
        <v>480</v>
      </c>
      <c r="K39" t="str">
        <f t="shared" si="1"/>
        <v>38 · Square D MJL36300-800 300-800 A STD 3P 65 kA @480 V</v>
      </c>
    </row>
    <row r="40" spans="1:11" x14ac:dyDescent="0.45">
      <c r="A40" t="s">
        <v>971</v>
      </c>
      <c r="B40">
        <v>39</v>
      </c>
      <c r="C40" t="s">
        <v>476</v>
      </c>
      <c r="D40">
        <v>150</v>
      </c>
      <c r="E40" t="s">
        <v>453</v>
      </c>
      <c r="F40" t="s">
        <v>477</v>
      </c>
      <c r="G40">
        <v>3</v>
      </c>
      <c r="H40">
        <v>25</v>
      </c>
      <c r="I40">
        <v>240</v>
      </c>
      <c r="J40" t="s">
        <v>1023</v>
      </c>
      <c r="K40" t="str">
        <f t="shared" si="1"/>
        <v>39 · Square D HDL36060U31X-150U31X 15-150 A LI 3P 25 kA @240 V</v>
      </c>
    </row>
    <row r="41" spans="1:11" x14ac:dyDescent="0.45">
      <c r="A41" t="s">
        <v>971</v>
      </c>
      <c r="B41">
        <v>40</v>
      </c>
      <c r="C41" t="s">
        <v>478</v>
      </c>
      <c r="D41">
        <v>150</v>
      </c>
      <c r="E41" t="s">
        <v>453</v>
      </c>
      <c r="F41" t="s">
        <v>477</v>
      </c>
      <c r="G41">
        <v>3</v>
      </c>
      <c r="H41">
        <v>65</v>
      </c>
      <c r="I41">
        <v>240</v>
      </c>
      <c r="K41" t="str">
        <f t="shared" si="1"/>
        <v>40 · Square D HGL36060U31X-150U31X 15-150 A LI 3P 65 kA @240 V</v>
      </c>
    </row>
    <row r="42" spans="1:11" x14ac:dyDescent="0.45">
      <c r="A42" t="s">
        <v>971</v>
      </c>
      <c r="B42">
        <v>41</v>
      </c>
      <c r="C42" t="s">
        <v>479</v>
      </c>
      <c r="D42">
        <v>150</v>
      </c>
      <c r="E42" t="s">
        <v>453</v>
      </c>
      <c r="F42" t="s">
        <v>477</v>
      </c>
      <c r="G42">
        <v>3</v>
      </c>
      <c r="H42">
        <v>100</v>
      </c>
      <c r="I42">
        <v>240</v>
      </c>
      <c r="K42" t="str">
        <f t="shared" si="1"/>
        <v>41 · Square D HJL36060U31X-150U31X 15-150 A LI 3P 100 kA @240 V</v>
      </c>
    </row>
    <row r="43" spans="1:11" x14ac:dyDescent="0.45">
      <c r="A43" t="s">
        <v>971</v>
      </c>
      <c r="B43">
        <v>42</v>
      </c>
      <c r="C43" t="s">
        <v>476</v>
      </c>
      <c r="D43">
        <v>150</v>
      </c>
      <c r="E43" t="s">
        <v>453</v>
      </c>
      <c r="F43" t="s">
        <v>477</v>
      </c>
      <c r="G43">
        <v>3</v>
      </c>
      <c r="H43">
        <v>18</v>
      </c>
      <c r="I43">
        <v>480</v>
      </c>
      <c r="J43" t="s">
        <v>1024</v>
      </c>
      <c r="K43" t="str">
        <f t="shared" si="1"/>
        <v>42 · Square D HDL36060U31X-150U31X 15-150 A LI 3P 18 kA @480 V</v>
      </c>
    </row>
    <row r="44" spans="1:11" x14ac:dyDescent="0.45">
      <c r="A44" t="s">
        <v>971</v>
      </c>
      <c r="B44">
        <v>43</v>
      </c>
      <c r="C44" t="s">
        <v>478</v>
      </c>
      <c r="D44">
        <v>150</v>
      </c>
      <c r="E44" t="s">
        <v>453</v>
      </c>
      <c r="F44" t="s">
        <v>477</v>
      </c>
      <c r="G44">
        <v>3</v>
      </c>
      <c r="H44">
        <v>35</v>
      </c>
      <c r="I44">
        <v>480</v>
      </c>
      <c r="K44" t="str">
        <f t="shared" si="1"/>
        <v>43 · Square D HGL36060U31X-150U31X 15-150 A LI 3P 35 kA @480 V</v>
      </c>
    </row>
    <row r="45" spans="1:11" x14ac:dyDescent="0.45">
      <c r="A45" t="s">
        <v>971</v>
      </c>
      <c r="B45">
        <v>44</v>
      </c>
      <c r="C45" t="s">
        <v>479</v>
      </c>
      <c r="D45">
        <v>150</v>
      </c>
      <c r="E45" t="s">
        <v>453</v>
      </c>
      <c r="F45" t="s">
        <v>477</v>
      </c>
      <c r="G45">
        <v>3</v>
      </c>
      <c r="H45">
        <v>65</v>
      </c>
      <c r="I45">
        <v>480</v>
      </c>
      <c r="K45" t="str">
        <f t="shared" si="1"/>
        <v>44 · Square D HJL36060U31X-150U31X 15-150 A LI 3P 65 kA @480 V</v>
      </c>
    </row>
    <row r="46" spans="1:11" x14ac:dyDescent="0.45">
      <c r="A46" t="s">
        <v>971</v>
      </c>
      <c r="B46">
        <v>45</v>
      </c>
      <c r="C46" t="s">
        <v>480</v>
      </c>
      <c r="D46">
        <v>150</v>
      </c>
      <c r="E46" t="s">
        <v>453</v>
      </c>
      <c r="F46" t="s">
        <v>481</v>
      </c>
      <c r="G46">
        <v>3</v>
      </c>
      <c r="H46">
        <v>25</v>
      </c>
      <c r="I46">
        <v>240</v>
      </c>
      <c r="J46" t="s">
        <v>1025</v>
      </c>
      <c r="K46" t="str">
        <f t="shared" si="1"/>
        <v>45 · Square D HDL36060U33X-150U33X 15-150 A LSI 3P 25 kA @240 V</v>
      </c>
    </row>
    <row r="47" spans="1:11" x14ac:dyDescent="0.45">
      <c r="A47" t="s">
        <v>971</v>
      </c>
      <c r="B47">
        <v>46</v>
      </c>
      <c r="C47" t="s">
        <v>482</v>
      </c>
      <c r="D47">
        <v>150</v>
      </c>
      <c r="E47" t="s">
        <v>453</v>
      </c>
      <c r="F47" t="s">
        <v>481</v>
      </c>
      <c r="G47">
        <v>3</v>
      </c>
      <c r="H47">
        <v>65</v>
      </c>
      <c r="I47">
        <v>240</v>
      </c>
      <c r="K47" t="str">
        <f t="shared" si="1"/>
        <v>46 · Square D HGL36060U33X-150U33X 15-150 A LSI 3P 65 kA @240 V</v>
      </c>
    </row>
    <row r="48" spans="1:11" x14ac:dyDescent="0.45">
      <c r="A48" t="s">
        <v>971</v>
      </c>
      <c r="B48">
        <v>47</v>
      </c>
      <c r="C48" t="s">
        <v>483</v>
      </c>
      <c r="D48">
        <v>150</v>
      </c>
      <c r="E48" t="s">
        <v>453</v>
      </c>
      <c r="F48" t="s">
        <v>481</v>
      </c>
      <c r="G48">
        <v>3</v>
      </c>
      <c r="H48">
        <v>100</v>
      </c>
      <c r="I48">
        <v>240</v>
      </c>
      <c r="K48" t="str">
        <f t="shared" si="1"/>
        <v>47 · Square D HJL36060U33X-150U33X 15-150 A LSI 3P 100 kA @240 V</v>
      </c>
    </row>
    <row r="49" spans="1:11" x14ac:dyDescent="0.45">
      <c r="A49" t="s">
        <v>971</v>
      </c>
      <c r="B49">
        <v>48</v>
      </c>
      <c r="C49" t="s">
        <v>480</v>
      </c>
      <c r="D49">
        <v>150</v>
      </c>
      <c r="E49" t="s">
        <v>453</v>
      </c>
      <c r="F49" t="s">
        <v>481</v>
      </c>
      <c r="G49">
        <v>3</v>
      </c>
      <c r="H49">
        <v>18</v>
      </c>
      <c r="I49">
        <v>480</v>
      </c>
      <c r="J49" t="s">
        <v>1026</v>
      </c>
      <c r="K49" t="str">
        <f t="shared" si="1"/>
        <v>48 · Square D HDL36060U33X-150U33X 15-150 A LSI 3P 18 kA @480 V</v>
      </c>
    </row>
    <row r="50" spans="1:11" x14ac:dyDescent="0.45">
      <c r="A50" t="s">
        <v>971</v>
      </c>
      <c r="B50">
        <v>49</v>
      </c>
      <c r="C50" t="s">
        <v>482</v>
      </c>
      <c r="D50">
        <v>150</v>
      </c>
      <c r="E50" t="s">
        <v>453</v>
      </c>
      <c r="F50" t="s">
        <v>481</v>
      </c>
      <c r="G50">
        <v>3</v>
      </c>
      <c r="H50">
        <v>35</v>
      </c>
      <c r="I50">
        <v>480</v>
      </c>
      <c r="K50" t="str">
        <f t="shared" si="1"/>
        <v>49 · Square D HGL36060U33X-150U33X 15-150 A LSI 3P 35 kA @480 V</v>
      </c>
    </row>
    <row r="51" spans="1:11" x14ac:dyDescent="0.45">
      <c r="A51" t="s">
        <v>971</v>
      </c>
      <c r="B51">
        <v>50</v>
      </c>
      <c r="C51" t="s">
        <v>483</v>
      </c>
      <c r="D51">
        <v>150</v>
      </c>
      <c r="E51" t="s">
        <v>453</v>
      </c>
      <c r="F51" t="s">
        <v>481</v>
      </c>
      <c r="G51">
        <v>3</v>
      </c>
      <c r="H51">
        <v>65</v>
      </c>
      <c r="I51">
        <v>480</v>
      </c>
      <c r="K51" t="str">
        <f t="shared" si="1"/>
        <v>50 · Square D HJL36060U33X-150U33X 15-150 A LSI 3P 65 kA @480 V</v>
      </c>
    </row>
    <row r="52" spans="1:11" x14ac:dyDescent="0.45">
      <c r="A52" t="s">
        <v>971</v>
      </c>
      <c r="B52">
        <v>51</v>
      </c>
      <c r="C52" t="s">
        <v>484</v>
      </c>
      <c r="D52">
        <v>150</v>
      </c>
      <c r="E52" t="s">
        <v>453</v>
      </c>
      <c r="F52" t="s">
        <v>481</v>
      </c>
      <c r="G52">
        <v>3</v>
      </c>
      <c r="H52">
        <v>25</v>
      </c>
      <c r="I52">
        <v>240</v>
      </c>
      <c r="J52" t="s">
        <v>1027</v>
      </c>
      <c r="K52" t="str">
        <f t="shared" si="1"/>
        <v>51 · Square D HDL36060U43X-150U43X 15-150 A LSI 3P 25 kA @240 V</v>
      </c>
    </row>
    <row r="53" spans="1:11" x14ac:dyDescent="0.45">
      <c r="A53" t="s">
        <v>971</v>
      </c>
      <c r="B53">
        <v>52</v>
      </c>
      <c r="C53" t="s">
        <v>485</v>
      </c>
      <c r="D53">
        <v>150</v>
      </c>
      <c r="E53" t="s">
        <v>453</v>
      </c>
      <c r="F53" t="s">
        <v>481</v>
      </c>
      <c r="G53">
        <v>3</v>
      </c>
      <c r="H53">
        <v>65</v>
      </c>
      <c r="I53">
        <v>240</v>
      </c>
      <c r="K53" t="str">
        <f t="shared" si="1"/>
        <v>52 · Square D HGL36060U43X-150U43X 15-150 A LSI 3P 65 kA @240 V</v>
      </c>
    </row>
    <row r="54" spans="1:11" x14ac:dyDescent="0.45">
      <c r="A54" t="s">
        <v>971</v>
      </c>
      <c r="B54">
        <v>53</v>
      </c>
      <c r="C54" t="s">
        <v>486</v>
      </c>
      <c r="D54">
        <v>150</v>
      </c>
      <c r="E54" t="s">
        <v>453</v>
      </c>
      <c r="F54" t="s">
        <v>481</v>
      </c>
      <c r="G54">
        <v>3</v>
      </c>
      <c r="H54">
        <v>100</v>
      </c>
      <c r="I54">
        <v>240</v>
      </c>
      <c r="K54" t="str">
        <f t="shared" si="1"/>
        <v>53 · Square D HJL36060U43X-150U43X 15-150 A LSI 3P 100 kA @240 V</v>
      </c>
    </row>
    <row r="55" spans="1:11" x14ac:dyDescent="0.45">
      <c r="A55" t="s">
        <v>971</v>
      </c>
      <c r="B55">
        <v>54</v>
      </c>
      <c r="C55" t="s">
        <v>484</v>
      </c>
      <c r="D55">
        <v>150</v>
      </c>
      <c r="E55" t="s">
        <v>453</v>
      </c>
      <c r="F55" t="s">
        <v>481</v>
      </c>
      <c r="G55">
        <v>3</v>
      </c>
      <c r="H55">
        <v>18</v>
      </c>
      <c r="I55">
        <v>480</v>
      </c>
      <c r="J55" t="s">
        <v>1028</v>
      </c>
      <c r="K55" t="str">
        <f t="shared" si="1"/>
        <v>54 · Square D HDL36060U43X-150U43X 15-150 A LSI 3P 18 kA @480 V</v>
      </c>
    </row>
    <row r="56" spans="1:11" x14ac:dyDescent="0.45">
      <c r="A56" t="s">
        <v>971</v>
      </c>
      <c r="B56">
        <v>55</v>
      </c>
      <c r="C56" t="s">
        <v>485</v>
      </c>
      <c r="D56">
        <v>150</v>
      </c>
      <c r="E56" t="s">
        <v>453</v>
      </c>
      <c r="F56" t="s">
        <v>481</v>
      </c>
      <c r="G56">
        <v>3</v>
      </c>
      <c r="H56">
        <v>35</v>
      </c>
      <c r="I56">
        <v>480</v>
      </c>
      <c r="K56" t="str">
        <f t="shared" si="1"/>
        <v>55 · Square D HGL36060U43X-150U43X 15-150 A LSI 3P 35 kA @480 V</v>
      </c>
    </row>
    <row r="57" spans="1:11" x14ac:dyDescent="0.45">
      <c r="A57" t="s">
        <v>971</v>
      </c>
      <c r="B57">
        <v>56</v>
      </c>
      <c r="C57" t="s">
        <v>486</v>
      </c>
      <c r="D57">
        <v>150</v>
      </c>
      <c r="E57" t="s">
        <v>453</v>
      </c>
      <c r="F57" t="s">
        <v>481</v>
      </c>
      <c r="G57">
        <v>3</v>
      </c>
      <c r="H57">
        <v>65</v>
      </c>
      <c r="I57">
        <v>480</v>
      </c>
      <c r="K57" t="str">
        <f t="shared" si="1"/>
        <v>56 · Square D HJL36060U43X-150U43X 15-150 A LSI 3P 65 kA @480 V</v>
      </c>
    </row>
    <row r="58" spans="1:11" x14ac:dyDescent="0.45">
      <c r="A58" t="s">
        <v>971</v>
      </c>
      <c r="B58">
        <v>57</v>
      </c>
      <c r="C58" t="s">
        <v>492</v>
      </c>
      <c r="D58">
        <v>250</v>
      </c>
      <c r="E58" t="s">
        <v>465</v>
      </c>
      <c r="F58" t="s">
        <v>477</v>
      </c>
      <c r="G58">
        <v>3</v>
      </c>
      <c r="H58">
        <v>25</v>
      </c>
      <c r="I58">
        <v>240</v>
      </c>
      <c r="J58" t="s">
        <v>1023</v>
      </c>
      <c r="K58" t="str">
        <f t="shared" si="1"/>
        <v>57 · Square D JDL36250U31X 70-250 A LI 3P 25 kA @240 V</v>
      </c>
    </row>
    <row r="59" spans="1:11" x14ac:dyDescent="0.45">
      <c r="A59" t="s">
        <v>971</v>
      </c>
      <c r="B59">
        <v>58</v>
      </c>
      <c r="C59" t="s">
        <v>493</v>
      </c>
      <c r="D59">
        <v>250</v>
      </c>
      <c r="E59" t="s">
        <v>465</v>
      </c>
      <c r="F59" t="s">
        <v>477</v>
      </c>
      <c r="G59">
        <v>3</v>
      </c>
      <c r="H59">
        <v>65</v>
      </c>
      <c r="I59">
        <v>240</v>
      </c>
      <c r="K59" t="str">
        <f t="shared" si="1"/>
        <v>58 · Square D JGL36250U31X 70-250 A LI 3P 65 kA @240 V</v>
      </c>
    </row>
    <row r="60" spans="1:11" x14ac:dyDescent="0.45">
      <c r="A60" t="s">
        <v>971</v>
      </c>
      <c r="B60">
        <v>59</v>
      </c>
      <c r="C60" t="s">
        <v>494</v>
      </c>
      <c r="D60">
        <v>250</v>
      </c>
      <c r="E60" t="s">
        <v>465</v>
      </c>
      <c r="F60" t="s">
        <v>477</v>
      </c>
      <c r="G60">
        <v>3</v>
      </c>
      <c r="H60">
        <v>100</v>
      </c>
      <c r="I60">
        <v>240</v>
      </c>
      <c r="K60" t="str">
        <f t="shared" si="1"/>
        <v>59 · Square D JJL36250U31X 70-250 A LI 3P 100 kA @240 V</v>
      </c>
    </row>
    <row r="61" spans="1:11" x14ac:dyDescent="0.45">
      <c r="A61" t="s">
        <v>971</v>
      </c>
      <c r="B61">
        <v>60</v>
      </c>
      <c r="C61" t="s">
        <v>492</v>
      </c>
      <c r="D61">
        <v>250</v>
      </c>
      <c r="E61" t="s">
        <v>465</v>
      </c>
      <c r="F61" t="s">
        <v>477</v>
      </c>
      <c r="G61">
        <v>3</v>
      </c>
      <c r="H61">
        <v>18</v>
      </c>
      <c r="I61">
        <v>480</v>
      </c>
      <c r="J61" t="s">
        <v>1024</v>
      </c>
      <c r="K61" t="str">
        <f t="shared" si="1"/>
        <v>60 · Square D JDL36250U31X 70-250 A LI 3P 18 kA @480 V</v>
      </c>
    </row>
    <row r="62" spans="1:11" x14ac:dyDescent="0.45">
      <c r="A62" t="s">
        <v>971</v>
      </c>
      <c r="B62">
        <v>61</v>
      </c>
      <c r="C62" t="s">
        <v>493</v>
      </c>
      <c r="D62">
        <v>250</v>
      </c>
      <c r="E62" t="s">
        <v>465</v>
      </c>
      <c r="F62" t="s">
        <v>477</v>
      </c>
      <c r="G62">
        <v>3</v>
      </c>
      <c r="H62">
        <v>35</v>
      </c>
      <c r="I62">
        <v>480</v>
      </c>
      <c r="K62" t="str">
        <f t="shared" si="1"/>
        <v>61 · Square D JGL36250U31X 70-250 A LI 3P 35 kA @480 V</v>
      </c>
    </row>
    <row r="63" spans="1:11" x14ac:dyDescent="0.45">
      <c r="A63" t="s">
        <v>971</v>
      </c>
      <c r="B63">
        <v>62</v>
      </c>
      <c r="C63" t="s">
        <v>494</v>
      </c>
      <c r="D63">
        <v>250</v>
      </c>
      <c r="E63" t="s">
        <v>465</v>
      </c>
      <c r="F63" t="s">
        <v>477</v>
      </c>
      <c r="G63">
        <v>3</v>
      </c>
      <c r="H63">
        <v>65</v>
      </c>
      <c r="I63">
        <v>480</v>
      </c>
      <c r="K63" t="str">
        <f t="shared" si="1"/>
        <v>62 · Square D JJL36250U31X 70-250 A LI 3P 65 kA @480 V</v>
      </c>
    </row>
    <row r="64" spans="1:11" x14ac:dyDescent="0.45">
      <c r="A64" t="s">
        <v>971</v>
      </c>
      <c r="B64">
        <v>63</v>
      </c>
      <c r="C64" t="s">
        <v>495</v>
      </c>
      <c r="D64">
        <v>250</v>
      </c>
      <c r="E64" t="s">
        <v>465</v>
      </c>
      <c r="F64" t="s">
        <v>481</v>
      </c>
      <c r="G64">
        <v>3</v>
      </c>
      <c r="H64">
        <v>25</v>
      </c>
      <c r="I64">
        <v>240</v>
      </c>
      <c r="J64" t="s">
        <v>1025</v>
      </c>
      <c r="K64" t="str">
        <f t="shared" si="1"/>
        <v>63 · Square D JDL36250U33X 70-250 A LSI 3P 25 kA @240 V</v>
      </c>
    </row>
    <row r="65" spans="1:11" x14ac:dyDescent="0.45">
      <c r="A65" t="s">
        <v>971</v>
      </c>
      <c r="B65">
        <v>64</v>
      </c>
      <c r="C65" t="s">
        <v>496</v>
      </c>
      <c r="D65">
        <v>250</v>
      </c>
      <c r="E65" t="s">
        <v>465</v>
      </c>
      <c r="F65" t="s">
        <v>481</v>
      </c>
      <c r="G65">
        <v>3</v>
      </c>
      <c r="H65">
        <v>65</v>
      </c>
      <c r="I65">
        <v>240</v>
      </c>
      <c r="K65" t="str">
        <f t="shared" si="1"/>
        <v>64 · Square D JGL36250U33X 70-250 A LSI 3P 65 kA @240 V</v>
      </c>
    </row>
    <row r="66" spans="1:11" x14ac:dyDescent="0.45">
      <c r="A66" t="s">
        <v>971</v>
      </c>
      <c r="B66">
        <v>65</v>
      </c>
      <c r="C66" t="s">
        <v>497</v>
      </c>
      <c r="D66">
        <v>250</v>
      </c>
      <c r="E66" t="s">
        <v>465</v>
      </c>
      <c r="F66" t="s">
        <v>481</v>
      </c>
      <c r="G66">
        <v>3</v>
      </c>
      <c r="H66">
        <v>100</v>
      </c>
      <c r="I66">
        <v>240</v>
      </c>
      <c r="K66" t="str">
        <f t="shared" ref="K66:K97" si="2">B66&amp;" · "&amp;A66&amp;" "&amp;C66&amp;" "&amp;E66&amp;" A "&amp;IF(F66="","STD",F66)&amp;" "&amp;G66&amp;"P "&amp;H66&amp;" kA @"&amp;I66&amp;" V"</f>
        <v>65 · Square D JJL36250U33X 70-250 A LSI 3P 100 kA @240 V</v>
      </c>
    </row>
    <row r="67" spans="1:11" x14ac:dyDescent="0.45">
      <c r="A67" t="s">
        <v>971</v>
      </c>
      <c r="B67">
        <v>66</v>
      </c>
      <c r="C67" t="s">
        <v>495</v>
      </c>
      <c r="D67">
        <v>250</v>
      </c>
      <c r="E67" t="s">
        <v>465</v>
      </c>
      <c r="F67" t="s">
        <v>481</v>
      </c>
      <c r="G67">
        <v>3</v>
      </c>
      <c r="H67">
        <v>18</v>
      </c>
      <c r="I67">
        <v>480</v>
      </c>
      <c r="J67" t="s">
        <v>1026</v>
      </c>
      <c r="K67" t="str">
        <f t="shared" si="2"/>
        <v>66 · Square D JDL36250U33X 70-250 A LSI 3P 18 kA @480 V</v>
      </c>
    </row>
    <row r="68" spans="1:11" x14ac:dyDescent="0.45">
      <c r="A68" t="s">
        <v>971</v>
      </c>
      <c r="B68">
        <v>67</v>
      </c>
      <c r="C68" t="s">
        <v>496</v>
      </c>
      <c r="D68">
        <v>250</v>
      </c>
      <c r="E68" t="s">
        <v>465</v>
      </c>
      <c r="F68" t="s">
        <v>481</v>
      </c>
      <c r="G68">
        <v>3</v>
      </c>
      <c r="H68">
        <v>35</v>
      </c>
      <c r="I68">
        <v>480</v>
      </c>
      <c r="K68" t="str">
        <f t="shared" si="2"/>
        <v>67 · Square D JGL36250U33X 70-250 A LSI 3P 35 kA @480 V</v>
      </c>
    </row>
    <row r="69" spans="1:11" x14ac:dyDescent="0.45">
      <c r="A69" t="s">
        <v>971</v>
      </c>
      <c r="B69">
        <v>68</v>
      </c>
      <c r="C69" t="s">
        <v>497</v>
      </c>
      <c r="D69">
        <v>250</v>
      </c>
      <c r="E69" t="s">
        <v>465</v>
      </c>
      <c r="F69" t="s">
        <v>481</v>
      </c>
      <c r="G69">
        <v>3</v>
      </c>
      <c r="H69">
        <v>65</v>
      </c>
      <c r="I69">
        <v>480</v>
      </c>
      <c r="K69" t="str">
        <f t="shared" si="2"/>
        <v>68 · Square D JJL36250U33X 70-250 A LSI 3P 65 kA @480 V</v>
      </c>
    </row>
    <row r="70" spans="1:11" x14ac:dyDescent="0.45">
      <c r="A70" t="s">
        <v>971</v>
      </c>
      <c r="B70">
        <v>69</v>
      </c>
      <c r="C70" t="s">
        <v>498</v>
      </c>
      <c r="D70">
        <v>250</v>
      </c>
      <c r="E70" t="s">
        <v>465</v>
      </c>
      <c r="F70" t="s">
        <v>481</v>
      </c>
      <c r="G70">
        <v>3</v>
      </c>
      <c r="H70">
        <v>25</v>
      </c>
      <c r="I70">
        <v>240</v>
      </c>
      <c r="J70" t="s">
        <v>1027</v>
      </c>
      <c r="K70" t="str">
        <f t="shared" si="2"/>
        <v>69 · Square D JDL36250U43X 70-250 A LSI 3P 25 kA @240 V</v>
      </c>
    </row>
    <row r="71" spans="1:11" x14ac:dyDescent="0.45">
      <c r="A71" t="s">
        <v>971</v>
      </c>
      <c r="B71">
        <v>70</v>
      </c>
      <c r="C71" t="s">
        <v>499</v>
      </c>
      <c r="D71">
        <v>250</v>
      </c>
      <c r="E71" t="s">
        <v>465</v>
      </c>
      <c r="F71" t="s">
        <v>481</v>
      </c>
      <c r="G71">
        <v>3</v>
      </c>
      <c r="H71">
        <v>65</v>
      </c>
      <c r="I71">
        <v>240</v>
      </c>
      <c r="K71" t="str">
        <f t="shared" si="2"/>
        <v>70 · Square D JGL36250U43X 70-250 A LSI 3P 65 kA @240 V</v>
      </c>
    </row>
    <row r="72" spans="1:11" x14ac:dyDescent="0.45">
      <c r="A72" t="s">
        <v>971</v>
      </c>
      <c r="B72">
        <v>71</v>
      </c>
      <c r="C72" t="s">
        <v>500</v>
      </c>
      <c r="D72">
        <v>250</v>
      </c>
      <c r="E72" t="s">
        <v>465</v>
      </c>
      <c r="F72" t="s">
        <v>481</v>
      </c>
      <c r="G72">
        <v>3</v>
      </c>
      <c r="H72">
        <v>100</v>
      </c>
      <c r="I72">
        <v>240</v>
      </c>
      <c r="K72" t="str">
        <f t="shared" si="2"/>
        <v>71 · Square D JJL36250U43X 70-250 A LSI 3P 100 kA @240 V</v>
      </c>
    </row>
    <row r="73" spans="1:11" x14ac:dyDescent="0.45">
      <c r="A73" t="s">
        <v>971</v>
      </c>
      <c r="B73">
        <v>72</v>
      </c>
      <c r="C73" t="s">
        <v>498</v>
      </c>
      <c r="D73">
        <v>250</v>
      </c>
      <c r="E73" t="s">
        <v>465</v>
      </c>
      <c r="F73" t="s">
        <v>481</v>
      </c>
      <c r="G73">
        <v>3</v>
      </c>
      <c r="H73">
        <v>18</v>
      </c>
      <c r="I73">
        <v>480</v>
      </c>
      <c r="J73" t="s">
        <v>1028</v>
      </c>
      <c r="K73" t="str">
        <f t="shared" si="2"/>
        <v>72 · Square D JDL36250U43X 70-250 A LSI 3P 18 kA @480 V</v>
      </c>
    </row>
    <row r="74" spans="1:11" x14ac:dyDescent="0.45">
      <c r="A74" t="s">
        <v>971</v>
      </c>
      <c r="B74">
        <v>73</v>
      </c>
      <c r="C74" t="s">
        <v>499</v>
      </c>
      <c r="D74">
        <v>250</v>
      </c>
      <c r="E74" t="s">
        <v>465</v>
      </c>
      <c r="F74" t="s">
        <v>481</v>
      </c>
      <c r="G74">
        <v>3</v>
      </c>
      <c r="H74">
        <v>35</v>
      </c>
      <c r="I74">
        <v>480</v>
      </c>
      <c r="K74" t="str">
        <f t="shared" si="2"/>
        <v>73 · Square D JGL36250U43X 70-250 A LSI 3P 35 kA @480 V</v>
      </c>
    </row>
    <row r="75" spans="1:11" x14ac:dyDescent="0.45">
      <c r="A75" t="s">
        <v>971</v>
      </c>
      <c r="B75">
        <v>74</v>
      </c>
      <c r="C75" t="s">
        <v>500</v>
      </c>
      <c r="D75">
        <v>250</v>
      </c>
      <c r="E75" t="s">
        <v>465</v>
      </c>
      <c r="F75" t="s">
        <v>481</v>
      </c>
      <c r="G75">
        <v>3</v>
      </c>
      <c r="H75">
        <v>65</v>
      </c>
      <c r="I75">
        <v>480</v>
      </c>
      <c r="K75" t="str">
        <f t="shared" si="2"/>
        <v>74 · Square D JJL36250U43X 70-250 A LSI 3P 65 kA @480 V</v>
      </c>
    </row>
    <row r="76" spans="1:11" x14ac:dyDescent="0.45">
      <c r="A76" t="s">
        <v>971</v>
      </c>
      <c r="B76">
        <v>75</v>
      </c>
      <c r="C76" t="s">
        <v>507</v>
      </c>
      <c r="D76">
        <v>600</v>
      </c>
      <c r="E76" t="s">
        <v>508</v>
      </c>
      <c r="F76" t="s">
        <v>477</v>
      </c>
      <c r="G76">
        <v>3</v>
      </c>
      <c r="H76">
        <v>25</v>
      </c>
      <c r="I76">
        <v>240</v>
      </c>
      <c r="J76" t="s">
        <v>1029</v>
      </c>
      <c r="K76" t="str">
        <f t="shared" si="2"/>
        <v>75 · Square D LDL36250U31X-600U31X 70-600 A LI 3P 25 kA @240 V</v>
      </c>
    </row>
    <row r="77" spans="1:11" x14ac:dyDescent="0.45">
      <c r="A77" t="s">
        <v>971</v>
      </c>
      <c r="B77">
        <v>76</v>
      </c>
      <c r="C77" t="s">
        <v>509</v>
      </c>
      <c r="D77">
        <v>600</v>
      </c>
      <c r="E77" t="s">
        <v>508</v>
      </c>
      <c r="F77" t="s">
        <v>477</v>
      </c>
      <c r="G77">
        <v>3</v>
      </c>
      <c r="H77">
        <v>65</v>
      </c>
      <c r="I77">
        <v>240</v>
      </c>
      <c r="K77" t="str">
        <f t="shared" si="2"/>
        <v>76 · Square D LGL36250U31X-600U31X 70-600 A LI 3P 65 kA @240 V</v>
      </c>
    </row>
    <row r="78" spans="1:11" x14ac:dyDescent="0.45">
      <c r="A78" t="s">
        <v>971</v>
      </c>
      <c r="B78">
        <v>77</v>
      </c>
      <c r="C78" t="s">
        <v>510</v>
      </c>
      <c r="D78">
        <v>600</v>
      </c>
      <c r="E78" t="s">
        <v>508</v>
      </c>
      <c r="F78" t="s">
        <v>477</v>
      </c>
      <c r="G78">
        <v>3</v>
      </c>
      <c r="H78">
        <v>100</v>
      </c>
      <c r="I78">
        <v>240</v>
      </c>
      <c r="K78" t="str">
        <f t="shared" si="2"/>
        <v>77 · Square D LJL36250U31X-600U31X 70-600 A LI 3P 100 kA @240 V</v>
      </c>
    </row>
    <row r="79" spans="1:11" x14ac:dyDescent="0.45">
      <c r="A79" t="s">
        <v>971</v>
      </c>
      <c r="B79">
        <v>78</v>
      </c>
      <c r="C79" t="s">
        <v>507</v>
      </c>
      <c r="D79">
        <v>600</v>
      </c>
      <c r="E79" t="s">
        <v>508</v>
      </c>
      <c r="F79" t="s">
        <v>477</v>
      </c>
      <c r="G79">
        <v>3</v>
      </c>
      <c r="H79">
        <v>18</v>
      </c>
      <c r="I79">
        <v>480</v>
      </c>
      <c r="J79" t="s">
        <v>1030</v>
      </c>
      <c r="K79" t="str">
        <f t="shared" si="2"/>
        <v>78 · Square D LDL36250U31X-600U31X 70-600 A LI 3P 18 kA @480 V</v>
      </c>
    </row>
    <row r="80" spans="1:11" x14ac:dyDescent="0.45">
      <c r="A80" t="s">
        <v>971</v>
      </c>
      <c r="B80">
        <v>79</v>
      </c>
      <c r="C80" t="s">
        <v>509</v>
      </c>
      <c r="D80">
        <v>600</v>
      </c>
      <c r="E80" t="s">
        <v>508</v>
      </c>
      <c r="F80" t="s">
        <v>477</v>
      </c>
      <c r="G80">
        <v>3</v>
      </c>
      <c r="H80">
        <v>35</v>
      </c>
      <c r="I80">
        <v>480</v>
      </c>
      <c r="K80" t="str">
        <f t="shared" si="2"/>
        <v>79 · Square D LGL36250U31X-600U31X 70-600 A LI 3P 35 kA @480 V</v>
      </c>
    </row>
    <row r="81" spans="1:11" x14ac:dyDescent="0.45">
      <c r="A81" t="s">
        <v>971</v>
      </c>
      <c r="B81">
        <v>80</v>
      </c>
      <c r="C81" t="s">
        <v>510</v>
      </c>
      <c r="D81">
        <v>600</v>
      </c>
      <c r="E81" t="s">
        <v>508</v>
      </c>
      <c r="F81" t="s">
        <v>477</v>
      </c>
      <c r="G81">
        <v>3</v>
      </c>
      <c r="H81">
        <v>65</v>
      </c>
      <c r="I81">
        <v>480</v>
      </c>
      <c r="K81" t="str">
        <f t="shared" si="2"/>
        <v>80 · Square D LJL36250U31X-600U31X 70-600 A LI 3P 65 kA @480 V</v>
      </c>
    </row>
    <row r="82" spans="1:11" x14ac:dyDescent="0.45">
      <c r="A82" t="s">
        <v>971</v>
      </c>
      <c r="B82">
        <v>81</v>
      </c>
      <c r="C82" t="s">
        <v>511</v>
      </c>
      <c r="D82">
        <v>600</v>
      </c>
      <c r="E82" t="s">
        <v>508</v>
      </c>
      <c r="F82" t="s">
        <v>481</v>
      </c>
      <c r="G82">
        <v>3</v>
      </c>
      <c r="H82">
        <v>25</v>
      </c>
      <c r="I82">
        <v>240</v>
      </c>
      <c r="J82" t="s">
        <v>1031</v>
      </c>
      <c r="K82" t="str">
        <f t="shared" si="2"/>
        <v>81 · Square D LDL36250U33X-600U33X 70-600 A LSI 3P 25 kA @240 V</v>
      </c>
    </row>
    <row r="83" spans="1:11" x14ac:dyDescent="0.45">
      <c r="A83" t="s">
        <v>971</v>
      </c>
      <c r="B83">
        <v>82</v>
      </c>
      <c r="C83" t="s">
        <v>512</v>
      </c>
      <c r="D83">
        <v>600</v>
      </c>
      <c r="E83" t="s">
        <v>508</v>
      </c>
      <c r="F83" t="s">
        <v>481</v>
      </c>
      <c r="G83">
        <v>3</v>
      </c>
      <c r="H83">
        <v>65</v>
      </c>
      <c r="I83">
        <v>240</v>
      </c>
      <c r="K83" t="str">
        <f t="shared" si="2"/>
        <v>82 · Square D LGL36250U33X-600U33X 70-600 A LSI 3P 65 kA @240 V</v>
      </c>
    </row>
    <row r="84" spans="1:11" x14ac:dyDescent="0.45">
      <c r="A84" t="s">
        <v>971</v>
      </c>
      <c r="B84">
        <v>83</v>
      </c>
      <c r="C84" t="s">
        <v>513</v>
      </c>
      <c r="D84">
        <v>600</v>
      </c>
      <c r="E84" t="s">
        <v>508</v>
      </c>
      <c r="F84" t="s">
        <v>481</v>
      </c>
      <c r="G84">
        <v>3</v>
      </c>
      <c r="H84">
        <v>100</v>
      </c>
      <c r="I84">
        <v>240</v>
      </c>
      <c r="K84" t="str">
        <f t="shared" si="2"/>
        <v>83 · Square D LJL36250U33X-600U33X 70-600 A LSI 3P 100 kA @240 V</v>
      </c>
    </row>
    <row r="85" spans="1:11" x14ac:dyDescent="0.45">
      <c r="A85" t="s">
        <v>971</v>
      </c>
      <c r="B85">
        <v>84</v>
      </c>
      <c r="C85" t="s">
        <v>511</v>
      </c>
      <c r="D85">
        <v>600</v>
      </c>
      <c r="E85" t="s">
        <v>508</v>
      </c>
      <c r="F85" t="s">
        <v>481</v>
      </c>
      <c r="G85">
        <v>3</v>
      </c>
      <c r="H85">
        <v>18</v>
      </c>
      <c r="I85">
        <v>480</v>
      </c>
      <c r="J85" t="s">
        <v>1032</v>
      </c>
      <c r="K85" t="str">
        <f t="shared" si="2"/>
        <v>84 · Square D LDL36250U33X-600U33X 70-600 A LSI 3P 18 kA @480 V</v>
      </c>
    </row>
    <row r="86" spans="1:11" x14ac:dyDescent="0.45">
      <c r="A86" t="s">
        <v>971</v>
      </c>
      <c r="B86">
        <v>85</v>
      </c>
      <c r="C86" t="s">
        <v>512</v>
      </c>
      <c r="D86">
        <v>600</v>
      </c>
      <c r="E86" t="s">
        <v>508</v>
      </c>
      <c r="F86" t="s">
        <v>481</v>
      </c>
      <c r="G86">
        <v>3</v>
      </c>
      <c r="H86">
        <v>35</v>
      </c>
      <c r="I86">
        <v>480</v>
      </c>
      <c r="K86" t="str">
        <f t="shared" si="2"/>
        <v>85 · Square D LGL36250U33X-600U33X 70-600 A LSI 3P 35 kA @480 V</v>
      </c>
    </row>
    <row r="87" spans="1:11" x14ac:dyDescent="0.45">
      <c r="A87" t="s">
        <v>971</v>
      </c>
      <c r="B87">
        <v>86</v>
      </c>
      <c r="C87" t="s">
        <v>513</v>
      </c>
      <c r="D87">
        <v>600</v>
      </c>
      <c r="E87" t="s">
        <v>508</v>
      </c>
      <c r="F87" t="s">
        <v>481</v>
      </c>
      <c r="G87">
        <v>3</v>
      </c>
      <c r="H87">
        <v>65</v>
      </c>
      <c r="I87">
        <v>480</v>
      </c>
      <c r="K87" t="str">
        <f t="shared" si="2"/>
        <v>86 · Square D LJL36250U33X-600U33X 70-600 A LSI 3P 65 kA @480 V</v>
      </c>
    </row>
    <row r="88" spans="1:11" x14ac:dyDescent="0.45">
      <c r="A88" t="s">
        <v>971</v>
      </c>
      <c r="B88">
        <v>87</v>
      </c>
      <c r="C88" t="s">
        <v>514</v>
      </c>
      <c r="D88">
        <v>600</v>
      </c>
      <c r="E88" t="s">
        <v>515</v>
      </c>
      <c r="F88" t="s">
        <v>481</v>
      </c>
      <c r="G88">
        <v>3</v>
      </c>
      <c r="H88">
        <v>25</v>
      </c>
      <c r="I88">
        <v>240</v>
      </c>
      <c r="J88" t="s">
        <v>1033</v>
      </c>
      <c r="K88" t="str">
        <f t="shared" si="2"/>
        <v>87 · Square D LDL36400U43X-600U43X 250-600 A LSI 3P 25 kA @240 V</v>
      </c>
    </row>
    <row r="89" spans="1:11" x14ac:dyDescent="0.45">
      <c r="A89" t="s">
        <v>971</v>
      </c>
      <c r="B89">
        <v>88</v>
      </c>
      <c r="C89" t="s">
        <v>516</v>
      </c>
      <c r="D89">
        <v>600</v>
      </c>
      <c r="E89" t="s">
        <v>515</v>
      </c>
      <c r="F89" t="s">
        <v>481</v>
      </c>
      <c r="G89">
        <v>3</v>
      </c>
      <c r="H89">
        <v>65</v>
      </c>
      <c r="I89">
        <v>240</v>
      </c>
      <c r="K89" t="str">
        <f t="shared" si="2"/>
        <v>88 · Square D LGL36400U43X-600U43X 250-600 A LSI 3P 65 kA @240 V</v>
      </c>
    </row>
    <row r="90" spans="1:11" x14ac:dyDescent="0.45">
      <c r="A90" t="s">
        <v>971</v>
      </c>
      <c r="B90">
        <v>89</v>
      </c>
      <c r="C90" t="s">
        <v>517</v>
      </c>
      <c r="D90">
        <v>600</v>
      </c>
      <c r="E90" t="s">
        <v>515</v>
      </c>
      <c r="F90" t="s">
        <v>481</v>
      </c>
      <c r="G90">
        <v>3</v>
      </c>
      <c r="H90">
        <v>100</v>
      </c>
      <c r="I90">
        <v>240</v>
      </c>
      <c r="K90" t="str">
        <f t="shared" si="2"/>
        <v>89 · Square D LJL36400U43X-600U43X 250-600 A LSI 3P 100 kA @240 V</v>
      </c>
    </row>
    <row r="91" spans="1:11" x14ac:dyDescent="0.45">
      <c r="A91" t="s">
        <v>971</v>
      </c>
      <c r="B91">
        <v>90</v>
      </c>
      <c r="C91" t="s">
        <v>514</v>
      </c>
      <c r="D91">
        <v>600</v>
      </c>
      <c r="E91" t="s">
        <v>515</v>
      </c>
      <c r="F91" t="s">
        <v>481</v>
      </c>
      <c r="G91">
        <v>3</v>
      </c>
      <c r="H91">
        <v>18</v>
      </c>
      <c r="I91">
        <v>480</v>
      </c>
      <c r="J91" t="s">
        <v>1034</v>
      </c>
      <c r="K91" t="str">
        <f t="shared" si="2"/>
        <v>90 · Square D LDL36400U43X-600U43X 250-600 A LSI 3P 18 kA @480 V</v>
      </c>
    </row>
    <row r="92" spans="1:11" x14ac:dyDescent="0.45">
      <c r="A92" t="s">
        <v>971</v>
      </c>
      <c r="B92">
        <v>91</v>
      </c>
      <c r="C92" t="s">
        <v>516</v>
      </c>
      <c r="D92">
        <v>600</v>
      </c>
      <c r="E92" t="s">
        <v>515</v>
      </c>
      <c r="F92" t="s">
        <v>481</v>
      </c>
      <c r="G92">
        <v>3</v>
      </c>
      <c r="H92">
        <v>35</v>
      </c>
      <c r="I92">
        <v>480</v>
      </c>
      <c r="K92" t="str">
        <f t="shared" si="2"/>
        <v>91 · Square D LGL36400U43X-600U43X 250-600 A LSI 3P 35 kA @480 V</v>
      </c>
    </row>
    <row r="93" spans="1:11" x14ac:dyDescent="0.45">
      <c r="A93" t="s">
        <v>971</v>
      </c>
      <c r="B93">
        <v>92</v>
      </c>
      <c r="C93" t="s">
        <v>517</v>
      </c>
      <c r="D93">
        <v>600</v>
      </c>
      <c r="E93" t="s">
        <v>515</v>
      </c>
      <c r="F93" t="s">
        <v>481</v>
      </c>
      <c r="G93">
        <v>3</v>
      </c>
      <c r="H93">
        <v>65</v>
      </c>
      <c r="I93">
        <v>480</v>
      </c>
      <c r="K93" t="str">
        <f t="shared" si="2"/>
        <v>92 · Square D LJL36400U43X-600U43X 250-600 A LSI 3P 65 kA @480 V</v>
      </c>
    </row>
    <row r="94" spans="1:11" x14ac:dyDescent="0.45">
      <c r="A94" t="s">
        <v>971</v>
      </c>
      <c r="B94">
        <v>93</v>
      </c>
      <c r="C94" t="s">
        <v>523</v>
      </c>
      <c r="D94">
        <v>1200</v>
      </c>
      <c r="E94" t="s">
        <v>524</v>
      </c>
      <c r="F94" t="s">
        <v>481</v>
      </c>
      <c r="G94">
        <v>3</v>
      </c>
      <c r="H94">
        <v>65</v>
      </c>
      <c r="I94">
        <v>240</v>
      </c>
      <c r="J94" t="s">
        <v>1035</v>
      </c>
      <c r="K94" t="str">
        <f t="shared" si="2"/>
        <v>93 · Square D PGL36025U63AE1-120U63AE1 250-1200 A LSI 3P 65 kA @240 V</v>
      </c>
    </row>
    <row r="95" spans="1:11" x14ac:dyDescent="0.45">
      <c r="A95" t="s">
        <v>971</v>
      </c>
      <c r="B95">
        <v>94</v>
      </c>
      <c r="C95" t="s">
        <v>525</v>
      </c>
      <c r="D95">
        <v>1200</v>
      </c>
      <c r="E95" t="s">
        <v>524</v>
      </c>
      <c r="F95" t="s">
        <v>481</v>
      </c>
      <c r="G95">
        <v>3</v>
      </c>
      <c r="H95">
        <v>100</v>
      </c>
      <c r="I95">
        <v>240</v>
      </c>
      <c r="K95" t="str">
        <f t="shared" si="2"/>
        <v>94 · Square D PJL36025U63AE1-120U63AE1 250-1200 A LSI 3P 100 kA @240 V</v>
      </c>
    </row>
    <row r="96" spans="1:11" x14ac:dyDescent="0.45">
      <c r="A96" t="s">
        <v>971</v>
      </c>
      <c r="B96">
        <v>95</v>
      </c>
      <c r="C96" t="s">
        <v>523</v>
      </c>
      <c r="D96">
        <v>1200</v>
      </c>
      <c r="E96" t="s">
        <v>524</v>
      </c>
      <c r="F96" t="s">
        <v>481</v>
      </c>
      <c r="G96">
        <v>3</v>
      </c>
      <c r="H96">
        <v>35</v>
      </c>
      <c r="I96">
        <v>480</v>
      </c>
      <c r="J96" t="s">
        <v>1036</v>
      </c>
      <c r="K96" t="str">
        <f t="shared" si="2"/>
        <v>95 · Square D PGL36025U63AE1-120U63AE1 250-1200 A LSI 3P 35 kA @480 V</v>
      </c>
    </row>
    <row r="97" spans="1:11" x14ac:dyDescent="0.45">
      <c r="A97" t="s">
        <v>971</v>
      </c>
      <c r="B97">
        <v>96</v>
      </c>
      <c r="C97" t="s">
        <v>525</v>
      </c>
      <c r="D97">
        <v>1200</v>
      </c>
      <c r="E97" t="s">
        <v>524</v>
      </c>
      <c r="F97" t="s">
        <v>481</v>
      </c>
      <c r="G97">
        <v>3</v>
      </c>
      <c r="H97">
        <v>65</v>
      </c>
      <c r="I97">
        <v>480</v>
      </c>
      <c r="K97" t="str">
        <f t="shared" si="2"/>
        <v>96 · Square D PJL36025U63AE1-120U63AE1 250-1200 A LSI 3P 65 kA @480 V</v>
      </c>
    </row>
    <row r="98" spans="1:11" x14ac:dyDescent="0.45">
      <c r="A98" t="s">
        <v>971</v>
      </c>
      <c r="B98">
        <v>97</v>
      </c>
      <c r="C98" t="s">
        <v>526</v>
      </c>
      <c r="D98">
        <v>1200</v>
      </c>
      <c r="E98" t="s">
        <v>524</v>
      </c>
      <c r="F98" t="s">
        <v>527</v>
      </c>
      <c r="G98">
        <v>3</v>
      </c>
      <c r="H98">
        <v>65</v>
      </c>
      <c r="I98">
        <v>240</v>
      </c>
      <c r="J98" t="s">
        <v>1037</v>
      </c>
      <c r="K98" t="str">
        <f t="shared" ref="K98:K129" si="3">B98&amp;" · "&amp;A98&amp;" "&amp;C98&amp;" "&amp;E98&amp;" A "&amp;IF(F98="","STD",F98)&amp;" "&amp;G98&amp;"P "&amp;H98&amp;" kA @"&amp;I98&amp;" V"</f>
        <v>97 · Square D PGL36025U64AE1-120U64AE1 250-1200 A LSIG 3P 65 kA @240 V</v>
      </c>
    </row>
    <row r="99" spans="1:11" x14ac:dyDescent="0.45">
      <c r="A99" t="s">
        <v>971</v>
      </c>
      <c r="B99">
        <v>98</v>
      </c>
      <c r="C99" t="s">
        <v>528</v>
      </c>
      <c r="D99">
        <v>1200</v>
      </c>
      <c r="E99" t="s">
        <v>524</v>
      </c>
      <c r="F99" t="s">
        <v>527</v>
      </c>
      <c r="G99">
        <v>3</v>
      </c>
      <c r="H99">
        <v>100</v>
      </c>
      <c r="I99">
        <v>240</v>
      </c>
      <c r="K99" t="str">
        <f t="shared" si="3"/>
        <v>98 · Square D PJL36025U64AE1-120U64AE1 250-1200 A LSIG 3P 100 kA @240 V</v>
      </c>
    </row>
    <row r="100" spans="1:11" x14ac:dyDescent="0.45">
      <c r="A100" t="s">
        <v>971</v>
      </c>
      <c r="B100">
        <v>99</v>
      </c>
      <c r="C100" t="s">
        <v>526</v>
      </c>
      <c r="D100">
        <v>1200</v>
      </c>
      <c r="E100" t="s">
        <v>524</v>
      </c>
      <c r="F100" t="s">
        <v>527</v>
      </c>
      <c r="G100">
        <v>3</v>
      </c>
      <c r="H100">
        <v>35</v>
      </c>
      <c r="I100">
        <v>480</v>
      </c>
      <c r="J100" t="s">
        <v>1038</v>
      </c>
      <c r="K100" t="str">
        <f t="shared" si="3"/>
        <v>99 · Square D PGL36025U64AE1-120U64AE1 250-1200 A LSIG 3P 35 kA @480 V</v>
      </c>
    </row>
    <row r="101" spans="1:11" x14ac:dyDescent="0.45">
      <c r="A101" t="s">
        <v>971</v>
      </c>
      <c r="B101">
        <v>100</v>
      </c>
      <c r="C101" t="s">
        <v>528</v>
      </c>
      <c r="D101">
        <v>1200</v>
      </c>
      <c r="E101" t="s">
        <v>524</v>
      </c>
      <c r="F101" t="s">
        <v>527</v>
      </c>
      <c r="G101">
        <v>3</v>
      </c>
      <c r="H101">
        <v>65</v>
      </c>
      <c r="I101">
        <v>480</v>
      </c>
      <c r="K101" t="str">
        <f t="shared" si="3"/>
        <v>100 · Square D PJL36025U64AE1-120U64AE1 250-1200 A LSIG 3P 65 kA @480 V</v>
      </c>
    </row>
    <row r="102" spans="1:11" x14ac:dyDescent="0.45">
      <c r="A102" t="s">
        <v>971</v>
      </c>
      <c r="B102">
        <v>101</v>
      </c>
      <c r="E102" t="s">
        <v>440</v>
      </c>
      <c r="F102" t="s">
        <v>531</v>
      </c>
      <c r="G102">
        <v>1</v>
      </c>
      <c r="H102">
        <v>10</v>
      </c>
      <c r="I102">
        <v>240</v>
      </c>
      <c r="K102" t="str">
        <f t="shared" si="3"/>
        <v>101 · Square D  15-70 A GFCI 1P 10 kA @240 V</v>
      </c>
    </row>
    <row r="103" spans="1:11" x14ac:dyDescent="0.45">
      <c r="A103" t="s">
        <v>971</v>
      </c>
      <c r="B103">
        <v>102</v>
      </c>
      <c r="E103" t="s">
        <v>443</v>
      </c>
      <c r="F103" t="s">
        <v>531</v>
      </c>
      <c r="G103">
        <v>2</v>
      </c>
      <c r="H103">
        <v>10</v>
      </c>
      <c r="I103">
        <v>240</v>
      </c>
      <c r="K103" t="str">
        <f t="shared" si="3"/>
        <v>102 · Square D  15-125 A GFCI 2P 10 kA @240 V</v>
      </c>
    </row>
    <row r="104" spans="1:11" x14ac:dyDescent="0.45">
      <c r="A104" t="s">
        <v>971</v>
      </c>
      <c r="B104">
        <v>103</v>
      </c>
      <c r="E104" t="s">
        <v>443</v>
      </c>
      <c r="F104" t="s">
        <v>531</v>
      </c>
      <c r="G104">
        <v>3</v>
      </c>
      <c r="H104">
        <v>10</v>
      </c>
      <c r="I104">
        <v>240</v>
      </c>
      <c r="K104" t="str">
        <f t="shared" si="3"/>
        <v>103 · Square D  15-125 A GFCI 3P 10 kA @240 V</v>
      </c>
    </row>
    <row r="105" spans="1:11" x14ac:dyDescent="0.45">
      <c r="A105" t="s">
        <v>971</v>
      </c>
      <c r="B105">
        <v>104</v>
      </c>
      <c r="E105" t="s">
        <v>440</v>
      </c>
      <c r="F105" t="s">
        <v>532</v>
      </c>
      <c r="G105">
        <v>1</v>
      </c>
      <c r="H105">
        <v>10</v>
      </c>
      <c r="I105">
        <v>240</v>
      </c>
      <c r="K105" t="str">
        <f t="shared" si="3"/>
        <v>104 · Square D  15-70 A AFCI 1P 10 kA @240 V</v>
      </c>
    </row>
    <row r="106" spans="1:11" x14ac:dyDescent="0.45">
      <c r="A106" t="s">
        <v>971</v>
      </c>
      <c r="B106">
        <v>105</v>
      </c>
      <c r="E106" t="s">
        <v>443</v>
      </c>
      <c r="F106" t="s">
        <v>533</v>
      </c>
      <c r="G106">
        <v>2</v>
      </c>
      <c r="H106">
        <v>10</v>
      </c>
      <c r="I106">
        <v>240</v>
      </c>
      <c r="K106" t="str">
        <f t="shared" si="3"/>
        <v>105 · Square D  15-125 A HACR 2P 10 kA @240 V</v>
      </c>
    </row>
    <row r="107" spans="1:11" x14ac:dyDescent="0.45">
      <c r="A107" t="s">
        <v>971</v>
      </c>
      <c r="B107">
        <v>106</v>
      </c>
      <c r="E107" t="s">
        <v>443</v>
      </c>
      <c r="F107" t="s">
        <v>533</v>
      </c>
      <c r="G107">
        <v>3</v>
      </c>
      <c r="H107">
        <v>10</v>
      </c>
      <c r="I107">
        <v>240</v>
      </c>
      <c r="K107" t="str">
        <f t="shared" si="3"/>
        <v>106 · Square D  15-125 A HACR 3P 10 kA @240 V</v>
      </c>
    </row>
    <row r="108" spans="1:11" x14ac:dyDescent="0.45">
      <c r="A108" t="s">
        <v>971</v>
      </c>
      <c r="B108">
        <v>107</v>
      </c>
      <c r="E108" t="s">
        <v>440</v>
      </c>
      <c r="F108" t="s">
        <v>534</v>
      </c>
      <c r="G108">
        <v>1</v>
      </c>
      <c r="H108">
        <v>10</v>
      </c>
      <c r="I108">
        <v>240</v>
      </c>
      <c r="K108" t="str">
        <f t="shared" si="3"/>
        <v>107 · Square D  15-70 A AFCI/GFCI 1P 10 kA @240 V</v>
      </c>
    </row>
    <row r="109" spans="1:11" x14ac:dyDescent="0.45">
      <c r="A109" t="s">
        <v>971</v>
      </c>
      <c r="B109">
        <v>108</v>
      </c>
      <c r="E109" t="s">
        <v>443</v>
      </c>
      <c r="F109" t="s">
        <v>534</v>
      </c>
      <c r="G109">
        <v>2</v>
      </c>
      <c r="H109">
        <v>10</v>
      </c>
      <c r="I109">
        <v>240</v>
      </c>
      <c r="K109" t="str">
        <f t="shared" si="3"/>
        <v>108 · Square D  15-125 A AFCI/GFCI 2P 10 kA @240 V</v>
      </c>
    </row>
    <row r="110" spans="1:11" x14ac:dyDescent="0.45">
      <c r="A110" t="s">
        <v>971</v>
      </c>
      <c r="B110">
        <v>109</v>
      </c>
      <c r="E110" t="s">
        <v>443</v>
      </c>
      <c r="F110" t="s">
        <v>534</v>
      </c>
      <c r="G110">
        <v>3</v>
      </c>
      <c r="H110">
        <v>10</v>
      </c>
      <c r="I110">
        <v>240</v>
      </c>
      <c r="K110" t="str">
        <f t="shared" si="3"/>
        <v>109 · Square D  15-125 A AFCI/GFCI 3P 10 kA @240 V</v>
      </c>
    </row>
    <row r="111" spans="1:11" x14ac:dyDescent="0.45">
      <c r="A111" t="s">
        <v>23</v>
      </c>
      <c r="B111">
        <v>1</v>
      </c>
      <c r="C111" t="s">
        <v>537</v>
      </c>
      <c r="D111">
        <v>0</v>
      </c>
      <c r="E111" t="s">
        <v>440</v>
      </c>
      <c r="F111" t="s">
        <v>441</v>
      </c>
      <c r="G111">
        <v>1</v>
      </c>
      <c r="H111">
        <v>10</v>
      </c>
      <c r="I111">
        <v>240</v>
      </c>
      <c r="J111" t="s">
        <v>1021</v>
      </c>
      <c r="K111" t="str">
        <f t="shared" si="3"/>
        <v>1 · Eaton BAB 15-70 A STD 1P 10 kA @240 V</v>
      </c>
    </row>
    <row r="112" spans="1:11" x14ac:dyDescent="0.45">
      <c r="A112" t="s">
        <v>23</v>
      </c>
      <c r="B112">
        <v>2</v>
      </c>
      <c r="C112" t="s">
        <v>537</v>
      </c>
      <c r="D112">
        <v>0</v>
      </c>
      <c r="E112" t="s">
        <v>443</v>
      </c>
      <c r="F112" t="s">
        <v>441</v>
      </c>
      <c r="G112">
        <v>2</v>
      </c>
      <c r="H112">
        <v>10</v>
      </c>
      <c r="I112">
        <v>240</v>
      </c>
      <c r="K112" t="str">
        <f t="shared" si="3"/>
        <v>2 · Eaton BAB 15-125 A STD 2P 10 kA @240 V</v>
      </c>
    </row>
    <row r="113" spans="1:11" x14ac:dyDescent="0.45">
      <c r="A113" t="s">
        <v>23</v>
      </c>
      <c r="B113">
        <v>3</v>
      </c>
      <c r="C113" t="s">
        <v>537</v>
      </c>
      <c r="D113">
        <v>0</v>
      </c>
      <c r="E113" t="s">
        <v>444</v>
      </c>
      <c r="F113" t="s">
        <v>441</v>
      </c>
      <c r="G113">
        <v>3</v>
      </c>
      <c r="H113">
        <v>10</v>
      </c>
      <c r="I113">
        <v>240</v>
      </c>
      <c r="K113" t="str">
        <f t="shared" si="3"/>
        <v>3 · Eaton BAB 15-100 A STD 3P 10 kA @240 V</v>
      </c>
    </row>
    <row r="114" spans="1:11" x14ac:dyDescent="0.45">
      <c r="A114" t="s">
        <v>23</v>
      </c>
      <c r="B114">
        <v>4</v>
      </c>
      <c r="C114" t="s">
        <v>540</v>
      </c>
      <c r="D114">
        <v>0</v>
      </c>
      <c r="E114" t="s">
        <v>440</v>
      </c>
      <c r="F114" t="s">
        <v>441</v>
      </c>
      <c r="G114">
        <v>1</v>
      </c>
      <c r="H114">
        <v>22</v>
      </c>
      <c r="I114">
        <v>240</v>
      </c>
      <c r="J114" t="s">
        <v>1021</v>
      </c>
      <c r="K114" t="str">
        <f t="shared" si="3"/>
        <v>4 · Eaton QBHW 15-70 A STD 1P 22 kA @240 V</v>
      </c>
    </row>
    <row r="115" spans="1:11" x14ac:dyDescent="0.45">
      <c r="A115" t="s">
        <v>23</v>
      </c>
      <c r="B115">
        <v>5</v>
      </c>
      <c r="C115" t="s">
        <v>540</v>
      </c>
      <c r="D115">
        <v>0</v>
      </c>
      <c r="E115" t="s">
        <v>443</v>
      </c>
      <c r="F115" t="s">
        <v>441</v>
      </c>
      <c r="G115">
        <v>2</v>
      </c>
      <c r="H115">
        <v>22</v>
      </c>
      <c r="I115">
        <v>240</v>
      </c>
      <c r="K115" t="str">
        <f t="shared" si="3"/>
        <v>5 · Eaton QBHW 15-125 A STD 2P 22 kA @240 V</v>
      </c>
    </row>
    <row r="116" spans="1:11" x14ac:dyDescent="0.45">
      <c r="A116" t="s">
        <v>23</v>
      </c>
      <c r="B116">
        <v>6</v>
      </c>
      <c r="C116" t="s">
        <v>540</v>
      </c>
      <c r="D116">
        <v>0</v>
      </c>
      <c r="E116" t="s">
        <v>444</v>
      </c>
      <c r="F116" t="s">
        <v>441</v>
      </c>
      <c r="G116">
        <v>3</v>
      </c>
      <c r="H116">
        <v>22</v>
      </c>
      <c r="I116">
        <v>240</v>
      </c>
      <c r="K116" t="str">
        <f t="shared" si="3"/>
        <v>6 · Eaton QBHW 15-100 A STD 3P 22 kA @240 V</v>
      </c>
    </row>
    <row r="117" spans="1:11" x14ac:dyDescent="0.45">
      <c r="A117" t="s">
        <v>23</v>
      </c>
      <c r="B117">
        <v>7</v>
      </c>
      <c r="C117" t="s">
        <v>543</v>
      </c>
      <c r="D117">
        <v>0</v>
      </c>
      <c r="E117" t="s">
        <v>440</v>
      </c>
      <c r="F117" t="s">
        <v>441</v>
      </c>
      <c r="G117">
        <v>1</v>
      </c>
      <c r="H117">
        <v>65</v>
      </c>
      <c r="I117">
        <v>240</v>
      </c>
      <c r="J117" t="s">
        <v>1021</v>
      </c>
      <c r="K117" t="str">
        <f t="shared" si="3"/>
        <v>7 · Eaton GHB 15-70 A STD 1P 65 kA @240 V</v>
      </c>
    </row>
    <row r="118" spans="1:11" x14ac:dyDescent="0.45">
      <c r="A118" t="s">
        <v>23</v>
      </c>
      <c r="B118">
        <v>8</v>
      </c>
      <c r="C118" t="s">
        <v>543</v>
      </c>
      <c r="D118">
        <v>0</v>
      </c>
      <c r="E118" t="s">
        <v>453</v>
      </c>
      <c r="F118" t="s">
        <v>441</v>
      </c>
      <c r="G118">
        <v>2</v>
      </c>
      <c r="H118">
        <v>65</v>
      </c>
      <c r="I118">
        <v>240</v>
      </c>
      <c r="K118" t="str">
        <f t="shared" si="3"/>
        <v>8 · Eaton GHB 15-150 A STD 2P 65 kA @240 V</v>
      </c>
    </row>
    <row r="119" spans="1:11" x14ac:dyDescent="0.45">
      <c r="A119" t="s">
        <v>23</v>
      </c>
      <c r="B119">
        <v>9</v>
      </c>
      <c r="C119" t="s">
        <v>543</v>
      </c>
      <c r="D119">
        <v>0</v>
      </c>
      <c r="E119" t="s">
        <v>453</v>
      </c>
      <c r="F119" t="s">
        <v>441</v>
      </c>
      <c r="G119">
        <v>3</v>
      </c>
      <c r="H119">
        <v>65</v>
      </c>
      <c r="I119">
        <v>240</v>
      </c>
      <c r="K119" t="str">
        <f t="shared" si="3"/>
        <v>9 · Eaton GHB 15-150 A STD 3P 65 kA @240 V</v>
      </c>
    </row>
    <row r="120" spans="1:11" x14ac:dyDescent="0.45">
      <c r="A120" t="s">
        <v>23</v>
      </c>
      <c r="B120">
        <v>10</v>
      </c>
      <c r="C120" t="s">
        <v>543</v>
      </c>
      <c r="D120">
        <v>0</v>
      </c>
      <c r="E120" t="s">
        <v>440</v>
      </c>
      <c r="F120" t="s">
        <v>441</v>
      </c>
      <c r="G120">
        <v>1</v>
      </c>
      <c r="H120">
        <v>14</v>
      </c>
      <c r="I120">
        <v>480</v>
      </c>
      <c r="J120" t="s">
        <v>1022</v>
      </c>
      <c r="K120" t="str">
        <f t="shared" si="3"/>
        <v>10 · Eaton GHB 15-70 A STD 1P 14 kA @480 V</v>
      </c>
    </row>
    <row r="121" spans="1:11" x14ac:dyDescent="0.45">
      <c r="A121" t="s">
        <v>23</v>
      </c>
      <c r="B121">
        <v>11</v>
      </c>
      <c r="C121" t="s">
        <v>543</v>
      </c>
      <c r="D121">
        <v>0</v>
      </c>
      <c r="E121" t="s">
        <v>453</v>
      </c>
      <c r="F121" t="s">
        <v>441</v>
      </c>
      <c r="G121">
        <v>2</v>
      </c>
      <c r="H121">
        <v>14</v>
      </c>
      <c r="I121">
        <v>480</v>
      </c>
      <c r="K121" t="str">
        <f t="shared" si="3"/>
        <v>11 · Eaton GHB 15-150 A STD 2P 14 kA @480 V</v>
      </c>
    </row>
    <row r="122" spans="1:11" x14ac:dyDescent="0.45">
      <c r="A122" t="s">
        <v>23</v>
      </c>
      <c r="B122">
        <v>12</v>
      </c>
      <c r="C122" t="s">
        <v>543</v>
      </c>
      <c r="D122">
        <v>0</v>
      </c>
      <c r="E122" t="s">
        <v>453</v>
      </c>
      <c r="F122" t="s">
        <v>441</v>
      </c>
      <c r="G122">
        <v>3</v>
      </c>
      <c r="H122">
        <v>14</v>
      </c>
      <c r="I122">
        <v>480</v>
      </c>
      <c r="K122" t="str">
        <f t="shared" si="3"/>
        <v>12 · Eaton GHB 15-150 A STD 3P 14 kA @480 V</v>
      </c>
    </row>
    <row r="123" spans="1:11" x14ac:dyDescent="0.45">
      <c r="A123" t="s">
        <v>23</v>
      </c>
      <c r="B123">
        <v>13</v>
      </c>
      <c r="C123" t="s">
        <v>547</v>
      </c>
      <c r="D123">
        <v>225</v>
      </c>
      <c r="E123" t="s">
        <v>548</v>
      </c>
      <c r="F123" t="s">
        <v>441</v>
      </c>
      <c r="G123">
        <v>3</v>
      </c>
      <c r="H123">
        <v>35</v>
      </c>
      <c r="I123">
        <v>240</v>
      </c>
      <c r="J123" t="s">
        <v>1021</v>
      </c>
      <c r="K123" t="str">
        <f t="shared" si="3"/>
        <v>13 · Eaton PDG23F0015TFF-0225TFF 15-225 A STD 3P 35 kA @240 V</v>
      </c>
    </row>
    <row r="124" spans="1:11" x14ac:dyDescent="0.45">
      <c r="A124" t="s">
        <v>23</v>
      </c>
      <c r="B124">
        <v>14</v>
      </c>
      <c r="C124" t="s">
        <v>550</v>
      </c>
      <c r="D124">
        <v>225</v>
      </c>
      <c r="E124" t="s">
        <v>548</v>
      </c>
      <c r="F124" t="s">
        <v>441</v>
      </c>
      <c r="G124">
        <v>3</v>
      </c>
      <c r="H124">
        <v>65</v>
      </c>
      <c r="I124">
        <v>240</v>
      </c>
      <c r="K124" t="str">
        <f t="shared" si="3"/>
        <v>14 · Eaton PDG23G0015TFF-0225TFF 15-225 A STD 3P 65 kA @240 V</v>
      </c>
    </row>
    <row r="125" spans="1:11" x14ac:dyDescent="0.45">
      <c r="A125" t="s">
        <v>23</v>
      </c>
      <c r="B125">
        <v>15</v>
      </c>
      <c r="C125" t="s">
        <v>547</v>
      </c>
      <c r="D125">
        <v>225</v>
      </c>
      <c r="E125" t="s">
        <v>548</v>
      </c>
      <c r="F125" t="s">
        <v>441</v>
      </c>
      <c r="G125">
        <v>3</v>
      </c>
      <c r="H125">
        <v>25</v>
      </c>
      <c r="I125">
        <v>480</v>
      </c>
      <c r="J125" t="s">
        <v>1022</v>
      </c>
      <c r="K125" t="str">
        <f t="shared" si="3"/>
        <v>15 · Eaton PDG23F0015TFF-0225TFF 15-225 A STD 3P 25 kA @480 V</v>
      </c>
    </row>
    <row r="126" spans="1:11" x14ac:dyDescent="0.45">
      <c r="A126" t="s">
        <v>23</v>
      </c>
      <c r="B126">
        <v>16</v>
      </c>
      <c r="C126" t="s">
        <v>550</v>
      </c>
      <c r="D126">
        <v>225</v>
      </c>
      <c r="E126" t="s">
        <v>548</v>
      </c>
      <c r="F126" t="s">
        <v>441</v>
      </c>
      <c r="G126">
        <v>3</v>
      </c>
      <c r="H126">
        <v>35</v>
      </c>
      <c r="I126">
        <v>480</v>
      </c>
      <c r="K126" t="str">
        <f t="shared" si="3"/>
        <v>16 · Eaton PDG23G0015TFF-0225TFF 15-225 A STD 3P 35 kA @480 V</v>
      </c>
    </row>
    <row r="127" spans="1:11" x14ac:dyDescent="0.45">
      <c r="A127" t="s">
        <v>23</v>
      </c>
      <c r="B127">
        <v>17</v>
      </c>
      <c r="C127" t="s">
        <v>552</v>
      </c>
      <c r="D127">
        <v>225</v>
      </c>
      <c r="E127" t="s">
        <v>548</v>
      </c>
      <c r="F127" t="s">
        <v>441</v>
      </c>
      <c r="G127">
        <v>3</v>
      </c>
      <c r="H127">
        <v>50</v>
      </c>
      <c r="I127">
        <v>480</v>
      </c>
      <c r="K127" t="str">
        <f t="shared" si="3"/>
        <v>17 · Eaton PDG23K0015TFF-0225TFF 15-225 A STD 3P 50 kA @480 V</v>
      </c>
    </row>
    <row r="128" spans="1:11" x14ac:dyDescent="0.45">
      <c r="A128" t="s">
        <v>23</v>
      </c>
      <c r="B128">
        <v>18</v>
      </c>
      <c r="C128" t="s">
        <v>554</v>
      </c>
      <c r="D128">
        <v>225</v>
      </c>
      <c r="E128" t="s">
        <v>548</v>
      </c>
      <c r="F128" t="s">
        <v>441</v>
      </c>
      <c r="G128">
        <v>3</v>
      </c>
      <c r="H128">
        <v>65</v>
      </c>
      <c r="I128">
        <v>480</v>
      </c>
      <c r="K128" t="str">
        <f t="shared" si="3"/>
        <v>18 · Eaton PDG23M0015TFF-0225TFF 15-225 A STD 3P 65 kA @480 V</v>
      </c>
    </row>
    <row r="129" spans="1:11" x14ac:dyDescent="0.45">
      <c r="A129" t="s">
        <v>23</v>
      </c>
      <c r="B129">
        <v>19</v>
      </c>
      <c r="C129" t="s">
        <v>564</v>
      </c>
      <c r="D129">
        <v>600</v>
      </c>
      <c r="E129" t="s">
        <v>565</v>
      </c>
      <c r="F129" t="s">
        <v>441</v>
      </c>
      <c r="G129">
        <v>3</v>
      </c>
      <c r="H129">
        <v>35</v>
      </c>
      <c r="I129">
        <v>240</v>
      </c>
      <c r="J129" t="s">
        <v>1021</v>
      </c>
      <c r="K129" t="str">
        <f t="shared" si="3"/>
        <v>19 · Eaton PDG33F0045TFF-0600TFF 45-600 A STD 3P 35 kA @240 V</v>
      </c>
    </row>
    <row r="130" spans="1:11" x14ac:dyDescent="0.45">
      <c r="A130" t="s">
        <v>23</v>
      </c>
      <c r="B130">
        <v>20</v>
      </c>
      <c r="C130" t="s">
        <v>566</v>
      </c>
      <c r="D130">
        <v>600</v>
      </c>
      <c r="E130" t="s">
        <v>565</v>
      </c>
      <c r="F130" t="s">
        <v>441</v>
      </c>
      <c r="G130">
        <v>3</v>
      </c>
      <c r="H130">
        <v>65</v>
      </c>
      <c r="I130">
        <v>240</v>
      </c>
      <c r="K130" t="str">
        <f t="shared" ref="K130:K161" si="4">B130&amp;" · "&amp;A130&amp;" "&amp;C130&amp;" "&amp;E130&amp;" A "&amp;IF(F130="","STD",F130)&amp;" "&amp;G130&amp;"P "&amp;H130&amp;" kA @"&amp;I130&amp;" V"</f>
        <v>20 · Eaton PDG33G0045TFF-0600TFF 45-600 A STD 3P 65 kA @240 V</v>
      </c>
    </row>
    <row r="131" spans="1:11" x14ac:dyDescent="0.45">
      <c r="A131" t="s">
        <v>23</v>
      </c>
      <c r="B131">
        <v>21</v>
      </c>
      <c r="C131" t="s">
        <v>564</v>
      </c>
      <c r="D131">
        <v>600</v>
      </c>
      <c r="E131" t="s">
        <v>565</v>
      </c>
      <c r="F131" t="s">
        <v>441</v>
      </c>
      <c r="G131">
        <v>3</v>
      </c>
      <c r="H131">
        <v>25</v>
      </c>
      <c r="I131">
        <v>480</v>
      </c>
      <c r="J131" t="s">
        <v>1022</v>
      </c>
      <c r="K131" t="str">
        <f t="shared" si="4"/>
        <v>21 · Eaton PDG33F0045TFF-0600TFF 45-600 A STD 3P 25 kA @480 V</v>
      </c>
    </row>
    <row r="132" spans="1:11" x14ac:dyDescent="0.45">
      <c r="A132" t="s">
        <v>23</v>
      </c>
      <c r="B132">
        <v>22</v>
      </c>
      <c r="C132" t="s">
        <v>566</v>
      </c>
      <c r="D132">
        <v>600</v>
      </c>
      <c r="E132" t="s">
        <v>565</v>
      </c>
      <c r="F132" t="s">
        <v>441</v>
      </c>
      <c r="G132">
        <v>3</v>
      </c>
      <c r="H132">
        <v>35</v>
      </c>
      <c r="I132">
        <v>480</v>
      </c>
      <c r="K132" t="str">
        <f t="shared" si="4"/>
        <v>22 · Eaton PDG33G0045TFF-0600TFF 45-600 A STD 3P 35 kA @480 V</v>
      </c>
    </row>
    <row r="133" spans="1:11" x14ac:dyDescent="0.45">
      <c r="A133" t="s">
        <v>23</v>
      </c>
      <c r="B133">
        <v>23</v>
      </c>
      <c r="C133" t="s">
        <v>567</v>
      </c>
      <c r="D133">
        <v>600</v>
      </c>
      <c r="E133" t="s">
        <v>565</v>
      </c>
      <c r="F133" t="s">
        <v>441</v>
      </c>
      <c r="G133">
        <v>3</v>
      </c>
      <c r="H133">
        <v>50</v>
      </c>
      <c r="I133">
        <v>480</v>
      </c>
      <c r="K133" t="str">
        <f t="shared" si="4"/>
        <v>23 · Eaton PDG33K0045TFF-0600TFF 45-600 A STD 3P 50 kA @480 V</v>
      </c>
    </row>
    <row r="134" spans="1:11" x14ac:dyDescent="0.45">
      <c r="A134" t="s">
        <v>23</v>
      </c>
      <c r="B134">
        <v>24</v>
      </c>
      <c r="C134" t="s">
        <v>568</v>
      </c>
      <c r="D134">
        <v>600</v>
      </c>
      <c r="E134" t="s">
        <v>565</v>
      </c>
      <c r="F134" t="s">
        <v>441</v>
      </c>
      <c r="G134">
        <v>3</v>
      </c>
      <c r="H134">
        <v>65</v>
      </c>
      <c r="I134">
        <v>480</v>
      </c>
      <c r="K134" t="str">
        <f t="shared" si="4"/>
        <v>24 · Eaton PDG33M0045TFF-0600TFF 45-600 A STD 3P 65 kA @480 V</v>
      </c>
    </row>
    <row r="135" spans="1:11" x14ac:dyDescent="0.45">
      <c r="A135" t="s">
        <v>23</v>
      </c>
      <c r="B135">
        <v>25</v>
      </c>
      <c r="C135" t="s">
        <v>555</v>
      </c>
      <c r="D135">
        <v>225</v>
      </c>
      <c r="E135" t="s">
        <v>548</v>
      </c>
      <c r="F135" t="s">
        <v>481</v>
      </c>
      <c r="G135">
        <v>3</v>
      </c>
      <c r="H135">
        <v>35</v>
      </c>
      <c r="I135">
        <v>240</v>
      </c>
      <c r="J135" t="s">
        <v>1039</v>
      </c>
      <c r="K135" t="str">
        <f t="shared" si="4"/>
        <v>25 · Eaton PDG23F0060PXR10-0225PXR10 15-225 A LSI 3P 35 kA @240 V</v>
      </c>
    </row>
    <row r="136" spans="1:11" x14ac:dyDescent="0.45">
      <c r="A136" t="s">
        <v>23</v>
      </c>
      <c r="B136">
        <v>26</v>
      </c>
      <c r="C136" t="s">
        <v>556</v>
      </c>
      <c r="D136">
        <v>225</v>
      </c>
      <c r="E136" t="s">
        <v>548</v>
      </c>
      <c r="F136" t="s">
        <v>481</v>
      </c>
      <c r="G136">
        <v>3</v>
      </c>
      <c r="H136">
        <v>65</v>
      </c>
      <c r="I136">
        <v>240</v>
      </c>
      <c r="K136" t="str">
        <f t="shared" si="4"/>
        <v>26 · Eaton PDG23G0060PXR10-0225PXR10 15-225 A LSI 3P 65 kA @240 V</v>
      </c>
    </row>
    <row r="137" spans="1:11" x14ac:dyDescent="0.45">
      <c r="A137" t="s">
        <v>23</v>
      </c>
      <c r="B137">
        <v>27</v>
      </c>
      <c r="C137" t="s">
        <v>557</v>
      </c>
      <c r="D137">
        <v>225</v>
      </c>
      <c r="E137" t="s">
        <v>548</v>
      </c>
      <c r="F137" t="s">
        <v>481</v>
      </c>
      <c r="G137">
        <v>3</v>
      </c>
      <c r="H137">
        <v>35</v>
      </c>
      <c r="I137">
        <v>240</v>
      </c>
      <c r="J137" t="s">
        <v>1040</v>
      </c>
      <c r="K137" t="str">
        <f t="shared" si="4"/>
        <v>27 · Eaton PDG23F0060PXR20-0225PXR20 15-225 A LSI 3P 35 kA @240 V</v>
      </c>
    </row>
    <row r="138" spans="1:11" x14ac:dyDescent="0.45">
      <c r="A138" t="s">
        <v>23</v>
      </c>
      <c r="B138">
        <v>28</v>
      </c>
      <c r="C138" t="s">
        <v>558</v>
      </c>
      <c r="D138">
        <v>225</v>
      </c>
      <c r="E138" t="s">
        <v>548</v>
      </c>
      <c r="F138" t="s">
        <v>481</v>
      </c>
      <c r="G138">
        <v>3</v>
      </c>
      <c r="H138">
        <v>65</v>
      </c>
      <c r="I138">
        <v>240</v>
      </c>
      <c r="K138" t="str">
        <f t="shared" si="4"/>
        <v>28 · Eaton PDG23G0060PXR20-0225PXR20 15-225 A LSI 3P 65 kA @240 V</v>
      </c>
    </row>
    <row r="139" spans="1:11" x14ac:dyDescent="0.45">
      <c r="A139" t="s">
        <v>23</v>
      </c>
      <c r="B139">
        <v>29</v>
      </c>
      <c r="C139" t="s">
        <v>555</v>
      </c>
      <c r="D139">
        <v>225</v>
      </c>
      <c r="E139" t="s">
        <v>548</v>
      </c>
      <c r="F139" t="s">
        <v>481</v>
      </c>
      <c r="G139">
        <v>3</v>
      </c>
      <c r="H139">
        <v>25</v>
      </c>
      <c r="I139">
        <v>480</v>
      </c>
      <c r="J139" t="s">
        <v>1041</v>
      </c>
      <c r="K139" t="str">
        <f t="shared" si="4"/>
        <v>29 · Eaton PDG23F0060PXR10-0225PXR10 15-225 A LSI 3P 25 kA @480 V</v>
      </c>
    </row>
    <row r="140" spans="1:11" x14ac:dyDescent="0.45">
      <c r="A140" t="s">
        <v>23</v>
      </c>
      <c r="B140">
        <v>30</v>
      </c>
      <c r="C140" t="s">
        <v>556</v>
      </c>
      <c r="D140">
        <v>225</v>
      </c>
      <c r="E140" t="s">
        <v>548</v>
      </c>
      <c r="F140" t="s">
        <v>481</v>
      </c>
      <c r="G140">
        <v>3</v>
      </c>
      <c r="H140">
        <v>35</v>
      </c>
      <c r="I140">
        <v>480</v>
      </c>
      <c r="K140" t="str">
        <f t="shared" si="4"/>
        <v>30 · Eaton PDG23G0060PXR10-0225PXR10 15-225 A LSI 3P 35 kA @480 V</v>
      </c>
    </row>
    <row r="141" spans="1:11" x14ac:dyDescent="0.45">
      <c r="A141" t="s">
        <v>23</v>
      </c>
      <c r="B141">
        <v>31</v>
      </c>
      <c r="C141" t="s">
        <v>559</v>
      </c>
      <c r="D141">
        <v>225</v>
      </c>
      <c r="E141" t="s">
        <v>548</v>
      </c>
      <c r="F141" t="s">
        <v>481</v>
      </c>
      <c r="G141">
        <v>3</v>
      </c>
      <c r="H141">
        <v>50</v>
      </c>
      <c r="I141">
        <v>480</v>
      </c>
      <c r="K141" t="str">
        <f t="shared" si="4"/>
        <v>31 · Eaton PDG23K0060PXR10-0225PXR10 15-225 A LSI 3P 50 kA @480 V</v>
      </c>
    </row>
    <row r="142" spans="1:11" x14ac:dyDescent="0.45">
      <c r="A142" t="s">
        <v>23</v>
      </c>
      <c r="B142">
        <v>32</v>
      </c>
      <c r="C142" t="s">
        <v>560</v>
      </c>
      <c r="D142">
        <v>225</v>
      </c>
      <c r="E142" t="s">
        <v>548</v>
      </c>
      <c r="F142" t="s">
        <v>481</v>
      </c>
      <c r="G142">
        <v>3</v>
      </c>
      <c r="H142">
        <v>65</v>
      </c>
      <c r="I142">
        <v>480</v>
      </c>
      <c r="K142" t="str">
        <f t="shared" si="4"/>
        <v>32 · Eaton PDG23M0060PXR10-0225PXR10 15-225 A LSI 3P 65 kA @480 V</v>
      </c>
    </row>
    <row r="143" spans="1:11" x14ac:dyDescent="0.45">
      <c r="A143" t="s">
        <v>23</v>
      </c>
      <c r="B143">
        <v>33</v>
      </c>
      <c r="C143" t="s">
        <v>557</v>
      </c>
      <c r="D143">
        <v>225</v>
      </c>
      <c r="E143" t="s">
        <v>548</v>
      </c>
      <c r="F143" t="s">
        <v>481</v>
      </c>
      <c r="G143">
        <v>3</v>
      </c>
      <c r="H143">
        <v>25</v>
      </c>
      <c r="I143">
        <v>480</v>
      </c>
      <c r="J143" t="s">
        <v>1042</v>
      </c>
      <c r="K143" t="str">
        <f t="shared" si="4"/>
        <v>33 · Eaton PDG23F0060PXR20-0225PXR20 15-225 A LSI 3P 25 kA @480 V</v>
      </c>
    </row>
    <row r="144" spans="1:11" x14ac:dyDescent="0.45">
      <c r="A144" t="s">
        <v>23</v>
      </c>
      <c r="B144">
        <v>34</v>
      </c>
      <c r="C144" t="s">
        <v>558</v>
      </c>
      <c r="D144">
        <v>225</v>
      </c>
      <c r="E144" t="s">
        <v>548</v>
      </c>
      <c r="F144" t="s">
        <v>481</v>
      </c>
      <c r="G144">
        <v>3</v>
      </c>
      <c r="H144">
        <v>35</v>
      </c>
      <c r="I144">
        <v>480</v>
      </c>
      <c r="K144" t="str">
        <f t="shared" si="4"/>
        <v>34 · Eaton PDG23G0060PXR20-0225PXR20 15-225 A LSI 3P 35 kA @480 V</v>
      </c>
    </row>
    <row r="145" spans="1:11" x14ac:dyDescent="0.45">
      <c r="A145" t="s">
        <v>23</v>
      </c>
      <c r="B145">
        <v>35</v>
      </c>
      <c r="C145" t="s">
        <v>561</v>
      </c>
      <c r="D145">
        <v>225</v>
      </c>
      <c r="E145" t="s">
        <v>548</v>
      </c>
      <c r="F145" t="s">
        <v>481</v>
      </c>
      <c r="G145">
        <v>3</v>
      </c>
      <c r="H145">
        <v>50</v>
      </c>
      <c r="I145">
        <v>480</v>
      </c>
      <c r="K145" t="str">
        <f t="shared" si="4"/>
        <v>35 · Eaton PDG23K0060PXR20-0225PXR20 15-225 A LSI 3P 50 kA @480 V</v>
      </c>
    </row>
    <row r="146" spans="1:11" x14ac:dyDescent="0.45">
      <c r="A146" t="s">
        <v>23</v>
      </c>
      <c r="B146">
        <v>36</v>
      </c>
      <c r="C146" t="s">
        <v>562</v>
      </c>
      <c r="D146">
        <v>225</v>
      </c>
      <c r="E146" t="s">
        <v>548</v>
      </c>
      <c r="F146" t="s">
        <v>481</v>
      </c>
      <c r="G146">
        <v>3</v>
      </c>
      <c r="H146">
        <v>65</v>
      </c>
      <c r="I146">
        <v>480</v>
      </c>
      <c r="K146" t="str">
        <f t="shared" si="4"/>
        <v>36 · Eaton PDG23M0060PXR20-0225PXR20 15-225 A LSI 3P 65 kA @480 V</v>
      </c>
    </row>
    <row r="147" spans="1:11" x14ac:dyDescent="0.45">
      <c r="A147" t="s">
        <v>23</v>
      </c>
      <c r="B147">
        <v>37</v>
      </c>
      <c r="C147" t="s">
        <v>569</v>
      </c>
      <c r="D147">
        <v>600</v>
      </c>
      <c r="E147" t="s">
        <v>570</v>
      </c>
      <c r="F147" t="s">
        <v>481</v>
      </c>
      <c r="G147">
        <v>3</v>
      </c>
      <c r="H147">
        <v>35</v>
      </c>
      <c r="I147">
        <v>240</v>
      </c>
      <c r="J147" t="s">
        <v>1039</v>
      </c>
      <c r="K147" t="str">
        <f t="shared" si="4"/>
        <v>37 · Eaton PDG33F0125PXR10-0600PXR10 125-600 A LSI 3P 35 kA @240 V</v>
      </c>
    </row>
    <row r="148" spans="1:11" x14ac:dyDescent="0.45">
      <c r="A148" t="s">
        <v>23</v>
      </c>
      <c r="B148">
        <v>38</v>
      </c>
      <c r="C148" t="s">
        <v>571</v>
      </c>
      <c r="D148">
        <v>600</v>
      </c>
      <c r="E148" t="s">
        <v>570</v>
      </c>
      <c r="F148" t="s">
        <v>481</v>
      </c>
      <c r="G148">
        <v>3</v>
      </c>
      <c r="H148">
        <v>65</v>
      </c>
      <c r="I148">
        <v>240</v>
      </c>
      <c r="K148" t="str">
        <f t="shared" si="4"/>
        <v>38 · Eaton PDG33G0125PXR10-0600PXR10 125-600 A LSI 3P 65 kA @240 V</v>
      </c>
    </row>
    <row r="149" spans="1:11" x14ac:dyDescent="0.45">
      <c r="A149" t="s">
        <v>23</v>
      </c>
      <c r="B149">
        <v>39</v>
      </c>
      <c r="C149" t="s">
        <v>572</v>
      </c>
      <c r="D149">
        <v>600</v>
      </c>
      <c r="E149" t="s">
        <v>570</v>
      </c>
      <c r="F149" t="s">
        <v>481</v>
      </c>
      <c r="G149">
        <v>3</v>
      </c>
      <c r="H149">
        <v>35</v>
      </c>
      <c r="I149">
        <v>240</v>
      </c>
      <c r="J149" t="s">
        <v>1040</v>
      </c>
      <c r="K149" t="str">
        <f t="shared" si="4"/>
        <v>39 · Eaton PDG33F0125PXR20-0600PXR20 125-600 A LSI 3P 35 kA @240 V</v>
      </c>
    </row>
    <row r="150" spans="1:11" x14ac:dyDescent="0.45">
      <c r="A150" t="s">
        <v>23</v>
      </c>
      <c r="B150">
        <v>40</v>
      </c>
      <c r="C150" t="s">
        <v>573</v>
      </c>
      <c r="D150">
        <v>600</v>
      </c>
      <c r="E150" t="s">
        <v>570</v>
      </c>
      <c r="F150" t="s">
        <v>481</v>
      </c>
      <c r="G150">
        <v>3</v>
      </c>
      <c r="H150">
        <v>65</v>
      </c>
      <c r="I150">
        <v>240</v>
      </c>
      <c r="K150" t="str">
        <f t="shared" si="4"/>
        <v>40 · Eaton PDG33G0125PXR20-0600PXR20 125-600 A LSI 3P 65 kA @240 V</v>
      </c>
    </row>
    <row r="151" spans="1:11" x14ac:dyDescent="0.45">
      <c r="A151" t="s">
        <v>23</v>
      </c>
      <c r="B151">
        <v>41</v>
      </c>
      <c r="C151" t="s">
        <v>569</v>
      </c>
      <c r="D151">
        <v>600</v>
      </c>
      <c r="E151" t="s">
        <v>570</v>
      </c>
      <c r="F151" t="s">
        <v>481</v>
      </c>
      <c r="G151">
        <v>3</v>
      </c>
      <c r="H151">
        <v>25</v>
      </c>
      <c r="I151">
        <v>480</v>
      </c>
      <c r="J151" t="s">
        <v>1041</v>
      </c>
      <c r="K151" t="str">
        <f t="shared" si="4"/>
        <v>41 · Eaton PDG33F0125PXR10-0600PXR10 125-600 A LSI 3P 25 kA @480 V</v>
      </c>
    </row>
    <row r="152" spans="1:11" x14ac:dyDescent="0.45">
      <c r="A152" t="s">
        <v>23</v>
      </c>
      <c r="B152">
        <v>42</v>
      </c>
      <c r="C152" t="s">
        <v>571</v>
      </c>
      <c r="D152">
        <v>600</v>
      </c>
      <c r="E152" t="s">
        <v>570</v>
      </c>
      <c r="F152" t="s">
        <v>481</v>
      </c>
      <c r="G152">
        <v>3</v>
      </c>
      <c r="H152">
        <v>35</v>
      </c>
      <c r="I152">
        <v>480</v>
      </c>
      <c r="K152" t="str">
        <f t="shared" si="4"/>
        <v>42 · Eaton PDG33G0125PXR10-0600PXR10 125-600 A LSI 3P 35 kA @480 V</v>
      </c>
    </row>
    <row r="153" spans="1:11" x14ac:dyDescent="0.45">
      <c r="A153" t="s">
        <v>23</v>
      </c>
      <c r="B153">
        <v>43</v>
      </c>
      <c r="C153" t="s">
        <v>574</v>
      </c>
      <c r="D153">
        <v>600</v>
      </c>
      <c r="E153" t="s">
        <v>570</v>
      </c>
      <c r="F153" t="s">
        <v>481</v>
      </c>
      <c r="G153">
        <v>3</v>
      </c>
      <c r="H153">
        <v>50</v>
      </c>
      <c r="I153">
        <v>480</v>
      </c>
      <c r="K153" t="str">
        <f t="shared" si="4"/>
        <v>43 · Eaton PDG33K0125PXR10-0600PXR10 125-600 A LSI 3P 50 kA @480 V</v>
      </c>
    </row>
    <row r="154" spans="1:11" x14ac:dyDescent="0.45">
      <c r="A154" t="s">
        <v>23</v>
      </c>
      <c r="B154">
        <v>44</v>
      </c>
      <c r="C154" t="s">
        <v>575</v>
      </c>
      <c r="D154">
        <v>600</v>
      </c>
      <c r="E154" t="s">
        <v>570</v>
      </c>
      <c r="F154" t="s">
        <v>481</v>
      </c>
      <c r="G154">
        <v>3</v>
      </c>
      <c r="H154">
        <v>65</v>
      </c>
      <c r="I154">
        <v>480</v>
      </c>
      <c r="K154" t="str">
        <f t="shared" si="4"/>
        <v>44 · Eaton PDG33M0125PXR10-0600PXR10 125-600 A LSI 3P 65 kA @480 V</v>
      </c>
    </row>
    <row r="155" spans="1:11" x14ac:dyDescent="0.45">
      <c r="A155" t="s">
        <v>23</v>
      </c>
      <c r="B155">
        <v>45</v>
      </c>
      <c r="C155" t="s">
        <v>572</v>
      </c>
      <c r="D155">
        <v>600</v>
      </c>
      <c r="E155" t="s">
        <v>570</v>
      </c>
      <c r="F155" t="s">
        <v>481</v>
      </c>
      <c r="G155">
        <v>3</v>
      </c>
      <c r="H155">
        <v>25</v>
      </c>
      <c r="I155">
        <v>480</v>
      </c>
      <c r="J155" t="s">
        <v>1042</v>
      </c>
      <c r="K155" t="str">
        <f t="shared" si="4"/>
        <v>45 · Eaton PDG33F0125PXR20-0600PXR20 125-600 A LSI 3P 25 kA @480 V</v>
      </c>
    </row>
    <row r="156" spans="1:11" x14ac:dyDescent="0.45">
      <c r="A156" t="s">
        <v>23</v>
      </c>
      <c r="B156">
        <v>46</v>
      </c>
      <c r="C156" t="s">
        <v>573</v>
      </c>
      <c r="D156">
        <v>600</v>
      </c>
      <c r="E156" t="s">
        <v>570</v>
      </c>
      <c r="F156" t="s">
        <v>481</v>
      </c>
      <c r="G156">
        <v>3</v>
      </c>
      <c r="H156">
        <v>35</v>
      </c>
      <c r="I156">
        <v>480</v>
      </c>
      <c r="K156" t="str">
        <f t="shared" si="4"/>
        <v>46 · Eaton PDG33G0125PXR20-0600PXR20 125-600 A LSI 3P 35 kA @480 V</v>
      </c>
    </row>
    <row r="157" spans="1:11" x14ac:dyDescent="0.45">
      <c r="A157" t="s">
        <v>23</v>
      </c>
      <c r="B157">
        <v>47</v>
      </c>
      <c r="C157" t="s">
        <v>576</v>
      </c>
      <c r="D157">
        <v>600</v>
      </c>
      <c r="E157" t="s">
        <v>570</v>
      </c>
      <c r="F157" t="s">
        <v>481</v>
      </c>
      <c r="G157">
        <v>3</v>
      </c>
      <c r="H157">
        <v>50</v>
      </c>
      <c r="I157">
        <v>480</v>
      </c>
      <c r="K157" t="str">
        <f t="shared" si="4"/>
        <v>47 · Eaton PDG33K0125PXR20-0600PXR20 125-600 A LSI 3P 50 kA @480 V</v>
      </c>
    </row>
    <row r="158" spans="1:11" x14ac:dyDescent="0.45">
      <c r="A158" t="s">
        <v>23</v>
      </c>
      <c r="B158">
        <v>48</v>
      </c>
      <c r="C158" t="s">
        <v>577</v>
      </c>
      <c r="D158">
        <v>600</v>
      </c>
      <c r="E158" t="s">
        <v>570</v>
      </c>
      <c r="F158" t="s">
        <v>481</v>
      </c>
      <c r="G158">
        <v>3</v>
      </c>
      <c r="H158">
        <v>65</v>
      </c>
      <c r="I158">
        <v>480</v>
      </c>
      <c r="K158" t="str">
        <f t="shared" si="4"/>
        <v>48 · Eaton PDG33M0125PXR20-0600PXR20 125-600 A LSI 3P 65 kA @480 V</v>
      </c>
    </row>
    <row r="159" spans="1:11" x14ac:dyDescent="0.45">
      <c r="A159" t="s">
        <v>23</v>
      </c>
      <c r="B159">
        <v>49</v>
      </c>
      <c r="C159" t="s">
        <v>579</v>
      </c>
      <c r="D159">
        <v>800</v>
      </c>
      <c r="E159" t="s">
        <v>520</v>
      </c>
      <c r="F159" t="s">
        <v>481</v>
      </c>
      <c r="G159">
        <v>3</v>
      </c>
      <c r="H159">
        <v>65</v>
      </c>
      <c r="I159">
        <v>240</v>
      </c>
      <c r="J159" t="s">
        <v>1039</v>
      </c>
      <c r="K159" t="str">
        <f t="shared" si="4"/>
        <v>49 · Eaton PDG43G0300PXR10-0800PXR10 300-800 A LSI 3P 65 kA @240 V</v>
      </c>
    </row>
    <row r="160" spans="1:11" x14ac:dyDescent="0.45">
      <c r="A160" t="s">
        <v>23</v>
      </c>
      <c r="B160">
        <v>50</v>
      </c>
      <c r="C160" t="s">
        <v>580</v>
      </c>
      <c r="D160">
        <v>800</v>
      </c>
      <c r="E160" t="s">
        <v>520</v>
      </c>
      <c r="F160" t="s">
        <v>481</v>
      </c>
      <c r="G160">
        <v>3</v>
      </c>
      <c r="H160">
        <v>85</v>
      </c>
      <c r="I160">
        <v>240</v>
      </c>
      <c r="K160" t="str">
        <f t="shared" si="4"/>
        <v>50 · Eaton PDG43K0300PXR10-0800PXR10 300-800 A LSI 3P 85 kA @240 V</v>
      </c>
    </row>
    <row r="161" spans="1:11" x14ac:dyDescent="0.45">
      <c r="A161" t="s">
        <v>23</v>
      </c>
      <c r="B161">
        <v>51</v>
      </c>
      <c r="C161" t="s">
        <v>582</v>
      </c>
      <c r="D161">
        <v>800</v>
      </c>
      <c r="E161" t="s">
        <v>520</v>
      </c>
      <c r="F161" t="s">
        <v>481</v>
      </c>
      <c r="G161">
        <v>3</v>
      </c>
      <c r="H161">
        <v>65</v>
      </c>
      <c r="I161">
        <v>240</v>
      </c>
      <c r="J161" t="s">
        <v>1040</v>
      </c>
      <c r="K161" t="str">
        <f t="shared" si="4"/>
        <v>51 · Eaton PDG43G0300PXR20-0800PXR20 300-800 A LSI 3P 65 kA @240 V</v>
      </c>
    </row>
    <row r="162" spans="1:11" x14ac:dyDescent="0.45">
      <c r="A162" t="s">
        <v>23</v>
      </c>
      <c r="B162">
        <v>52</v>
      </c>
      <c r="C162" t="s">
        <v>583</v>
      </c>
      <c r="D162">
        <v>800</v>
      </c>
      <c r="E162" t="s">
        <v>520</v>
      </c>
      <c r="F162" t="s">
        <v>481</v>
      </c>
      <c r="G162">
        <v>3</v>
      </c>
      <c r="H162">
        <v>85</v>
      </c>
      <c r="I162">
        <v>240</v>
      </c>
      <c r="K162" t="str">
        <f t="shared" ref="K162:K191" si="5">B162&amp;" · "&amp;A162&amp;" "&amp;C162&amp;" "&amp;E162&amp;" A "&amp;IF(F162="","STD",F162)&amp;" "&amp;G162&amp;"P "&amp;H162&amp;" kA @"&amp;I162&amp;" V"</f>
        <v>52 · Eaton PDG43K0300PXR20-0800PXR20 300-800 A LSI 3P 85 kA @240 V</v>
      </c>
    </row>
    <row r="163" spans="1:11" x14ac:dyDescent="0.45">
      <c r="A163" t="s">
        <v>23</v>
      </c>
      <c r="B163">
        <v>53</v>
      </c>
      <c r="C163" t="s">
        <v>579</v>
      </c>
      <c r="D163">
        <v>800</v>
      </c>
      <c r="E163" t="s">
        <v>520</v>
      </c>
      <c r="F163" t="s">
        <v>481</v>
      </c>
      <c r="G163">
        <v>3</v>
      </c>
      <c r="H163">
        <v>35</v>
      </c>
      <c r="I163">
        <v>480</v>
      </c>
      <c r="J163" t="s">
        <v>1041</v>
      </c>
      <c r="K163" t="str">
        <f t="shared" si="5"/>
        <v>53 · Eaton PDG43G0300PXR10-0800PXR10 300-800 A LSI 3P 35 kA @480 V</v>
      </c>
    </row>
    <row r="164" spans="1:11" x14ac:dyDescent="0.45">
      <c r="A164" t="s">
        <v>23</v>
      </c>
      <c r="B164">
        <v>54</v>
      </c>
      <c r="C164" t="s">
        <v>580</v>
      </c>
      <c r="D164">
        <v>800</v>
      </c>
      <c r="E164" t="s">
        <v>520</v>
      </c>
      <c r="F164" t="s">
        <v>481</v>
      </c>
      <c r="G164">
        <v>3</v>
      </c>
      <c r="H164">
        <v>50</v>
      </c>
      <c r="I164">
        <v>480</v>
      </c>
      <c r="K164" t="str">
        <f t="shared" si="5"/>
        <v>54 · Eaton PDG43K0300PXR10-0800PXR10 300-800 A LSI 3P 50 kA @480 V</v>
      </c>
    </row>
    <row r="165" spans="1:11" x14ac:dyDescent="0.45">
      <c r="A165" t="s">
        <v>23</v>
      </c>
      <c r="B165">
        <v>55</v>
      </c>
      <c r="C165" t="s">
        <v>584</v>
      </c>
      <c r="D165">
        <v>800</v>
      </c>
      <c r="E165" t="s">
        <v>520</v>
      </c>
      <c r="F165" t="s">
        <v>481</v>
      </c>
      <c r="G165">
        <v>3</v>
      </c>
      <c r="H165">
        <v>65</v>
      </c>
      <c r="I165">
        <v>480</v>
      </c>
      <c r="K165" t="str">
        <f t="shared" si="5"/>
        <v>55 · Eaton PDG43M0300PXR10-0800PXR10 300-800 A LSI 3P 65 kA @480 V</v>
      </c>
    </row>
    <row r="166" spans="1:11" x14ac:dyDescent="0.45">
      <c r="A166" t="s">
        <v>23</v>
      </c>
      <c r="B166">
        <v>56</v>
      </c>
      <c r="C166" t="s">
        <v>582</v>
      </c>
      <c r="D166">
        <v>800</v>
      </c>
      <c r="E166" t="s">
        <v>520</v>
      </c>
      <c r="F166" t="s">
        <v>481</v>
      </c>
      <c r="G166">
        <v>3</v>
      </c>
      <c r="H166">
        <v>35</v>
      </c>
      <c r="I166">
        <v>480</v>
      </c>
      <c r="J166" t="s">
        <v>1042</v>
      </c>
      <c r="K166" t="str">
        <f t="shared" si="5"/>
        <v>56 · Eaton PDG43G0300PXR20-0800PXR20 300-800 A LSI 3P 35 kA @480 V</v>
      </c>
    </row>
    <row r="167" spans="1:11" x14ac:dyDescent="0.45">
      <c r="A167" t="s">
        <v>23</v>
      </c>
      <c r="B167">
        <v>57</v>
      </c>
      <c r="C167" t="s">
        <v>583</v>
      </c>
      <c r="D167">
        <v>800</v>
      </c>
      <c r="E167" t="s">
        <v>520</v>
      </c>
      <c r="F167" t="s">
        <v>481</v>
      </c>
      <c r="G167">
        <v>3</v>
      </c>
      <c r="H167">
        <v>50</v>
      </c>
      <c r="I167">
        <v>480</v>
      </c>
      <c r="K167" t="str">
        <f t="shared" si="5"/>
        <v>57 · Eaton PDG43K0300PXR20-0800PXR20 300-800 A LSI 3P 50 kA @480 V</v>
      </c>
    </row>
    <row r="168" spans="1:11" x14ac:dyDescent="0.45">
      <c r="A168" t="s">
        <v>23</v>
      </c>
      <c r="B168">
        <v>58</v>
      </c>
      <c r="C168" t="s">
        <v>585</v>
      </c>
      <c r="D168">
        <v>800</v>
      </c>
      <c r="E168" t="s">
        <v>520</v>
      </c>
      <c r="F168" t="s">
        <v>481</v>
      </c>
      <c r="G168">
        <v>3</v>
      </c>
      <c r="H168">
        <v>65</v>
      </c>
      <c r="I168">
        <v>480</v>
      </c>
      <c r="K168" t="str">
        <f t="shared" si="5"/>
        <v>58 · Eaton PDG43M0300PXR20-0800PXR20 300-800 A LSI 3P 65 kA @480 V</v>
      </c>
    </row>
    <row r="169" spans="1:11" x14ac:dyDescent="0.45">
      <c r="A169" t="s">
        <v>23</v>
      </c>
      <c r="B169">
        <v>59</v>
      </c>
      <c r="C169" t="s">
        <v>587</v>
      </c>
      <c r="D169">
        <v>1200</v>
      </c>
      <c r="E169" t="s">
        <v>588</v>
      </c>
      <c r="F169" t="s">
        <v>481</v>
      </c>
      <c r="G169">
        <v>3</v>
      </c>
      <c r="H169">
        <v>85</v>
      </c>
      <c r="I169">
        <v>480</v>
      </c>
      <c r="J169" t="s">
        <v>1039</v>
      </c>
      <c r="K169" t="str">
        <f t="shared" si="5"/>
        <v>59 · Eaton PDG53K0800PXR10-1200PXR10 800-1200 A LSI 3P 85 kA @480 V</v>
      </c>
    </row>
    <row r="170" spans="1:11" x14ac:dyDescent="0.45">
      <c r="A170" t="s">
        <v>23</v>
      </c>
      <c r="B170">
        <v>60</v>
      </c>
      <c r="C170" t="s">
        <v>590</v>
      </c>
      <c r="D170">
        <v>1200</v>
      </c>
      <c r="E170" t="s">
        <v>588</v>
      </c>
      <c r="F170" t="s">
        <v>481</v>
      </c>
      <c r="G170">
        <v>3</v>
      </c>
      <c r="H170">
        <v>100</v>
      </c>
      <c r="I170">
        <v>480</v>
      </c>
      <c r="K170" t="str">
        <f t="shared" si="5"/>
        <v>60 · Eaton PDG53M0800PXR10-1200PXR10 800-1200 A LSI 3P 100 kA @480 V</v>
      </c>
    </row>
    <row r="171" spans="1:11" x14ac:dyDescent="0.45">
      <c r="A171" t="s">
        <v>23</v>
      </c>
      <c r="B171">
        <v>61</v>
      </c>
      <c r="C171" t="s">
        <v>592</v>
      </c>
      <c r="D171">
        <v>1200</v>
      </c>
      <c r="E171" t="s">
        <v>588</v>
      </c>
      <c r="F171" t="s">
        <v>481</v>
      </c>
      <c r="G171">
        <v>3</v>
      </c>
      <c r="H171">
        <v>85</v>
      </c>
      <c r="I171">
        <v>240</v>
      </c>
      <c r="J171" t="s">
        <v>1040</v>
      </c>
      <c r="K171" t="str">
        <f t="shared" si="5"/>
        <v>61 · Eaton PDG53K0800PXR20-1200PXR20 800-1200 A LSI 3P 85 kA @240 V</v>
      </c>
    </row>
    <row r="172" spans="1:11" x14ac:dyDescent="0.45">
      <c r="A172" t="s">
        <v>23</v>
      </c>
      <c r="B172">
        <v>62</v>
      </c>
      <c r="C172" t="s">
        <v>593</v>
      </c>
      <c r="D172">
        <v>1200</v>
      </c>
      <c r="E172" t="s">
        <v>588</v>
      </c>
      <c r="F172" t="s">
        <v>481</v>
      </c>
      <c r="G172">
        <v>3</v>
      </c>
      <c r="H172">
        <v>100</v>
      </c>
      <c r="I172">
        <v>240</v>
      </c>
      <c r="K172" t="str">
        <f t="shared" si="5"/>
        <v>62 · Eaton PDG53M0800PXR20-1200PXR20 800-1200 A LSI 3P 100 kA @240 V</v>
      </c>
    </row>
    <row r="173" spans="1:11" x14ac:dyDescent="0.45">
      <c r="A173" t="s">
        <v>23</v>
      </c>
      <c r="B173">
        <v>63</v>
      </c>
      <c r="C173" t="s">
        <v>592</v>
      </c>
      <c r="D173">
        <v>1200</v>
      </c>
      <c r="E173" t="s">
        <v>588</v>
      </c>
      <c r="F173" t="s">
        <v>481</v>
      </c>
      <c r="G173">
        <v>3</v>
      </c>
      <c r="H173">
        <v>50</v>
      </c>
      <c r="I173">
        <v>480</v>
      </c>
      <c r="J173" t="s">
        <v>1042</v>
      </c>
      <c r="K173" t="str">
        <f t="shared" si="5"/>
        <v>63 · Eaton PDG53K0800PXR20-1200PXR20 800-1200 A LSI 3P 50 kA @480 V</v>
      </c>
    </row>
    <row r="174" spans="1:11" x14ac:dyDescent="0.45">
      <c r="A174" t="s">
        <v>23</v>
      </c>
      <c r="B174">
        <v>64</v>
      </c>
      <c r="C174" t="s">
        <v>593</v>
      </c>
      <c r="D174">
        <v>1200</v>
      </c>
      <c r="E174" t="s">
        <v>588</v>
      </c>
      <c r="F174" t="s">
        <v>481</v>
      </c>
      <c r="G174">
        <v>3</v>
      </c>
      <c r="H174">
        <v>65</v>
      </c>
      <c r="I174">
        <v>480</v>
      </c>
      <c r="K174" t="str">
        <f t="shared" si="5"/>
        <v>64 · Eaton PDG53M0800PXR20-1200PXR20 800-1200 A LSI 3P 65 kA @480 V</v>
      </c>
    </row>
    <row r="175" spans="1:11" x14ac:dyDescent="0.45">
      <c r="A175" t="s">
        <v>23</v>
      </c>
      <c r="B175">
        <v>65</v>
      </c>
      <c r="C175" t="s">
        <v>594</v>
      </c>
      <c r="D175">
        <v>1200</v>
      </c>
      <c r="E175" t="s">
        <v>588</v>
      </c>
      <c r="F175" t="s">
        <v>481</v>
      </c>
      <c r="G175">
        <v>3</v>
      </c>
      <c r="H175">
        <v>25</v>
      </c>
      <c r="I175">
        <v>480</v>
      </c>
      <c r="J175" t="s">
        <v>1043</v>
      </c>
      <c r="K175" t="str">
        <f t="shared" si="5"/>
        <v>65 · Eaton PDG53K0800PXR25-1200PXR25 800-1200 A LSI 3P 25 kA @480 V</v>
      </c>
    </row>
    <row r="176" spans="1:11" x14ac:dyDescent="0.45">
      <c r="A176" t="s">
        <v>23</v>
      </c>
      <c r="B176">
        <v>66</v>
      </c>
      <c r="C176" t="s">
        <v>595</v>
      </c>
      <c r="D176">
        <v>1200</v>
      </c>
      <c r="E176" t="s">
        <v>588</v>
      </c>
      <c r="F176" t="s">
        <v>481</v>
      </c>
      <c r="G176">
        <v>3</v>
      </c>
      <c r="H176">
        <v>35</v>
      </c>
      <c r="I176">
        <v>480</v>
      </c>
      <c r="K176" t="str">
        <f t="shared" si="5"/>
        <v>66 · Eaton PDG53M0800PXR25-1200PXR25 800-1200 A LSI 3P 35 kA @480 V</v>
      </c>
    </row>
    <row r="177" spans="1:11" x14ac:dyDescent="0.45">
      <c r="A177" t="s">
        <v>23</v>
      </c>
      <c r="B177">
        <v>67</v>
      </c>
      <c r="C177" t="s">
        <v>597</v>
      </c>
      <c r="D177">
        <v>800</v>
      </c>
      <c r="E177">
        <v>800</v>
      </c>
      <c r="F177" t="s">
        <v>481</v>
      </c>
      <c r="G177">
        <v>3</v>
      </c>
      <c r="H177">
        <v>50</v>
      </c>
      <c r="I177">
        <v>480</v>
      </c>
      <c r="J177" t="s">
        <v>1022</v>
      </c>
      <c r="K177" t="str">
        <f t="shared" si="5"/>
        <v>67 · Eaton MAGNUM MDS-508 800 A LSI 3P 50 kA @480 V</v>
      </c>
    </row>
    <row r="178" spans="1:11" x14ac:dyDescent="0.45">
      <c r="A178" t="s">
        <v>23</v>
      </c>
      <c r="B178">
        <v>68</v>
      </c>
      <c r="C178" t="s">
        <v>598</v>
      </c>
      <c r="D178">
        <v>1200</v>
      </c>
      <c r="E178">
        <v>1200</v>
      </c>
      <c r="F178" t="s">
        <v>481</v>
      </c>
      <c r="G178">
        <v>3</v>
      </c>
      <c r="H178">
        <v>50</v>
      </c>
      <c r="I178">
        <v>480</v>
      </c>
      <c r="K178" t="str">
        <f t="shared" si="5"/>
        <v>68 · Eaton MAGNUM MDS-512 1200 A LSI 3P 50 kA @480 V</v>
      </c>
    </row>
    <row r="179" spans="1:11" x14ac:dyDescent="0.45">
      <c r="A179" t="s">
        <v>23</v>
      </c>
      <c r="B179">
        <v>69</v>
      </c>
      <c r="C179" t="s">
        <v>599</v>
      </c>
      <c r="D179">
        <v>1600</v>
      </c>
      <c r="E179">
        <v>1600</v>
      </c>
      <c r="F179" t="s">
        <v>481</v>
      </c>
      <c r="G179">
        <v>3</v>
      </c>
      <c r="H179">
        <v>50</v>
      </c>
      <c r="I179">
        <v>480</v>
      </c>
      <c r="K179" t="str">
        <f t="shared" si="5"/>
        <v>69 · Eaton MAGNUM MDS-516 1600 A LSI 3P 50 kA @480 V</v>
      </c>
    </row>
    <row r="180" spans="1:11" x14ac:dyDescent="0.45">
      <c r="A180" t="s">
        <v>23</v>
      </c>
      <c r="B180">
        <v>70</v>
      </c>
      <c r="C180" t="s">
        <v>600</v>
      </c>
      <c r="D180">
        <v>1600</v>
      </c>
      <c r="E180">
        <v>1600</v>
      </c>
      <c r="F180" t="s">
        <v>481</v>
      </c>
      <c r="G180">
        <v>3</v>
      </c>
      <c r="H180">
        <v>65</v>
      </c>
      <c r="I180">
        <v>480</v>
      </c>
      <c r="K180" t="str">
        <f t="shared" si="5"/>
        <v>70 · Eaton MAGNUM MDS-616 1600 A LSI 3P 65 kA @480 V</v>
      </c>
    </row>
    <row r="181" spans="1:11" x14ac:dyDescent="0.45">
      <c r="A181" t="s">
        <v>23</v>
      </c>
      <c r="B181">
        <v>71</v>
      </c>
      <c r="C181" t="s">
        <v>601</v>
      </c>
      <c r="D181">
        <v>2000</v>
      </c>
      <c r="E181">
        <v>2000</v>
      </c>
      <c r="F181" t="s">
        <v>481</v>
      </c>
      <c r="G181">
        <v>3</v>
      </c>
      <c r="H181">
        <v>65</v>
      </c>
      <c r="I181">
        <v>480</v>
      </c>
      <c r="K181" t="str">
        <f t="shared" si="5"/>
        <v>71 · Eaton MAGNUM MDS-620 2000 A LSI 3P 65 kA @480 V</v>
      </c>
    </row>
    <row r="182" spans="1:11" x14ac:dyDescent="0.45">
      <c r="A182" t="s">
        <v>23</v>
      </c>
      <c r="B182">
        <v>72</v>
      </c>
      <c r="C182" t="s">
        <v>602</v>
      </c>
      <c r="D182">
        <v>2500</v>
      </c>
      <c r="E182">
        <v>2500</v>
      </c>
      <c r="F182" t="s">
        <v>481</v>
      </c>
      <c r="G182">
        <v>3</v>
      </c>
      <c r="H182">
        <v>65</v>
      </c>
      <c r="I182">
        <v>480</v>
      </c>
      <c r="K182" t="str">
        <f t="shared" si="5"/>
        <v>72 · Eaton MAGNUM MDS-625 2500 A LSI 3P 65 kA @480 V</v>
      </c>
    </row>
    <row r="183" spans="1:11" x14ac:dyDescent="0.45">
      <c r="A183" t="s">
        <v>23</v>
      </c>
      <c r="B183">
        <v>73</v>
      </c>
      <c r="E183" t="s">
        <v>440</v>
      </c>
      <c r="F183" t="s">
        <v>531</v>
      </c>
      <c r="G183">
        <v>1</v>
      </c>
      <c r="H183">
        <v>10</v>
      </c>
      <c r="I183">
        <v>240</v>
      </c>
      <c r="K183" t="str">
        <f t="shared" si="5"/>
        <v>73 · Eaton  15-70 A GFCI 1P 10 kA @240 V</v>
      </c>
    </row>
    <row r="184" spans="1:11" x14ac:dyDescent="0.45">
      <c r="A184" t="s">
        <v>23</v>
      </c>
      <c r="B184">
        <v>74</v>
      </c>
      <c r="E184" t="s">
        <v>443</v>
      </c>
      <c r="F184" t="s">
        <v>531</v>
      </c>
      <c r="G184">
        <v>2</v>
      </c>
      <c r="H184">
        <v>10</v>
      </c>
      <c r="I184">
        <v>240</v>
      </c>
      <c r="K184" t="str">
        <f t="shared" si="5"/>
        <v>74 · Eaton  15-125 A GFCI 2P 10 kA @240 V</v>
      </c>
    </row>
    <row r="185" spans="1:11" x14ac:dyDescent="0.45">
      <c r="A185" t="s">
        <v>23</v>
      </c>
      <c r="B185">
        <v>75</v>
      </c>
      <c r="E185" t="s">
        <v>443</v>
      </c>
      <c r="F185" t="s">
        <v>531</v>
      </c>
      <c r="G185">
        <v>3</v>
      </c>
      <c r="H185">
        <v>10</v>
      </c>
      <c r="I185">
        <v>240</v>
      </c>
      <c r="K185" t="str">
        <f t="shared" si="5"/>
        <v>75 · Eaton  15-125 A GFCI 3P 10 kA @240 V</v>
      </c>
    </row>
    <row r="186" spans="1:11" x14ac:dyDescent="0.45">
      <c r="A186" t="s">
        <v>23</v>
      </c>
      <c r="B186">
        <v>76</v>
      </c>
      <c r="E186" t="s">
        <v>440</v>
      </c>
      <c r="F186" t="s">
        <v>532</v>
      </c>
      <c r="G186">
        <v>1</v>
      </c>
      <c r="H186">
        <v>10</v>
      </c>
      <c r="I186">
        <v>240</v>
      </c>
      <c r="K186" t="str">
        <f t="shared" si="5"/>
        <v>76 · Eaton  15-70 A AFCI 1P 10 kA @240 V</v>
      </c>
    </row>
    <row r="187" spans="1:11" x14ac:dyDescent="0.45">
      <c r="A187" t="s">
        <v>23</v>
      </c>
      <c r="B187">
        <v>77</v>
      </c>
      <c r="E187" t="s">
        <v>443</v>
      </c>
      <c r="F187" t="s">
        <v>533</v>
      </c>
      <c r="G187">
        <v>2</v>
      </c>
      <c r="H187">
        <v>10</v>
      </c>
      <c r="I187">
        <v>240</v>
      </c>
      <c r="K187" t="str">
        <f t="shared" si="5"/>
        <v>77 · Eaton  15-125 A HACR 2P 10 kA @240 V</v>
      </c>
    </row>
    <row r="188" spans="1:11" x14ac:dyDescent="0.45">
      <c r="A188" t="s">
        <v>23</v>
      </c>
      <c r="B188">
        <v>78</v>
      </c>
      <c r="E188" t="s">
        <v>443</v>
      </c>
      <c r="F188" t="s">
        <v>533</v>
      </c>
      <c r="G188">
        <v>3</v>
      </c>
      <c r="H188">
        <v>10</v>
      </c>
      <c r="I188">
        <v>240</v>
      </c>
      <c r="K188" t="str">
        <f t="shared" si="5"/>
        <v>78 · Eaton  15-125 A HACR 3P 10 kA @240 V</v>
      </c>
    </row>
    <row r="189" spans="1:11" x14ac:dyDescent="0.45">
      <c r="A189" t="s">
        <v>23</v>
      </c>
      <c r="B189">
        <v>79</v>
      </c>
      <c r="E189" t="s">
        <v>440</v>
      </c>
      <c r="F189" t="s">
        <v>534</v>
      </c>
      <c r="G189">
        <v>1</v>
      </c>
      <c r="H189">
        <v>10</v>
      </c>
      <c r="I189">
        <v>240</v>
      </c>
      <c r="K189" t="str">
        <f t="shared" si="5"/>
        <v>79 · Eaton  15-70 A AFCI/GFCI 1P 10 kA @240 V</v>
      </c>
    </row>
    <row r="190" spans="1:11" x14ac:dyDescent="0.45">
      <c r="A190" t="s">
        <v>23</v>
      </c>
      <c r="B190">
        <v>80</v>
      </c>
      <c r="E190" t="s">
        <v>443</v>
      </c>
      <c r="F190" t="s">
        <v>534</v>
      </c>
      <c r="G190">
        <v>2</v>
      </c>
      <c r="H190">
        <v>10</v>
      </c>
      <c r="I190">
        <v>240</v>
      </c>
      <c r="K190" t="str">
        <f t="shared" si="5"/>
        <v>80 · Eaton  15-125 A AFCI/GFCI 2P 10 kA @240 V</v>
      </c>
    </row>
    <row r="191" spans="1:11" x14ac:dyDescent="0.45">
      <c r="A191" t="s">
        <v>23</v>
      </c>
      <c r="B191">
        <v>81</v>
      </c>
      <c r="E191" t="s">
        <v>443</v>
      </c>
      <c r="F191" t="s">
        <v>534</v>
      </c>
      <c r="G191">
        <v>3</v>
      </c>
      <c r="H191">
        <v>10</v>
      </c>
      <c r="I191">
        <v>240</v>
      </c>
      <c r="K191" t="str">
        <f t="shared" si="5"/>
        <v>81 · Eaton  15-125 A AFCI/GFCI 3P 10 kA @240 V</v>
      </c>
    </row>
  </sheetData>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K138"/>
  <sheetViews>
    <sheetView workbookViewId="0">
      <pane ySplit="1" topLeftCell="A2" activePane="bottomLeft" state="frozen"/>
      <selection pane="bottomLeft"/>
    </sheetView>
  </sheetViews>
  <sheetFormatPr defaultRowHeight="14.25" x14ac:dyDescent="0.45"/>
  <cols>
    <col min="1" max="10" width="16" customWidth="1"/>
  </cols>
  <sheetData>
    <row r="1" spans="1:11" x14ac:dyDescent="0.45">
      <c r="A1" s="17" t="s">
        <v>35</v>
      </c>
      <c r="B1" s="17" t="s">
        <v>330</v>
      </c>
      <c r="C1" s="17" t="s">
        <v>68</v>
      </c>
      <c r="D1" s="17" t="s">
        <v>1044</v>
      </c>
      <c r="E1" s="17" t="s">
        <v>1045</v>
      </c>
      <c r="F1" s="17" t="s">
        <v>1046</v>
      </c>
      <c r="G1" s="17" t="s">
        <v>70</v>
      </c>
      <c r="H1" s="17" t="s">
        <v>74</v>
      </c>
      <c r="I1" s="17" t="s">
        <v>332</v>
      </c>
      <c r="J1" s="17" t="s">
        <v>1020</v>
      </c>
      <c r="K1" t="s">
        <v>131</v>
      </c>
    </row>
    <row r="2" spans="1:11" x14ac:dyDescent="0.45">
      <c r="A2">
        <v>1</v>
      </c>
      <c r="B2" t="s">
        <v>333</v>
      </c>
      <c r="C2" t="s">
        <v>971</v>
      </c>
      <c r="D2">
        <v>100</v>
      </c>
      <c r="E2">
        <v>100</v>
      </c>
      <c r="F2">
        <v>100</v>
      </c>
      <c r="G2">
        <v>18</v>
      </c>
      <c r="H2" t="s">
        <v>335</v>
      </c>
      <c r="I2" t="s">
        <v>336</v>
      </c>
      <c r="K2" t="str">
        <f t="shared" ref="K2:K33" si="0">A2&amp;" · "&amp;C2&amp;" "&amp;B2&amp;" · "&amp;D2&amp;" A · "&amp;G2&amp;" esp."</f>
        <v>1 · Square D NQ418L1C · 100 A · 18 esp.</v>
      </c>
    </row>
    <row r="3" spans="1:11" x14ac:dyDescent="0.45">
      <c r="A3">
        <v>2</v>
      </c>
      <c r="B3" t="s">
        <v>337</v>
      </c>
      <c r="C3" t="s">
        <v>971</v>
      </c>
      <c r="D3">
        <v>100</v>
      </c>
      <c r="E3">
        <v>100</v>
      </c>
      <c r="F3">
        <v>100</v>
      </c>
      <c r="G3">
        <v>30</v>
      </c>
      <c r="H3" t="s">
        <v>335</v>
      </c>
      <c r="I3" t="s">
        <v>336</v>
      </c>
      <c r="K3" t="str">
        <f t="shared" si="0"/>
        <v>2 · Square D NQ430L1C · 100 A · 30 esp.</v>
      </c>
    </row>
    <row r="4" spans="1:11" x14ac:dyDescent="0.45">
      <c r="A4">
        <v>3</v>
      </c>
      <c r="B4" t="s">
        <v>338</v>
      </c>
      <c r="C4" t="s">
        <v>971</v>
      </c>
      <c r="D4">
        <v>225</v>
      </c>
      <c r="E4">
        <v>225</v>
      </c>
      <c r="F4">
        <v>100</v>
      </c>
      <c r="G4">
        <v>30</v>
      </c>
      <c r="H4" t="s">
        <v>335</v>
      </c>
      <c r="I4" t="s">
        <v>336</v>
      </c>
      <c r="K4" t="str">
        <f t="shared" si="0"/>
        <v>3 · Square D NQ430L2C · 225 A · 30 esp.</v>
      </c>
    </row>
    <row r="5" spans="1:11" x14ac:dyDescent="0.45">
      <c r="A5">
        <v>4</v>
      </c>
      <c r="B5" t="s">
        <v>340</v>
      </c>
      <c r="C5" t="s">
        <v>971</v>
      </c>
      <c r="D5">
        <v>225</v>
      </c>
      <c r="E5">
        <v>225</v>
      </c>
      <c r="F5">
        <v>100</v>
      </c>
      <c r="G5">
        <v>42</v>
      </c>
      <c r="H5" t="s">
        <v>335</v>
      </c>
      <c r="I5" t="s">
        <v>336</v>
      </c>
      <c r="K5" t="str">
        <f t="shared" si="0"/>
        <v>4 · Square D NQ442L2C · 225 A · 42 esp.</v>
      </c>
    </row>
    <row r="6" spans="1:11" x14ac:dyDescent="0.45">
      <c r="A6">
        <v>5</v>
      </c>
      <c r="B6" t="s">
        <v>341</v>
      </c>
      <c r="C6" t="s">
        <v>971</v>
      </c>
      <c r="D6">
        <v>225</v>
      </c>
      <c r="E6">
        <v>225</v>
      </c>
      <c r="F6">
        <v>100</v>
      </c>
      <c r="G6">
        <v>54</v>
      </c>
      <c r="H6" t="s">
        <v>335</v>
      </c>
      <c r="I6" t="s">
        <v>336</v>
      </c>
      <c r="K6" t="str">
        <f t="shared" si="0"/>
        <v>5 · Square D NQ454L2C · 225 A · 54 esp.</v>
      </c>
    </row>
    <row r="7" spans="1:11" x14ac:dyDescent="0.45">
      <c r="A7">
        <v>6</v>
      </c>
      <c r="B7" t="s">
        <v>342</v>
      </c>
      <c r="C7" t="s">
        <v>971</v>
      </c>
      <c r="D7">
        <v>225</v>
      </c>
      <c r="E7">
        <v>225</v>
      </c>
      <c r="F7">
        <v>100</v>
      </c>
      <c r="G7">
        <v>72</v>
      </c>
      <c r="H7" t="s">
        <v>335</v>
      </c>
      <c r="I7" t="s">
        <v>336</v>
      </c>
      <c r="K7" t="str">
        <f t="shared" si="0"/>
        <v>6 · Square D NQ472L2C · 225 A · 72 esp.</v>
      </c>
    </row>
    <row r="8" spans="1:11" x14ac:dyDescent="0.45">
      <c r="A8">
        <v>7</v>
      </c>
      <c r="B8" t="s">
        <v>343</v>
      </c>
      <c r="C8" t="s">
        <v>971</v>
      </c>
      <c r="D8">
        <v>225</v>
      </c>
      <c r="E8">
        <v>225</v>
      </c>
      <c r="F8">
        <v>100</v>
      </c>
      <c r="G8">
        <v>84</v>
      </c>
      <c r="H8" t="s">
        <v>335</v>
      </c>
      <c r="I8" t="s">
        <v>336</v>
      </c>
      <c r="K8" t="str">
        <f t="shared" si="0"/>
        <v>7 · Square D NQ484L2C · 225 A · 84 esp.</v>
      </c>
    </row>
    <row r="9" spans="1:11" x14ac:dyDescent="0.45">
      <c r="A9">
        <v>8</v>
      </c>
      <c r="B9" t="s">
        <v>344</v>
      </c>
      <c r="C9" t="s">
        <v>971</v>
      </c>
      <c r="D9">
        <v>400</v>
      </c>
      <c r="E9">
        <v>400</v>
      </c>
      <c r="F9">
        <v>225</v>
      </c>
      <c r="G9">
        <v>30</v>
      </c>
      <c r="H9" t="s">
        <v>335</v>
      </c>
      <c r="I9" t="s">
        <v>336</v>
      </c>
      <c r="K9" t="str">
        <f t="shared" si="0"/>
        <v>8 · Square D NQ430L4C · 400 A · 30 esp.</v>
      </c>
    </row>
    <row r="10" spans="1:11" x14ac:dyDescent="0.45">
      <c r="A10">
        <v>9</v>
      </c>
      <c r="B10" t="s">
        <v>346</v>
      </c>
      <c r="C10" t="s">
        <v>971</v>
      </c>
      <c r="D10">
        <v>400</v>
      </c>
      <c r="E10">
        <v>400</v>
      </c>
      <c r="F10">
        <v>225</v>
      </c>
      <c r="G10">
        <v>42</v>
      </c>
      <c r="H10" t="s">
        <v>335</v>
      </c>
      <c r="I10" t="s">
        <v>336</v>
      </c>
      <c r="K10" t="str">
        <f t="shared" si="0"/>
        <v>9 · Square D NQ442L4C · 400 A · 42 esp.</v>
      </c>
    </row>
    <row r="11" spans="1:11" x14ac:dyDescent="0.45">
      <c r="A11">
        <v>10</v>
      </c>
      <c r="B11" t="s">
        <v>347</v>
      </c>
      <c r="C11" t="s">
        <v>971</v>
      </c>
      <c r="D11">
        <v>400</v>
      </c>
      <c r="E11">
        <v>400</v>
      </c>
      <c r="F11">
        <v>225</v>
      </c>
      <c r="G11">
        <v>54</v>
      </c>
      <c r="H11" t="s">
        <v>335</v>
      </c>
      <c r="I11" t="s">
        <v>336</v>
      </c>
      <c r="K11" t="str">
        <f t="shared" si="0"/>
        <v>10 · Square D NQ454L4C · 400 A · 54 esp.</v>
      </c>
    </row>
    <row r="12" spans="1:11" x14ac:dyDescent="0.45">
      <c r="A12">
        <v>11</v>
      </c>
      <c r="B12" t="s">
        <v>348</v>
      </c>
      <c r="C12" t="s">
        <v>971</v>
      </c>
      <c r="D12">
        <v>400</v>
      </c>
      <c r="E12">
        <v>400</v>
      </c>
      <c r="F12">
        <v>225</v>
      </c>
      <c r="G12">
        <v>72</v>
      </c>
      <c r="H12" t="s">
        <v>335</v>
      </c>
      <c r="I12" t="s">
        <v>336</v>
      </c>
      <c r="K12" t="str">
        <f t="shared" si="0"/>
        <v>11 · Square D NQ472L4C · 400 A · 72 esp.</v>
      </c>
    </row>
    <row r="13" spans="1:11" x14ac:dyDescent="0.45">
      <c r="A13">
        <v>12</v>
      </c>
      <c r="B13" t="s">
        <v>349</v>
      </c>
      <c r="C13" t="s">
        <v>971</v>
      </c>
      <c r="D13">
        <v>400</v>
      </c>
      <c r="E13">
        <v>400</v>
      </c>
      <c r="F13">
        <v>225</v>
      </c>
      <c r="G13">
        <v>84</v>
      </c>
      <c r="H13" t="s">
        <v>335</v>
      </c>
      <c r="I13" t="s">
        <v>336</v>
      </c>
      <c r="K13" t="str">
        <f t="shared" si="0"/>
        <v>12 · Square D NQ484L4C · 400 A · 84 esp.</v>
      </c>
    </row>
    <row r="14" spans="1:11" x14ac:dyDescent="0.45">
      <c r="A14">
        <v>13</v>
      </c>
      <c r="B14" t="s">
        <v>350</v>
      </c>
      <c r="C14" t="s">
        <v>971</v>
      </c>
      <c r="D14">
        <v>600</v>
      </c>
      <c r="E14">
        <v>600</v>
      </c>
      <c r="F14">
        <v>225</v>
      </c>
      <c r="G14">
        <v>30</v>
      </c>
      <c r="H14" t="s">
        <v>335</v>
      </c>
      <c r="I14" t="s">
        <v>336</v>
      </c>
      <c r="K14" t="str">
        <f t="shared" si="0"/>
        <v>13 · Square D NQ430L6C · 600 A · 30 esp.</v>
      </c>
    </row>
    <row r="15" spans="1:11" x14ac:dyDescent="0.45">
      <c r="A15">
        <v>14</v>
      </c>
      <c r="B15" t="s">
        <v>352</v>
      </c>
      <c r="C15" t="s">
        <v>971</v>
      </c>
      <c r="D15">
        <v>600</v>
      </c>
      <c r="E15">
        <v>600</v>
      </c>
      <c r="F15">
        <v>225</v>
      </c>
      <c r="G15">
        <v>42</v>
      </c>
      <c r="H15" t="s">
        <v>335</v>
      </c>
      <c r="I15" t="s">
        <v>336</v>
      </c>
      <c r="K15" t="str">
        <f t="shared" si="0"/>
        <v>14 · Square D NQ442L6C · 600 A · 42 esp.</v>
      </c>
    </row>
    <row r="16" spans="1:11" x14ac:dyDescent="0.45">
      <c r="A16">
        <v>15</v>
      </c>
      <c r="B16" t="s">
        <v>353</v>
      </c>
      <c r="C16" t="s">
        <v>971</v>
      </c>
      <c r="D16">
        <v>600</v>
      </c>
      <c r="E16">
        <v>600</v>
      </c>
      <c r="F16">
        <v>225</v>
      </c>
      <c r="G16">
        <v>54</v>
      </c>
      <c r="H16" t="s">
        <v>335</v>
      </c>
      <c r="I16" t="s">
        <v>336</v>
      </c>
      <c r="K16" t="str">
        <f t="shared" si="0"/>
        <v>15 · Square D NQ454L6C · 600 A · 54 esp.</v>
      </c>
    </row>
    <row r="17" spans="1:11" x14ac:dyDescent="0.45">
      <c r="A17">
        <v>16</v>
      </c>
      <c r="B17" t="s">
        <v>354</v>
      </c>
      <c r="C17" t="s">
        <v>971</v>
      </c>
      <c r="D17">
        <v>600</v>
      </c>
      <c r="E17">
        <v>600</v>
      </c>
      <c r="F17">
        <v>225</v>
      </c>
      <c r="G17">
        <v>84</v>
      </c>
      <c r="H17" t="s">
        <v>335</v>
      </c>
      <c r="I17" t="s">
        <v>336</v>
      </c>
      <c r="K17" t="str">
        <f t="shared" si="0"/>
        <v>16 · Square D NQ484L6C · 600 A · 84 esp.</v>
      </c>
    </row>
    <row r="18" spans="1:11" x14ac:dyDescent="0.45">
      <c r="A18">
        <v>17</v>
      </c>
      <c r="B18" t="s">
        <v>372</v>
      </c>
      <c r="C18" t="s">
        <v>971</v>
      </c>
      <c r="D18">
        <v>125</v>
      </c>
      <c r="E18">
        <v>125</v>
      </c>
      <c r="F18">
        <v>100</v>
      </c>
      <c r="G18">
        <v>18</v>
      </c>
      <c r="H18" t="s">
        <v>335</v>
      </c>
      <c r="I18" t="s">
        <v>336</v>
      </c>
      <c r="K18" t="str">
        <f t="shared" si="0"/>
        <v>17 · Square D NF418L1C · 125 A · 18 esp.</v>
      </c>
    </row>
    <row r="19" spans="1:11" x14ac:dyDescent="0.45">
      <c r="A19">
        <v>18</v>
      </c>
      <c r="B19" t="s">
        <v>374</v>
      </c>
      <c r="C19" t="s">
        <v>971</v>
      </c>
      <c r="D19">
        <v>125</v>
      </c>
      <c r="E19">
        <v>125</v>
      </c>
      <c r="F19">
        <v>100</v>
      </c>
      <c r="G19">
        <v>30</v>
      </c>
      <c r="H19" t="s">
        <v>335</v>
      </c>
      <c r="I19" t="s">
        <v>336</v>
      </c>
      <c r="K19" t="str">
        <f t="shared" si="0"/>
        <v>18 · Square D NF430L1C · 125 A · 30 esp.</v>
      </c>
    </row>
    <row r="20" spans="1:11" x14ac:dyDescent="0.45">
      <c r="A20">
        <v>19</v>
      </c>
      <c r="B20" t="s">
        <v>375</v>
      </c>
      <c r="C20" t="s">
        <v>971</v>
      </c>
      <c r="D20">
        <v>250</v>
      </c>
      <c r="E20">
        <v>250</v>
      </c>
      <c r="F20">
        <v>100</v>
      </c>
      <c r="G20">
        <v>30</v>
      </c>
      <c r="H20" t="s">
        <v>335</v>
      </c>
      <c r="I20" t="s">
        <v>336</v>
      </c>
      <c r="K20" t="str">
        <f t="shared" si="0"/>
        <v>19 · Square D NF430L2C · 250 A · 30 esp.</v>
      </c>
    </row>
    <row r="21" spans="1:11" x14ac:dyDescent="0.45">
      <c r="A21">
        <v>20</v>
      </c>
      <c r="B21" t="s">
        <v>377</v>
      </c>
      <c r="C21" t="s">
        <v>971</v>
      </c>
      <c r="D21">
        <v>250</v>
      </c>
      <c r="E21">
        <v>250</v>
      </c>
      <c r="F21">
        <v>100</v>
      </c>
      <c r="G21">
        <v>42</v>
      </c>
      <c r="H21" t="s">
        <v>335</v>
      </c>
      <c r="I21" t="s">
        <v>336</v>
      </c>
      <c r="K21" t="str">
        <f t="shared" si="0"/>
        <v>20 · Square D NF442L2C · 250 A · 42 esp.</v>
      </c>
    </row>
    <row r="22" spans="1:11" x14ac:dyDescent="0.45">
      <c r="A22">
        <v>21</v>
      </c>
      <c r="B22" t="s">
        <v>378</v>
      </c>
      <c r="C22" t="s">
        <v>971</v>
      </c>
      <c r="D22">
        <v>250</v>
      </c>
      <c r="E22">
        <v>250</v>
      </c>
      <c r="F22">
        <v>100</v>
      </c>
      <c r="G22">
        <v>54</v>
      </c>
      <c r="H22" t="s">
        <v>335</v>
      </c>
      <c r="I22" t="s">
        <v>336</v>
      </c>
      <c r="K22" t="str">
        <f t="shared" si="0"/>
        <v>21 · Square D NF454L2C · 250 A · 54 esp.</v>
      </c>
    </row>
    <row r="23" spans="1:11" x14ac:dyDescent="0.45">
      <c r="A23">
        <v>22</v>
      </c>
      <c r="B23" t="s">
        <v>379</v>
      </c>
      <c r="C23" t="s">
        <v>971</v>
      </c>
      <c r="D23">
        <v>400</v>
      </c>
      <c r="E23">
        <v>400</v>
      </c>
      <c r="F23">
        <v>225</v>
      </c>
      <c r="G23">
        <v>30</v>
      </c>
      <c r="H23" t="s">
        <v>335</v>
      </c>
      <c r="I23" t="s">
        <v>336</v>
      </c>
      <c r="K23" t="str">
        <f t="shared" si="0"/>
        <v>22 · Square D NF430L4C · 400 A · 30 esp.</v>
      </c>
    </row>
    <row r="24" spans="1:11" x14ac:dyDescent="0.45">
      <c r="A24">
        <v>23</v>
      </c>
      <c r="B24" t="s">
        <v>380</v>
      </c>
      <c r="C24" t="s">
        <v>971</v>
      </c>
      <c r="D24">
        <v>400</v>
      </c>
      <c r="E24">
        <v>400</v>
      </c>
      <c r="F24">
        <v>225</v>
      </c>
      <c r="G24">
        <v>42</v>
      </c>
      <c r="H24" t="s">
        <v>335</v>
      </c>
      <c r="I24" t="s">
        <v>336</v>
      </c>
      <c r="K24" t="str">
        <f t="shared" si="0"/>
        <v>23 · Square D NF442L4C · 400 A · 42 esp.</v>
      </c>
    </row>
    <row r="25" spans="1:11" x14ac:dyDescent="0.45">
      <c r="A25">
        <v>24</v>
      </c>
      <c r="B25" t="s">
        <v>381</v>
      </c>
      <c r="C25" t="s">
        <v>971</v>
      </c>
      <c r="D25">
        <v>600</v>
      </c>
      <c r="E25">
        <v>600</v>
      </c>
      <c r="F25">
        <v>225</v>
      </c>
      <c r="G25">
        <v>30</v>
      </c>
      <c r="H25" t="s">
        <v>335</v>
      </c>
      <c r="I25" t="s">
        <v>336</v>
      </c>
      <c r="K25" t="str">
        <f t="shared" si="0"/>
        <v>24 · Square D NF430L6C · 600 A · 30 esp.</v>
      </c>
    </row>
    <row r="26" spans="1:11" x14ac:dyDescent="0.45">
      <c r="A26">
        <v>25</v>
      </c>
      <c r="B26" t="s">
        <v>382</v>
      </c>
      <c r="C26" t="s">
        <v>971</v>
      </c>
      <c r="D26">
        <v>600</v>
      </c>
      <c r="E26">
        <v>600</v>
      </c>
      <c r="F26">
        <v>225</v>
      </c>
      <c r="G26">
        <v>42</v>
      </c>
      <c r="H26" t="s">
        <v>335</v>
      </c>
      <c r="I26" t="s">
        <v>336</v>
      </c>
      <c r="K26" t="str">
        <f t="shared" si="0"/>
        <v>25 · Square D NF442L6C · 600 A · 42 esp.</v>
      </c>
    </row>
    <row r="27" spans="1:11" x14ac:dyDescent="0.45">
      <c r="A27">
        <v>26</v>
      </c>
      <c r="B27" t="s">
        <v>385</v>
      </c>
      <c r="C27" t="s">
        <v>971</v>
      </c>
      <c r="D27">
        <v>225</v>
      </c>
      <c r="E27">
        <v>225</v>
      </c>
      <c r="F27">
        <v>100</v>
      </c>
      <c r="G27">
        <v>6</v>
      </c>
      <c r="H27" t="s">
        <v>335</v>
      </c>
      <c r="I27" t="s">
        <v>336</v>
      </c>
      <c r="K27" t="str">
        <f t="shared" si="0"/>
        <v>26 · Square D HCM · 225 A · 6 esp.</v>
      </c>
    </row>
    <row r="28" spans="1:11" x14ac:dyDescent="0.45">
      <c r="A28">
        <v>27</v>
      </c>
      <c r="B28" t="s">
        <v>385</v>
      </c>
      <c r="C28" t="s">
        <v>971</v>
      </c>
      <c r="D28">
        <v>225</v>
      </c>
      <c r="E28">
        <v>225</v>
      </c>
      <c r="F28">
        <v>100</v>
      </c>
      <c r="G28">
        <v>10</v>
      </c>
      <c r="H28" t="s">
        <v>335</v>
      </c>
      <c r="I28" t="s">
        <v>336</v>
      </c>
      <c r="K28" t="str">
        <f t="shared" si="0"/>
        <v>27 · Square D HCM · 225 A · 10 esp.</v>
      </c>
    </row>
    <row r="29" spans="1:11" x14ac:dyDescent="0.45">
      <c r="A29">
        <v>28</v>
      </c>
      <c r="B29" t="s">
        <v>385</v>
      </c>
      <c r="C29" t="s">
        <v>971</v>
      </c>
      <c r="D29">
        <v>225</v>
      </c>
      <c r="E29">
        <v>225</v>
      </c>
      <c r="F29">
        <v>100</v>
      </c>
      <c r="G29">
        <v>14</v>
      </c>
      <c r="H29" t="s">
        <v>335</v>
      </c>
      <c r="I29" t="s">
        <v>336</v>
      </c>
      <c r="K29" t="str">
        <f t="shared" si="0"/>
        <v>28 · Square D HCM · 225 A · 14 esp.</v>
      </c>
    </row>
    <row r="30" spans="1:11" x14ac:dyDescent="0.45">
      <c r="A30">
        <v>29</v>
      </c>
      <c r="B30" t="s">
        <v>385</v>
      </c>
      <c r="C30" t="s">
        <v>971</v>
      </c>
      <c r="D30">
        <v>225</v>
      </c>
      <c r="E30">
        <v>225</v>
      </c>
      <c r="F30">
        <v>100</v>
      </c>
      <c r="G30">
        <v>22</v>
      </c>
      <c r="H30" t="s">
        <v>335</v>
      </c>
      <c r="I30" t="s">
        <v>336</v>
      </c>
      <c r="K30" t="str">
        <f t="shared" si="0"/>
        <v>29 · Square D HCM · 225 A · 22 esp.</v>
      </c>
    </row>
    <row r="31" spans="1:11" x14ac:dyDescent="0.45">
      <c r="A31">
        <v>30</v>
      </c>
      <c r="B31" t="s">
        <v>385</v>
      </c>
      <c r="C31" t="s">
        <v>971</v>
      </c>
      <c r="D31">
        <v>400</v>
      </c>
      <c r="E31">
        <v>400</v>
      </c>
      <c r="F31">
        <v>225</v>
      </c>
      <c r="G31">
        <v>6</v>
      </c>
      <c r="H31" t="s">
        <v>335</v>
      </c>
      <c r="I31" t="s">
        <v>336</v>
      </c>
      <c r="K31" t="str">
        <f t="shared" si="0"/>
        <v>30 · Square D HCM · 400 A · 6 esp.</v>
      </c>
    </row>
    <row r="32" spans="1:11" x14ac:dyDescent="0.45">
      <c r="A32">
        <v>31</v>
      </c>
      <c r="B32" t="s">
        <v>385</v>
      </c>
      <c r="C32" t="s">
        <v>971</v>
      </c>
      <c r="D32">
        <v>400</v>
      </c>
      <c r="E32">
        <v>400</v>
      </c>
      <c r="F32">
        <v>225</v>
      </c>
      <c r="G32">
        <v>10</v>
      </c>
      <c r="H32" t="s">
        <v>335</v>
      </c>
      <c r="I32" t="s">
        <v>336</v>
      </c>
      <c r="K32" t="str">
        <f t="shared" si="0"/>
        <v>31 · Square D HCM · 400 A · 10 esp.</v>
      </c>
    </row>
    <row r="33" spans="1:11" x14ac:dyDescent="0.45">
      <c r="A33">
        <v>32</v>
      </c>
      <c r="B33" t="s">
        <v>385</v>
      </c>
      <c r="C33" t="s">
        <v>971</v>
      </c>
      <c r="D33">
        <v>400</v>
      </c>
      <c r="E33">
        <v>400</v>
      </c>
      <c r="F33">
        <v>225</v>
      </c>
      <c r="G33">
        <v>14</v>
      </c>
      <c r="H33" t="s">
        <v>335</v>
      </c>
      <c r="I33" t="s">
        <v>336</v>
      </c>
      <c r="K33" t="str">
        <f t="shared" si="0"/>
        <v>32 · Square D HCM · 400 A · 14 esp.</v>
      </c>
    </row>
    <row r="34" spans="1:11" x14ac:dyDescent="0.45">
      <c r="A34">
        <v>33</v>
      </c>
      <c r="B34" t="s">
        <v>385</v>
      </c>
      <c r="C34" t="s">
        <v>971</v>
      </c>
      <c r="D34">
        <v>400</v>
      </c>
      <c r="E34">
        <v>400</v>
      </c>
      <c r="F34">
        <v>225</v>
      </c>
      <c r="G34">
        <v>22</v>
      </c>
      <c r="H34" t="s">
        <v>335</v>
      </c>
      <c r="I34" t="s">
        <v>336</v>
      </c>
      <c r="K34" t="str">
        <f t="shared" ref="K34:K65" si="1">A34&amp;" · "&amp;C34&amp;" "&amp;B34&amp;" · "&amp;D34&amp;" A · "&amp;G34&amp;" esp."</f>
        <v>33 · Square D HCM · 400 A · 22 esp.</v>
      </c>
    </row>
    <row r="35" spans="1:11" x14ac:dyDescent="0.45">
      <c r="A35">
        <v>34</v>
      </c>
      <c r="B35" t="s">
        <v>385</v>
      </c>
      <c r="C35" t="s">
        <v>971</v>
      </c>
      <c r="D35">
        <v>600</v>
      </c>
      <c r="E35">
        <v>600</v>
      </c>
      <c r="F35">
        <v>225</v>
      </c>
      <c r="G35">
        <v>6</v>
      </c>
      <c r="H35" t="s">
        <v>335</v>
      </c>
      <c r="I35" t="s">
        <v>336</v>
      </c>
      <c r="K35" t="str">
        <f t="shared" si="1"/>
        <v>34 · Square D HCM · 600 A · 6 esp.</v>
      </c>
    </row>
    <row r="36" spans="1:11" x14ac:dyDescent="0.45">
      <c r="A36">
        <v>35</v>
      </c>
      <c r="B36" t="s">
        <v>385</v>
      </c>
      <c r="C36" t="s">
        <v>971</v>
      </c>
      <c r="D36">
        <v>600</v>
      </c>
      <c r="E36">
        <v>600</v>
      </c>
      <c r="F36">
        <v>225</v>
      </c>
      <c r="G36">
        <v>10</v>
      </c>
      <c r="H36" t="s">
        <v>335</v>
      </c>
      <c r="I36" t="s">
        <v>336</v>
      </c>
      <c r="K36" t="str">
        <f t="shared" si="1"/>
        <v>35 · Square D HCM · 600 A · 10 esp.</v>
      </c>
    </row>
    <row r="37" spans="1:11" x14ac:dyDescent="0.45">
      <c r="A37">
        <v>36</v>
      </c>
      <c r="B37" t="s">
        <v>385</v>
      </c>
      <c r="C37" t="s">
        <v>971</v>
      </c>
      <c r="D37">
        <v>600</v>
      </c>
      <c r="E37">
        <v>600</v>
      </c>
      <c r="F37">
        <v>225</v>
      </c>
      <c r="G37">
        <v>14</v>
      </c>
      <c r="H37" t="s">
        <v>335</v>
      </c>
      <c r="I37" t="s">
        <v>336</v>
      </c>
      <c r="K37" t="str">
        <f t="shared" si="1"/>
        <v>36 · Square D HCM · 600 A · 14 esp.</v>
      </c>
    </row>
    <row r="38" spans="1:11" x14ac:dyDescent="0.45">
      <c r="A38">
        <v>37</v>
      </c>
      <c r="B38" t="s">
        <v>385</v>
      </c>
      <c r="C38" t="s">
        <v>971</v>
      </c>
      <c r="D38">
        <v>600</v>
      </c>
      <c r="E38">
        <v>600</v>
      </c>
      <c r="F38">
        <v>225</v>
      </c>
      <c r="G38">
        <v>22</v>
      </c>
      <c r="H38" t="s">
        <v>335</v>
      </c>
      <c r="I38" t="s">
        <v>336</v>
      </c>
      <c r="K38" t="str">
        <f t="shared" si="1"/>
        <v>37 · Square D HCM · 600 A · 22 esp.</v>
      </c>
    </row>
    <row r="39" spans="1:11" x14ac:dyDescent="0.45">
      <c r="A39">
        <v>38</v>
      </c>
      <c r="B39" t="s">
        <v>385</v>
      </c>
      <c r="C39" t="s">
        <v>971</v>
      </c>
      <c r="D39">
        <v>800</v>
      </c>
      <c r="E39">
        <v>800</v>
      </c>
      <c r="F39">
        <v>225</v>
      </c>
      <c r="G39">
        <v>6</v>
      </c>
      <c r="H39" t="s">
        <v>335</v>
      </c>
      <c r="I39" t="s">
        <v>336</v>
      </c>
      <c r="K39" t="str">
        <f t="shared" si="1"/>
        <v>38 · Square D HCM · 800 A · 6 esp.</v>
      </c>
    </row>
    <row r="40" spans="1:11" x14ac:dyDescent="0.45">
      <c r="A40">
        <v>39</v>
      </c>
      <c r="B40" t="s">
        <v>385</v>
      </c>
      <c r="C40" t="s">
        <v>971</v>
      </c>
      <c r="D40">
        <v>800</v>
      </c>
      <c r="E40">
        <v>800</v>
      </c>
      <c r="F40">
        <v>225</v>
      </c>
      <c r="G40">
        <v>10</v>
      </c>
      <c r="H40" t="s">
        <v>335</v>
      </c>
      <c r="I40" t="s">
        <v>336</v>
      </c>
      <c r="K40" t="str">
        <f t="shared" si="1"/>
        <v>39 · Square D HCM · 800 A · 10 esp.</v>
      </c>
    </row>
    <row r="41" spans="1:11" x14ac:dyDescent="0.45">
      <c r="A41">
        <v>40</v>
      </c>
      <c r="B41" t="s">
        <v>385</v>
      </c>
      <c r="C41" t="s">
        <v>971</v>
      </c>
      <c r="D41">
        <v>800</v>
      </c>
      <c r="E41">
        <v>800</v>
      </c>
      <c r="F41">
        <v>225</v>
      </c>
      <c r="G41">
        <v>14</v>
      </c>
      <c r="H41" t="s">
        <v>335</v>
      </c>
      <c r="I41" t="s">
        <v>336</v>
      </c>
      <c r="K41" t="str">
        <f t="shared" si="1"/>
        <v>40 · Square D HCM · 800 A · 14 esp.</v>
      </c>
    </row>
    <row r="42" spans="1:11" x14ac:dyDescent="0.45">
      <c r="A42">
        <v>41</v>
      </c>
      <c r="B42" t="s">
        <v>385</v>
      </c>
      <c r="C42" t="s">
        <v>971</v>
      </c>
      <c r="D42">
        <v>800</v>
      </c>
      <c r="E42">
        <v>800</v>
      </c>
      <c r="F42">
        <v>225</v>
      </c>
      <c r="G42">
        <v>22</v>
      </c>
      <c r="H42" t="s">
        <v>335</v>
      </c>
      <c r="I42" t="s">
        <v>336</v>
      </c>
      <c r="K42" t="str">
        <f t="shared" si="1"/>
        <v>41 · Square D HCM · 800 A · 22 esp.</v>
      </c>
    </row>
    <row r="43" spans="1:11" x14ac:dyDescent="0.45">
      <c r="A43">
        <v>42</v>
      </c>
      <c r="B43" t="s">
        <v>387</v>
      </c>
      <c r="C43" t="s">
        <v>971</v>
      </c>
      <c r="D43">
        <v>400</v>
      </c>
      <c r="E43">
        <v>400</v>
      </c>
      <c r="F43">
        <v>225</v>
      </c>
      <c r="G43">
        <v>6</v>
      </c>
      <c r="H43" t="s">
        <v>335</v>
      </c>
      <c r="I43" t="s">
        <v>336</v>
      </c>
      <c r="K43" t="str">
        <f t="shared" si="1"/>
        <v>42 · Square D HCP · 400 A · 6 esp.</v>
      </c>
    </row>
    <row r="44" spans="1:11" x14ac:dyDescent="0.45">
      <c r="A44">
        <v>43</v>
      </c>
      <c r="B44" t="s">
        <v>387</v>
      </c>
      <c r="C44" t="s">
        <v>971</v>
      </c>
      <c r="D44">
        <v>400</v>
      </c>
      <c r="E44">
        <v>400</v>
      </c>
      <c r="F44">
        <v>225</v>
      </c>
      <c r="G44">
        <v>10</v>
      </c>
      <c r="H44" t="s">
        <v>335</v>
      </c>
      <c r="I44" t="s">
        <v>336</v>
      </c>
      <c r="K44" t="str">
        <f t="shared" si="1"/>
        <v>43 · Square D HCP · 400 A · 10 esp.</v>
      </c>
    </row>
    <row r="45" spans="1:11" x14ac:dyDescent="0.45">
      <c r="A45">
        <v>44</v>
      </c>
      <c r="B45" t="s">
        <v>387</v>
      </c>
      <c r="C45" t="s">
        <v>971</v>
      </c>
      <c r="D45">
        <v>400</v>
      </c>
      <c r="E45">
        <v>400</v>
      </c>
      <c r="F45">
        <v>225</v>
      </c>
      <c r="G45">
        <v>14</v>
      </c>
      <c r="H45" t="s">
        <v>335</v>
      </c>
      <c r="I45" t="s">
        <v>336</v>
      </c>
      <c r="K45" t="str">
        <f t="shared" si="1"/>
        <v>44 · Square D HCP · 400 A · 14 esp.</v>
      </c>
    </row>
    <row r="46" spans="1:11" x14ac:dyDescent="0.45">
      <c r="A46">
        <v>45</v>
      </c>
      <c r="B46" t="s">
        <v>387</v>
      </c>
      <c r="C46" t="s">
        <v>971</v>
      </c>
      <c r="D46">
        <v>400</v>
      </c>
      <c r="E46">
        <v>400</v>
      </c>
      <c r="F46">
        <v>225</v>
      </c>
      <c r="G46">
        <v>22</v>
      </c>
      <c r="H46" t="s">
        <v>335</v>
      </c>
      <c r="I46" t="s">
        <v>336</v>
      </c>
      <c r="K46" t="str">
        <f t="shared" si="1"/>
        <v>45 · Square D HCP · 400 A · 22 esp.</v>
      </c>
    </row>
    <row r="47" spans="1:11" x14ac:dyDescent="0.45">
      <c r="A47">
        <v>46</v>
      </c>
      <c r="B47" t="s">
        <v>387</v>
      </c>
      <c r="C47" t="s">
        <v>971</v>
      </c>
      <c r="D47">
        <v>600</v>
      </c>
      <c r="E47">
        <v>600</v>
      </c>
      <c r="F47">
        <v>225</v>
      </c>
      <c r="G47">
        <v>6</v>
      </c>
      <c r="H47" t="s">
        <v>335</v>
      </c>
      <c r="I47" t="s">
        <v>336</v>
      </c>
      <c r="K47" t="str">
        <f t="shared" si="1"/>
        <v>46 · Square D HCP · 600 A · 6 esp.</v>
      </c>
    </row>
    <row r="48" spans="1:11" x14ac:dyDescent="0.45">
      <c r="A48">
        <v>47</v>
      </c>
      <c r="B48" t="s">
        <v>387</v>
      </c>
      <c r="C48" t="s">
        <v>971</v>
      </c>
      <c r="D48">
        <v>600</v>
      </c>
      <c r="E48">
        <v>600</v>
      </c>
      <c r="F48">
        <v>225</v>
      </c>
      <c r="G48">
        <v>10</v>
      </c>
      <c r="H48" t="s">
        <v>335</v>
      </c>
      <c r="I48" t="s">
        <v>336</v>
      </c>
      <c r="K48" t="str">
        <f t="shared" si="1"/>
        <v>47 · Square D HCP · 600 A · 10 esp.</v>
      </c>
    </row>
    <row r="49" spans="1:11" x14ac:dyDescent="0.45">
      <c r="A49">
        <v>48</v>
      </c>
      <c r="B49" t="s">
        <v>387</v>
      </c>
      <c r="C49" t="s">
        <v>971</v>
      </c>
      <c r="D49">
        <v>600</v>
      </c>
      <c r="E49">
        <v>600</v>
      </c>
      <c r="F49">
        <v>225</v>
      </c>
      <c r="G49">
        <v>14</v>
      </c>
      <c r="H49" t="s">
        <v>335</v>
      </c>
      <c r="I49" t="s">
        <v>336</v>
      </c>
      <c r="K49" t="str">
        <f t="shared" si="1"/>
        <v>48 · Square D HCP · 600 A · 14 esp.</v>
      </c>
    </row>
    <row r="50" spans="1:11" x14ac:dyDescent="0.45">
      <c r="A50">
        <v>49</v>
      </c>
      <c r="B50" t="s">
        <v>387</v>
      </c>
      <c r="C50" t="s">
        <v>971</v>
      </c>
      <c r="D50">
        <v>600</v>
      </c>
      <c r="E50">
        <v>600</v>
      </c>
      <c r="F50">
        <v>225</v>
      </c>
      <c r="G50">
        <v>22</v>
      </c>
      <c r="H50" t="s">
        <v>335</v>
      </c>
      <c r="I50" t="s">
        <v>336</v>
      </c>
      <c r="K50" t="str">
        <f t="shared" si="1"/>
        <v>49 · Square D HCP · 600 A · 22 esp.</v>
      </c>
    </row>
    <row r="51" spans="1:11" x14ac:dyDescent="0.45">
      <c r="A51">
        <v>50</v>
      </c>
      <c r="B51" t="s">
        <v>387</v>
      </c>
      <c r="C51" t="s">
        <v>971</v>
      </c>
      <c r="D51">
        <v>800</v>
      </c>
      <c r="E51">
        <v>800</v>
      </c>
      <c r="F51">
        <v>225</v>
      </c>
      <c r="G51">
        <v>6</v>
      </c>
      <c r="H51" t="s">
        <v>335</v>
      </c>
      <c r="I51" t="s">
        <v>336</v>
      </c>
      <c r="K51" t="str">
        <f t="shared" si="1"/>
        <v>50 · Square D HCP · 800 A · 6 esp.</v>
      </c>
    </row>
    <row r="52" spans="1:11" x14ac:dyDescent="0.45">
      <c r="A52">
        <v>51</v>
      </c>
      <c r="B52" t="s">
        <v>387</v>
      </c>
      <c r="C52" t="s">
        <v>971</v>
      </c>
      <c r="D52">
        <v>800</v>
      </c>
      <c r="E52">
        <v>800</v>
      </c>
      <c r="F52">
        <v>225</v>
      </c>
      <c r="G52">
        <v>10</v>
      </c>
      <c r="H52" t="s">
        <v>335</v>
      </c>
      <c r="I52" t="s">
        <v>336</v>
      </c>
      <c r="K52" t="str">
        <f t="shared" si="1"/>
        <v>51 · Square D HCP · 800 A · 10 esp.</v>
      </c>
    </row>
    <row r="53" spans="1:11" x14ac:dyDescent="0.45">
      <c r="A53">
        <v>52</v>
      </c>
      <c r="B53" t="s">
        <v>387</v>
      </c>
      <c r="C53" t="s">
        <v>971</v>
      </c>
      <c r="D53">
        <v>800</v>
      </c>
      <c r="E53">
        <v>800</v>
      </c>
      <c r="F53">
        <v>225</v>
      </c>
      <c r="G53">
        <v>14</v>
      </c>
      <c r="H53" t="s">
        <v>335</v>
      </c>
      <c r="I53" t="s">
        <v>336</v>
      </c>
      <c r="K53" t="str">
        <f t="shared" si="1"/>
        <v>52 · Square D HCP · 800 A · 14 esp.</v>
      </c>
    </row>
    <row r="54" spans="1:11" x14ac:dyDescent="0.45">
      <c r="A54">
        <v>53</v>
      </c>
      <c r="B54" t="s">
        <v>387</v>
      </c>
      <c r="C54" t="s">
        <v>971</v>
      </c>
      <c r="D54">
        <v>800</v>
      </c>
      <c r="E54">
        <v>800</v>
      </c>
      <c r="F54">
        <v>225</v>
      </c>
      <c r="G54">
        <v>22</v>
      </c>
      <c r="H54" t="s">
        <v>335</v>
      </c>
      <c r="I54" t="s">
        <v>336</v>
      </c>
      <c r="K54" t="str">
        <f t="shared" si="1"/>
        <v>53 · Square D HCP · 800 A · 22 esp.</v>
      </c>
    </row>
    <row r="55" spans="1:11" x14ac:dyDescent="0.45">
      <c r="A55">
        <v>54</v>
      </c>
      <c r="B55" t="s">
        <v>387</v>
      </c>
      <c r="C55" t="s">
        <v>971</v>
      </c>
      <c r="D55">
        <v>1200</v>
      </c>
      <c r="E55">
        <v>1200</v>
      </c>
      <c r="F55">
        <v>225</v>
      </c>
      <c r="G55">
        <v>6</v>
      </c>
      <c r="H55" t="s">
        <v>335</v>
      </c>
      <c r="I55" t="s">
        <v>336</v>
      </c>
      <c r="K55" t="str">
        <f t="shared" si="1"/>
        <v>54 · Square D HCP · 1200 A · 6 esp.</v>
      </c>
    </row>
    <row r="56" spans="1:11" x14ac:dyDescent="0.45">
      <c r="A56">
        <v>55</v>
      </c>
      <c r="B56" t="s">
        <v>387</v>
      </c>
      <c r="C56" t="s">
        <v>971</v>
      </c>
      <c r="D56">
        <v>1200</v>
      </c>
      <c r="E56">
        <v>1200</v>
      </c>
      <c r="F56">
        <v>225</v>
      </c>
      <c r="G56">
        <v>10</v>
      </c>
      <c r="H56" t="s">
        <v>335</v>
      </c>
      <c r="I56" t="s">
        <v>336</v>
      </c>
      <c r="K56" t="str">
        <f t="shared" si="1"/>
        <v>55 · Square D HCP · 1200 A · 10 esp.</v>
      </c>
    </row>
    <row r="57" spans="1:11" x14ac:dyDescent="0.45">
      <c r="A57">
        <v>56</v>
      </c>
      <c r="B57" t="s">
        <v>387</v>
      </c>
      <c r="C57" t="s">
        <v>971</v>
      </c>
      <c r="D57">
        <v>1200</v>
      </c>
      <c r="E57">
        <v>1200</v>
      </c>
      <c r="F57">
        <v>225</v>
      </c>
      <c r="G57">
        <v>14</v>
      </c>
      <c r="H57" t="s">
        <v>335</v>
      </c>
      <c r="I57" t="s">
        <v>336</v>
      </c>
      <c r="K57" t="str">
        <f t="shared" si="1"/>
        <v>56 · Square D HCP · 1200 A · 14 esp.</v>
      </c>
    </row>
    <row r="58" spans="1:11" x14ac:dyDescent="0.45">
      <c r="A58">
        <v>57</v>
      </c>
      <c r="B58" t="s">
        <v>387</v>
      </c>
      <c r="C58" t="s">
        <v>971</v>
      </c>
      <c r="D58">
        <v>1200</v>
      </c>
      <c r="E58">
        <v>1200</v>
      </c>
      <c r="F58">
        <v>225</v>
      </c>
      <c r="G58">
        <v>22</v>
      </c>
      <c r="H58" t="s">
        <v>335</v>
      </c>
      <c r="I58" t="s">
        <v>336</v>
      </c>
      <c r="K58" t="str">
        <f t="shared" si="1"/>
        <v>57 · Square D HCP · 1200 A · 22 esp.</v>
      </c>
    </row>
    <row r="59" spans="1:11" x14ac:dyDescent="0.45">
      <c r="A59">
        <v>58</v>
      </c>
      <c r="B59" t="s">
        <v>355</v>
      </c>
      <c r="C59" t="s">
        <v>971</v>
      </c>
      <c r="D59">
        <v>100</v>
      </c>
      <c r="E59">
        <v>100</v>
      </c>
      <c r="F59">
        <v>100</v>
      </c>
      <c r="G59">
        <v>18</v>
      </c>
      <c r="H59" t="s">
        <v>356</v>
      </c>
      <c r="I59" t="s">
        <v>336</v>
      </c>
      <c r="J59">
        <v>240</v>
      </c>
      <c r="K59" t="str">
        <f t="shared" si="1"/>
        <v>58 · Square D NQ18L1C · 100 A · 18 esp.</v>
      </c>
    </row>
    <row r="60" spans="1:11" x14ac:dyDescent="0.45">
      <c r="A60">
        <v>59</v>
      </c>
      <c r="B60" t="s">
        <v>357</v>
      </c>
      <c r="C60" t="s">
        <v>971</v>
      </c>
      <c r="D60">
        <v>100</v>
      </c>
      <c r="E60">
        <v>100</v>
      </c>
      <c r="F60">
        <v>100</v>
      </c>
      <c r="G60">
        <v>30</v>
      </c>
      <c r="H60" t="s">
        <v>356</v>
      </c>
      <c r="I60" t="s">
        <v>336</v>
      </c>
      <c r="J60">
        <v>240</v>
      </c>
      <c r="K60" t="str">
        <f t="shared" si="1"/>
        <v>59 · Square D NQ30L1C · 100 A · 30 esp.</v>
      </c>
    </row>
    <row r="61" spans="1:11" x14ac:dyDescent="0.45">
      <c r="A61">
        <v>60</v>
      </c>
      <c r="B61" t="s">
        <v>358</v>
      </c>
      <c r="C61" t="s">
        <v>971</v>
      </c>
      <c r="D61">
        <v>225</v>
      </c>
      <c r="E61">
        <v>225</v>
      </c>
      <c r="F61">
        <v>100</v>
      </c>
      <c r="G61">
        <v>30</v>
      </c>
      <c r="H61" t="s">
        <v>356</v>
      </c>
      <c r="I61" t="s">
        <v>336</v>
      </c>
      <c r="J61">
        <v>240</v>
      </c>
      <c r="K61" t="str">
        <f t="shared" si="1"/>
        <v>60 · Square D NQ30L2C · 225 A · 30 esp.</v>
      </c>
    </row>
    <row r="62" spans="1:11" x14ac:dyDescent="0.45">
      <c r="A62">
        <v>61</v>
      </c>
      <c r="B62" t="s">
        <v>359</v>
      </c>
      <c r="C62" t="s">
        <v>971</v>
      </c>
      <c r="D62">
        <v>225</v>
      </c>
      <c r="E62">
        <v>225</v>
      </c>
      <c r="F62">
        <v>100</v>
      </c>
      <c r="G62">
        <v>42</v>
      </c>
      <c r="H62" t="s">
        <v>335</v>
      </c>
      <c r="I62" t="s">
        <v>336</v>
      </c>
      <c r="J62">
        <v>240</v>
      </c>
      <c r="K62" t="str">
        <f t="shared" si="1"/>
        <v>61 · Square D NQ42L2C · 225 A · 42 esp.</v>
      </c>
    </row>
    <row r="63" spans="1:11" x14ac:dyDescent="0.45">
      <c r="A63">
        <v>62</v>
      </c>
      <c r="B63" t="s">
        <v>360</v>
      </c>
      <c r="C63" t="s">
        <v>971</v>
      </c>
      <c r="D63">
        <v>225</v>
      </c>
      <c r="E63">
        <v>225</v>
      </c>
      <c r="F63">
        <v>100</v>
      </c>
      <c r="G63">
        <v>72</v>
      </c>
      <c r="H63" t="s">
        <v>356</v>
      </c>
      <c r="I63" t="s">
        <v>336</v>
      </c>
      <c r="J63">
        <v>240</v>
      </c>
      <c r="K63" t="str">
        <f t="shared" si="1"/>
        <v>62 · Square D NQ72L2C · 225 A · 72 esp.</v>
      </c>
    </row>
    <row r="64" spans="1:11" x14ac:dyDescent="0.45">
      <c r="A64">
        <v>63</v>
      </c>
      <c r="B64" t="s">
        <v>361</v>
      </c>
      <c r="C64" t="s">
        <v>971</v>
      </c>
      <c r="D64">
        <v>225</v>
      </c>
      <c r="E64">
        <v>225</v>
      </c>
      <c r="F64">
        <v>100</v>
      </c>
      <c r="G64">
        <v>84</v>
      </c>
      <c r="H64" t="s">
        <v>356</v>
      </c>
      <c r="I64" t="s">
        <v>336</v>
      </c>
      <c r="J64">
        <v>240</v>
      </c>
      <c r="K64" t="str">
        <f t="shared" si="1"/>
        <v>63 · Square D NQ84L2C · 225 A · 84 esp.</v>
      </c>
    </row>
    <row r="65" spans="1:11" x14ac:dyDescent="0.45">
      <c r="A65">
        <v>64</v>
      </c>
      <c r="B65" t="s">
        <v>362</v>
      </c>
      <c r="C65" t="s">
        <v>971</v>
      </c>
      <c r="D65">
        <v>400</v>
      </c>
      <c r="E65">
        <v>400</v>
      </c>
      <c r="F65">
        <v>225</v>
      </c>
      <c r="G65">
        <v>30</v>
      </c>
      <c r="H65" t="s">
        <v>356</v>
      </c>
      <c r="I65" t="s">
        <v>336</v>
      </c>
      <c r="J65">
        <v>240</v>
      </c>
      <c r="K65" t="str">
        <f t="shared" si="1"/>
        <v>64 · Square D NQ30L4C · 400 A · 30 esp.</v>
      </c>
    </row>
    <row r="66" spans="1:11" x14ac:dyDescent="0.45">
      <c r="A66">
        <v>65</v>
      </c>
      <c r="B66" t="s">
        <v>363</v>
      </c>
      <c r="C66" t="s">
        <v>971</v>
      </c>
      <c r="D66">
        <v>400</v>
      </c>
      <c r="E66">
        <v>400</v>
      </c>
      <c r="F66">
        <v>225</v>
      </c>
      <c r="G66">
        <v>42</v>
      </c>
      <c r="H66" t="s">
        <v>335</v>
      </c>
      <c r="I66" t="s">
        <v>336</v>
      </c>
      <c r="J66">
        <v>240</v>
      </c>
      <c r="K66" t="str">
        <f t="shared" ref="K66:K97" si="2">A66&amp;" · "&amp;C66&amp;" "&amp;B66&amp;" · "&amp;D66&amp;" A · "&amp;G66&amp;" esp."</f>
        <v>65 · Square D NQ42L4C · 400 A · 42 esp.</v>
      </c>
    </row>
    <row r="67" spans="1:11" x14ac:dyDescent="0.45">
      <c r="A67">
        <v>66</v>
      </c>
      <c r="B67" t="s">
        <v>364</v>
      </c>
      <c r="C67" t="s">
        <v>971</v>
      </c>
      <c r="D67">
        <v>400</v>
      </c>
      <c r="E67">
        <v>400</v>
      </c>
      <c r="F67">
        <v>225</v>
      </c>
      <c r="G67">
        <v>54</v>
      </c>
      <c r="H67" t="s">
        <v>356</v>
      </c>
      <c r="I67" t="s">
        <v>336</v>
      </c>
      <c r="J67">
        <v>240</v>
      </c>
      <c r="K67" t="str">
        <f t="shared" si="2"/>
        <v>66 · Square D NQ54L4C · 400 A · 54 esp.</v>
      </c>
    </row>
    <row r="68" spans="1:11" x14ac:dyDescent="0.45">
      <c r="A68">
        <v>67</v>
      </c>
      <c r="B68" t="s">
        <v>365</v>
      </c>
      <c r="C68" t="s">
        <v>971</v>
      </c>
      <c r="D68">
        <v>400</v>
      </c>
      <c r="E68">
        <v>400</v>
      </c>
      <c r="F68">
        <v>225</v>
      </c>
      <c r="G68">
        <v>84</v>
      </c>
      <c r="H68" t="s">
        <v>356</v>
      </c>
      <c r="I68" t="s">
        <v>336</v>
      </c>
      <c r="J68">
        <v>240</v>
      </c>
      <c r="K68" t="str">
        <f t="shared" si="2"/>
        <v>67 · Square D NQ84L4C · 400 A · 84 esp.</v>
      </c>
    </row>
    <row r="69" spans="1:11" x14ac:dyDescent="0.45">
      <c r="A69">
        <v>68</v>
      </c>
      <c r="B69" t="s">
        <v>366</v>
      </c>
      <c r="C69" t="s">
        <v>971</v>
      </c>
      <c r="D69">
        <v>600</v>
      </c>
      <c r="E69">
        <v>600</v>
      </c>
      <c r="F69">
        <v>225</v>
      </c>
      <c r="G69">
        <v>30</v>
      </c>
      <c r="H69" t="s">
        <v>356</v>
      </c>
      <c r="I69" t="s">
        <v>336</v>
      </c>
      <c r="J69">
        <v>240</v>
      </c>
      <c r="K69" t="str">
        <f t="shared" si="2"/>
        <v>68 · Square D NQ30L6C · 600 A · 30 esp.</v>
      </c>
    </row>
    <row r="70" spans="1:11" x14ac:dyDescent="0.45">
      <c r="A70">
        <v>69</v>
      </c>
      <c r="B70" t="s">
        <v>367</v>
      </c>
      <c r="C70" t="s">
        <v>971</v>
      </c>
      <c r="D70">
        <v>600</v>
      </c>
      <c r="E70">
        <v>600</v>
      </c>
      <c r="F70">
        <v>225</v>
      </c>
      <c r="G70">
        <v>42</v>
      </c>
      <c r="H70" t="s">
        <v>335</v>
      </c>
      <c r="I70" t="s">
        <v>336</v>
      </c>
      <c r="J70">
        <v>240</v>
      </c>
      <c r="K70" t="str">
        <f t="shared" si="2"/>
        <v>69 · Square D NQ42L6C · 600 A · 42 esp.</v>
      </c>
    </row>
    <row r="71" spans="1:11" x14ac:dyDescent="0.45">
      <c r="A71">
        <v>70</v>
      </c>
      <c r="B71" t="s">
        <v>368</v>
      </c>
      <c r="C71" t="s">
        <v>971</v>
      </c>
      <c r="D71">
        <v>600</v>
      </c>
      <c r="E71">
        <v>600</v>
      </c>
      <c r="F71">
        <v>225</v>
      </c>
      <c r="G71">
        <v>54</v>
      </c>
      <c r="H71" t="s">
        <v>356</v>
      </c>
      <c r="I71" t="s">
        <v>336</v>
      </c>
      <c r="J71">
        <v>240</v>
      </c>
      <c r="K71" t="str">
        <f t="shared" si="2"/>
        <v>70 · Square D NQ54L6C · 600 A · 54 esp.</v>
      </c>
    </row>
    <row r="72" spans="1:11" x14ac:dyDescent="0.45">
      <c r="A72">
        <v>71</v>
      </c>
      <c r="B72" t="s">
        <v>369</v>
      </c>
      <c r="C72" t="s">
        <v>971</v>
      </c>
      <c r="D72">
        <v>600</v>
      </c>
      <c r="E72">
        <v>600</v>
      </c>
      <c r="F72">
        <v>225</v>
      </c>
      <c r="G72">
        <v>84</v>
      </c>
      <c r="H72" t="s">
        <v>356</v>
      </c>
      <c r="I72" t="s">
        <v>336</v>
      </c>
      <c r="J72">
        <v>240</v>
      </c>
      <c r="K72" t="str">
        <f t="shared" si="2"/>
        <v>71 · Square D NQ84L6C · 600 A · 84 esp.</v>
      </c>
    </row>
    <row r="73" spans="1:11" x14ac:dyDescent="0.45">
      <c r="A73">
        <v>72</v>
      </c>
      <c r="B73" t="s">
        <v>389</v>
      </c>
      <c r="C73" t="s">
        <v>971</v>
      </c>
      <c r="D73">
        <v>225</v>
      </c>
      <c r="E73">
        <v>225</v>
      </c>
      <c r="F73">
        <v>100</v>
      </c>
      <c r="G73">
        <v>6</v>
      </c>
      <c r="H73" t="s">
        <v>335</v>
      </c>
      <c r="I73" t="s">
        <v>336</v>
      </c>
      <c r="J73" t="s">
        <v>1047</v>
      </c>
      <c r="K73" t="str">
        <f t="shared" si="2"/>
        <v>72 · Square D I-Line · 225 A · 6 esp.</v>
      </c>
    </row>
    <row r="74" spans="1:11" x14ac:dyDescent="0.45">
      <c r="A74">
        <v>73</v>
      </c>
      <c r="B74" t="s">
        <v>389</v>
      </c>
      <c r="C74" t="s">
        <v>971</v>
      </c>
      <c r="D74">
        <v>225</v>
      </c>
      <c r="E74">
        <v>225</v>
      </c>
      <c r="F74">
        <v>100</v>
      </c>
      <c r="G74">
        <v>10</v>
      </c>
      <c r="H74" t="s">
        <v>335</v>
      </c>
      <c r="I74" t="s">
        <v>336</v>
      </c>
      <c r="J74" t="s">
        <v>1047</v>
      </c>
      <c r="K74" t="str">
        <f t="shared" si="2"/>
        <v>73 · Square D I-Line · 225 A · 10 esp.</v>
      </c>
    </row>
    <row r="75" spans="1:11" x14ac:dyDescent="0.45">
      <c r="A75">
        <v>74</v>
      </c>
      <c r="B75" t="s">
        <v>389</v>
      </c>
      <c r="C75" t="s">
        <v>971</v>
      </c>
      <c r="D75">
        <v>225</v>
      </c>
      <c r="E75">
        <v>225</v>
      </c>
      <c r="F75">
        <v>100</v>
      </c>
      <c r="G75">
        <v>14</v>
      </c>
      <c r="H75" t="s">
        <v>335</v>
      </c>
      <c r="I75" t="s">
        <v>336</v>
      </c>
      <c r="J75" t="s">
        <v>1047</v>
      </c>
      <c r="K75" t="str">
        <f t="shared" si="2"/>
        <v>74 · Square D I-Line · 225 A · 14 esp.</v>
      </c>
    </row>
    <row r="76" spans="1:11" x14ac:dyDescent="0.45">
      <c r="A76">
        <v>75</v>
      </c>
      <c r="B76" t="s">
        <v>389</v>
      </c>
      <c r="C76" t="s">
        <v>971</v>
      </c>
      <c r="D76">
        <v>225</v>
      </c>
      <c r="E76">
        <v>225</v>
      </c>
      <c r="F76">
        <v>100</v>
      </c>
      <c r="G76">
        <v>22</v>
      </c>
      <c r="H76" t="s">
        <v>335</v>
      </c>
      <c r="I76" t="s">
        <v>336</v>
      </c>
      <c r="J76" t="s">
        <v>1047</v>
      </c>
      <c r="K76" t="str">
        <f t="shared" si="2"/>
        <v>75 · Square D I-Line · 225 A · 22 esp.</v>
      </c>
    </row>
    <row r="77" spans="1:11" x14ac:dyDescent="0.45">
      <c r="A77">
        <v>76</v>
      </c>
      <c r="B77" t="s">
        <v>389</v>
      </c>
      <c r="C77" t="s">
        <v>971</v>
      </c>
      <c r="D77">
        <v>400</v>
      </c>
      <c r="E77">
        <v>400</v>
      </c>
      <c r="F77">
        <v>225</v>
      </c>
      <c r="G77">
        <v>6</v>
      </c>
      <c r="H77" t="s">
        <v>335</v>
      </c>
      <c r="I77" t="s">
        <v>336</v>
      </c>
      <c r="J77" t="s">
        <v>1047</v>
      </c>
      <c r="K77" t="str">
        <f t="shared" si="2"/>
        <v>76 · Square D I-Line · 400 A · 6 esp.</v>
      </c>
    </row>
    <row r="78" spans="1:11" x14ac:dyDescent="0.45">
      <c r="A78">
        <v>77</v>
      </c>
      <c r="B78" t="s">
        <v>389</v>
      </c>
      <c r="C78" t="s">
        <v>971</v>
      </c>
      <c r="D78">
        <v>400</v>
      </c>
      <c r="E78">
        <v>400</v>
      </c>
      <c r="F78">
        <v>225</v>
      </c>
      <c r="G78">
        <v>10</v>
      </c>
      <c r="H78" t="s">
        <v>335</v>
      </c>
      <c r="I78" t="s">
        <v>336</v>
      </c>
      <c r="J78" t="s">
        <v>1047</v>
      </c>
      <c r="K78" t="str">
        <f t="shared" si="2"/>
        <v>77 · Square D I-Line · 400 A · 10 esp.</v>
      </c>
    </row>
    <row r="79" spans="1:11" x14ac:dyDescent="0.45">
      <c r="A79">
        <v>78</v>
      </c>
      <c r="B79" t="s">
        <v>389</v>
      </c>
      <c r="C79" t="s">
        <v>971</v>
      </c>
      <c r="D79">
        <v>400</v>
      </c>
      <c r="E79">
        <v>400</v>
      </c>
      <c r="F79">
        <v>225</v>
      </c>
      <c r="G79">
        <v>14</v>
      </c>
      <c r="H79" t="s">
        <v>335</v>
      </c>
      <c r="I79" t="s">
        <v>336</v>
      </c>
      <c r="J79" t="s">
        <v>1047</v>
      </c>
      <c r="K79" t="str">
        <f t="shared" si="2"/>
        <v>78 · Square D I-Line · 400 A · 14 esp.</v>
      </c>
    </row>
    <row r="80" spans="1:11" x14ac:dyDescent="0.45">
      <c r="A80">
        <v>79</v>
      </c>
      <c r="B80" t="s">
        <v>389</v>
      </c>
      <c r="C80" t="s">
        <v>971</v>
      </c>
      <c r="D80">
        <v>400</v>
      </c>
      <c r="E80">
        <v>400</v>
      </c>
      <c r="F80">
        <v>225</v>
      </c>
      <c r="G80">
        <v>22</v>
      </c>
      <c r="H80" t="s">
        <v>335</v>
      </c>
      <c r="I80" t="s">
        <v>336</v>
      </c>
      <c r="J80" t="s">
        <v>1047</v>
      </c>
      <c r="K80" t="str">
        <f t="shared" si="2"/>
        <v>79 · Square D I-Line · 400 A · 22 esp.</v>
      </c>
    </row>
    <row r="81" spans="1:11" x14ac:dyDescent="0.45">
      <c r="A81">
        <v>80</v>
      </c>
      <c r="B81" t="s">
        <v>389</v>
      </c>
      <c r="C81" t="s">
        <v>971</v>
      </c>
      <c r="D81">
        <v>600</v>
      </c>
      <c r="E81">
        <v>600</v>
      </c>
      <c r="F81">
        <v>225</v>
      </c>
      <c r="G81">
        <v>6</v>
      </c>
      <c r="H81" t="s">
        <v>335</v>
      </c>
      <c r="I81" t="s">
        <v>336</v>
      </c>
      <c r="J81" t="s">
        <v>1047</v>
      </c>
      <c r="K81" t="str">
        <f t="shared" si="2"/>
        <v>80 · Square D I-Line · 600 A · 6 esp.</v>
      </c>
    </row>
    <row r="82" spans="1:11" x14ac:dyDescent="0.45">
      <c r="A82">
        <v>81</v>
      </c>
      <c r="B82" t="s">
        <v>389</v>
      </c>
      <c r="C82" t="s">
        <v>971</v>
      </c>
      <c r="D82">
        <v>600</v>
      </c>
      <c r="E82">
        <v>600</v>
      </c>
      <c r="F82">
        <v>225</v>
      </c>
      <c r="G82">
        <v>10</v>
      </c>
      <c r="H82" t="s">
        <v>335</v>
      </c>
      <c r="I82" t="s">
        <v>336</v>
      </c>
      <c r="J82" t="s">
        <v>1047</v>
      </c>
      <c r="K82" t="str">
        <f t="shared" si="2"/>
        <v>81 · Square D I-Line · 600 A · 10 esp.</v>
      </c>
    </row>
    <row r="83" spans="1:11" x14ac:dyDescent="0.45">
      <c r="A83">
        <v>82</v>
      </c>
      <c r="B83" t="s">
        <v>389</v>
      </c>
      <c r="C83" t="s">
        <v>971</v>
      </c>
      <c r="D83">
        <v>600</v>
      </c>
      <c r="E83">
        <v>600</v>
      </c>
      <c r="F83">
        <v>225</v>
      </c>
      <c r="G83">
        <v>14</v>
      </c>
      <c r="H83" t="s">
        <v>335</v>
      </c>
      <c r="I83" t="s">
        <v>336</v>
      </c>
      <c r="J83" t="s">
        <v>1047</v>
      </c>
      <c r="K83" t="str">
        <f t="shared" si="2"/>
        <v>82 · Square D I-Line · 600 A · 14 esp.</v>
      </c>
    </row>
    <row r="84" spans="1:11" x14ac:dyDescent="0.45">
      <c r="A84">
        <v>83</v>
      </c>
      <c r="B84" t="s">
        <v>389</v>
      </c>
      <c r="C84" t="s">
        <v>971</v>
      </c>
      <c r="D84">
        <v>600</v>
      </c>
      <c r="E84">
        <v>600</v>
      </c>
      <c r="F84">
        <v>225</v>
      </c>
      <c r="G84">
        <v>22</v>
      </c>
      <c r="H84" t="s">
        <v>335</v>
      </c>
      <c r="I84" t="s">
        <v>336</v>
      </c>
      <c r="J84" t="s">
        <v>1047</v>
      </c>
      <c r="K84" t="str">
        <f t="shared" si="2"/>
        <v>83 · Square D I-Line · 600 A · 22 esp.</v>
      </c>
    </row>
    <row r="85" spans="1:11" x14ac:dyDescent="0.45">
      <c r="A85">
        <v>84</v>
      </c>
      <c r="B85" t="s">
        <v>389</v>
      </c>
      <c r="C85" t="s">
        <v>971</v>
      </c>
      <c r="D85">
        <v>400</v>
      </c>
      <c r="E85">
        <v>400</v>
      </c>
      <c r="F85">
        <v>225</v>
      </c>
      <c r="G85">
        <v>6</v>
      </c>
      <c r="H85" t="s">
        <v>335</v>
      </c>
      <c r="I85" t="s">
        <v>336</v>
      </c>
      <c r="J85" t="s">
        <v>1047</v>
      </c>
      <c r="K85" t="str">
        <f t="shared" si="2"/>
        <v>84 · Square D I-Line · 400 A · 6 esp.</v>
      </c>
    </row>
    <row r="86" spans="1:11" x14ac:dyDescent="0.45">
      <c r="A86">
        <v>85</v>
      </c>
      <c r="B86" t="s">
        <v>389</v>
      </c>
      <c r="C86" t="s">
        <v>971</v>
      </c>
      <c r="D86">
        <v>400</v>
      </c>
      <c r="E86">
        <v>400</v>
      </c>
      <c r="F86">
        <v>225</v>
      </c>
      <c r="G86">
        <v>10</v>
      </c>
      <c r="H86" t="s">
        <v>335</v>
      </c>
      <c r="I86" t="s">
        <v>336</v>
      </c>
      <c r="J86" t="s">
        <v>1047</v>
      </c>
      <c r="K86" t="str">
        <f t="shared" si="2"/>
        <v>85 · Square D I-Line · 400 A · 10 esp.</v>
      </c>
    </row>
    <row r="87" spans="1:11" x14ac:dyDescent="0.45">
      <c r="A87">
        <v>86</v>
      </c>
      <c r="B87" t="s">
        <v>389</v>
      </c>
      <c r="C87" t="s">
        <v>971</v>
      </c>
      <c r="D87">
        <v>400</v>
      </c>
      <c r="E87">
        <v>400</v>
      </c>
      <c r="F87">
        <v>225</v>
      </c>
      <c r="G87">
        <v>14</v>
      </c>
      <c r="H87" t="s">
        <v>335</v>
      </c>
      <c r="I87" t="s">
        <v>336</v>
      </c>
      <c r="J87" t="s">
        <v>1047</v>
      </c>
      <c r="K87" t="str">
        <f t="shared" si="2"/>
        <v>86 · Square D I-Line · 400 A · 14 esp.</v>
      </c>
    </row>
    <row r="88" spans="1:11" x14ac:dyDescent="0.45">
      <c r="A88">
        <v>87</v>
      </c>
      <c r="B88" t="s">
        <v>389</v>
      </c>
      <c r="C88" t="s">
        <v>971</v>
      </c>
      <c r="D88">
        <v>400</v>
      </c>
      <c r="E88">
        <v>400</v>
      </c>
      <c r="F88">
        <v>225</v>
      </c>
      <c r="G88">
        <v>22</v>
      </c>
      <c r="H88" t="s">
        <v>335</v>
      </c>
      <c r="I88" t="s">
        <v>336</v>
      </c>
      <c r="J88" t="s">
        <v>1047</v>
      </c>
      <c r="K88" t="str">
        <f t="shared" si="2"/>
        <v>87 · Square D I-Line · 400 A · 22 esp.</v>
      </c>
    </row>
    <row r="89" spans="1:11" x14ac:dyDescent="0.45">
      <c r="A89">
        <v>88</v>
      </c>
      <c r="B89" t="s">
        <v>389</v>
      </c>
      <c r="C89" t="s">
        <v>971</v>
      </c>
      <c r="D89">
        <v>600</v>
      </c>
      <c r="E89">
        <v>600</v>
      </c>
      <c r="F89">
        <v>225</v>
      </c>
      <c r="G89">
        <v>6</v>
      </c>
      <c r="H89" t="s">
        <v>335</v>
      </c>
      <c r="I89" t="s">
        <v>336</v>
      </c>
      <c r="J89" t="s">
        <v>1047</v>
      </c>
      <c r="K89" t="str">
        <f t="shared" si="2"/>
        <v>88 · Square D I-Line · 600 A · 6 esp.</v>
      </c>
    </row>
    <row r="90" spans="1:11" x14ac:dyDescent="0.45">
      <c r="A90">
        <v>89</v>
      </c>
      <c r="B90" t="s">
        <v>389</v>
      </c>
      <c r="C90" t="s">
        <v>971</v>
      </c>
      <c r="D90">
        <v>600</v>
      </c>
      <c r="E90">
        <v>600</v>
      </c>
      <c r="F90">
        <v>225</v>
      </c>
      <c r="G90">
        <v>10</v>
      </c>
      <c r="H90" t="s">
        <v>335</v>
      </c>
      <c r="I90" t="s">
        <v>336</v>
      </c>
      <c r="J90" t="s">
        <v>1047</v>
      </c>
      <c r="K90" t="str">
        <f t="shared" si="2"/>
        <v>89 · Square D I-Line · 600 A · 10 esp.</v>
      </c>
    </row>
    <row r="91" spans="1:11" x14ac:dyDescent="0.45">
      <c r="A91">
        <v>90</v>
      </c>
      <c r="B91" t="s">
        <v>389</v>
      </c>
      <c r="C91" t="s">
        <v>971</v>
      </c>
      <c r="D91">
        <v>600</v>
      </c>
      <c r="E91">
        <v>600</v>
      </c>
      <c r="F91">
        <v>225</v>
      </c>
      <c r="G91">
        <v>14</v>
      </c>
      <c r="H91" t="s">
        <v>335</v>
      </c>
      <c r="I91" t="s">
        <v>336</v>
      </c>
      <c r="J91" t="s">
        <v>1047</v>
      </c>
      <c r="K91" t="str">
        <f t="shared" si="2"/>
        <v>90 · Square D I-Line · 600 A · 14 esp.</v>
      </c>
    </row>
    <row r="92" spans="1:11" x14ac:dyDescent="0.45">
      <c r="A92">
        <v>91</v>
      </c>
      <c r="B92" t="s">
        <v>389</v>
      </c>
      <c r="C92" t="s">
        <v>971</v>
      </c>
      <c r="D92">
        <v>600</v>
      </c>
      <c r="E92">
        <v>600</v>
      </c>
      <c r="F92">
        <v>225</v>
      </c>
      <c r="G92">
        <v>22</v>
      </c>
      <c r="H92" t="s">
        <v>335</v>
      </c>
      <c r="I92" t="s">
        <v>336</v>
      </c>
      <c r="J92" t="s">
        <v>1047</v>
      </c>
      <c r="K92" t="str">
        <f t="shared" si="2"/>
        <v>91 · Square D I-Line · 600 A · 22 esp.</v>
      </c>
    </row>
    <row r="93" spans="1:11" x14ac:dyDescent="0.45">
      <c r="A93">
        <v>92</v>
      </c>
      <c r="B93" t="s">
        <v>392</v>
      </c>
      <c r="C93" t="s">
        <v>23</v>
      </c>
      <c r="D93">
        <v>125</v>
      </c>
      <c r="E93">
        <v>125</v>
      </c>
      <c r="F93">
        <v>100</v>
      </c>
      <c r="G93">
        <v>24</v>
      </c>
      <c r="H93" t="s">
        <v>335</v>
      </c>
      <c r="I93" t="s">
        <v>393</v>
      </c>
      <c r="J93" t="s">
        <v>1048</v>
      </c>
      <c r="K93" t="str">
        <f t="shared" si="2"/>
        <v>92 · Eaton CH24L3125C · 125 A · 24 esp.</v>
      </c>
    </row>
    <row r="94" spans="1:11" x14ac:dyDescent="0.45">
      <c r="A94">
        <v>93</v>
      </c>
      <c r="B94" t="s">
        <v>407</v>
      </c>
      <c r="C94" t="s">
        <v>23</v>
      </c>
      <c r="D94">
        <v>100</v>
      </c>
      <c r="E94">
        <v>100</v>
      </c>
      <c r="F94">
        <v>100</v>
      </c>
      <c r="G94">
        <v>30</v>
      </c>
      <c r="H94" t="s">
        <v>408</v>
      </c>
      <c r="I94" t="s">
        <v>336</v>
      </c>
      <c r="J94">
        <v>240</v>
      </c>
      <c r="K94" t="str">
        <f t="shared" si="2"/>
        <v>93 · Eaton PRL1x · 100 A · 30 esp.</v>
      </c>
    </row>
    <row r="95" spans="1:11" x14ac:dyDescent="0.45">
      <c r="A95">
        <v>94</v>
      </c>
      <c r="B95" t="s">
        <v>407</v>
      </c>
      <c r="C95" t="s">
        <v>23</v>
      </c>
      <c r="D95">
        <v>100</v>
      </c>
      <c r="E95">
        <v>100</v>
      </c>
      <c r="F95">
        <v>100</v>
      </c>
      <c r="G95">
        <v>42</v>
      </c>
      <c r="H95" t="s">
        <v>408</v>
      </c>
      <c r="I95" t="s">
        <v>336</v>
      </c>
      <c r="J95">
        <v>240</v>
      </c>
      <c r="K95" t="str">
        <f t="shared" si="2"/>
        <v>94 · Eaton PRL1x · 100 A · 42 esp.</v>
      </c>
    </row>
    <row r="96" spans="1:11" x14ac:dyDescent="0.45">
      <c r="A96">
        <v>95</v>
      </c>
      <c r="B96" t="s">
        <v>394</v>
      </c>
      <c r="C96" t="s">
        <v>23</v>
      </c>
      <c r="D96">
        <v>225</v>
      </c>
      <c r="E96">
        <v>225</v>
      </c>
      <c r="F96">
        <v>100</v>
      </c>
      <c r="G96">
        <v>42</v>
      </c>
      <c r="H96" t="s">
        <v>335</v>
      </c>
      <c r="I96" t="s">
        <v>393</v>
      </c>
      <c r="J96" t="s">
        <v>1048</v>
      </c>
      <c r="K96" t="str">
        <f t="shared" si="2"/>
        <v>95 · Eaton CH42L3225G · 225 A · 42 esp.</v>
      </c>
    </row>
    <row r="97" spans="1:11" x14ac:dyDescent="0.45">
      <c r="A97">
        <v>96</v>
      </c>
      <c r="B97" t="s">
        <v>411</v>
      </c>
      <c r="C97" t="s">
        <v>23</v>
      </c>
      <c r="D97">
        <v>225</v>
      </c>
      <c r="E97">
        <v>225</v>
      </c>
      <c r="F97">
        <v>100</v>
      </c>
      <c r="G97">
        <v>42</v>
      </c>
      <c r="H97" t="s">
        <v>335</v>
      </c>
      <c r="I97" t="s">
        <v>336</v>
      </c>
      <c r="J97" t="s">
        <v>1047</v>
      </c>
      <c r="K97" t="str">
        <f t="shared" si="2"/>
        <v>96 · Eaton PRL2x · 225 A · 42 esp.</v>
      </c>
    </row>
    <row r="98" spans="1:11" x14ac:dyDescent="0.45">
      <c r="A98">
        <v>97</v>
      </c>
      <c r="B98" t="s">
        <v>411</v>
      </c>
      <c r="C98" t="s">
        <v>23</v>
      </c>
      <c r="D98">
        <v>225</v>
      </c>
      <c r="E98">
        <v>225</v>
      </c>
      <c r="F98">
        <v>100</v>
      </c>
      <c r="G98">
        <v>54</v>
      </c>
      <c r="H98" t="s">
        <v>335</v>
      </c>
      <c r="I98" t="s">
        <v>336</v>
      </c>
      <c r="J98" t="s">
        <v>1047</v>
      </c>
      <c r="K98" t="str">
        <f t="shared" ref="K98:K129" si="3">A98&amp;" · "&amp;C98&amp;" "&amp;B98&amp;" · "&amp;D98&amp;" A · "&amp;G98&amp;" esp."</f>
        <v>97 · Eaton PRL2x · 225 A · 54 esp.</v>
      </c>
    </row>
    <row r="99" spans="1:11" x14ac:dyDescent="0.45">
      <c r="A99">
        <v>98</v>
      </c>
      <c r="B99" t="s">
        <v>395</v>
      </c>
      <c r="C99" t="s">
        <v>23</v>
      </c>
      <c r="D99">
        <v>150</v>
      </c>
      <c r="E99">
        <v>150</v>
      </c>
      <c r="F99">
        <v>150</v>
      </c>
      <c r="G99">
        <v>30</v>
      </c>
      <c r="H99" t="s">
        <v>335</v>
      </c>
      <c r="I99" t="s">
        <v>397</v>
      </c>
      <c r="J99" t="s">
        <v>1049</v>
      </c>
      <c r="K99" t="str">
        <f t="shared" si="3"/>
        <v>98 · Eaton CH30B3150L · 150 A · 30 esp.</v>
      </c>
    </row>
    <row r="100" spans="1:11" x14ac:dyDescent="0.45">
      <c r="A100">
        <v>99</v>
      </c>
      <c r="B100" t="s">
        <v>414</v>
      </c>
      <c r="C100" t="s">
        <v>23</v>
      </c>
      <c r="D100">
        <v>400</v>
      </c>
      <c r="E100">
        <v>400</v>
      </c>
      <c r="F100">
        <v>225</v>
      </c>
      <c r="G100">
        <v>30</v>
      </c>
      <c r="H100" t="s">
        <v>335</v>
      </c>
      <c r="I100" t="s">
        <v>336</v>
      </c>
      <c r="J100" t="s">
        <v>1047</v>
      </c>
      <c r="K100" t="str">
        <f t="shared" si="3"/>
        <v>99 · Eaton PRL3x · 400 A · 30 esp.</v>
      </c>
    </row>
    <row r="101" spans="1:11" x14ac:dyDescent="0.45">
      <c r="A101">
        <v>100</v>
      </c>
      <c r="B101" t="s">
        <v>414</v>
      </c>
      <c r="C101" t="s">
        <v>23</v>
      </c>
      <c r="D101">
        <v>400</v>
      </c>
      <c r="E101">
        <v>400</v>
      </c>
      <c r="F101">
        <v>225</v>
      </c>
      <c r="G101">
        <v>42</v>
      </c>
      <c r="H101" t="s">
        <v>335</v>
      </c>
      <c r="I101" t="s">
        <v>336</v>
      </c>
      <c r="J101" t="s">
        <v>1047</v>
      </c>
      <c r="K101" t="str">
        <f t="shared" si="3"/>
        <v>100 · Eaton PRL3x · 400 A · 42 esp.</v>
      </c>
    </row>
    <row r="102" spans="1:11" x14ac:dyDescent="0.45">
      <c r="A102">
        <v>101</v>
      </c>
      <c r="B102" t="s">
        <v>414</v>
      </c>
      <c r="C102" t="s">
        <v>23</v>
      </c>
      <c r="D102">
        <v>400</v>
      </c>
      <c r="E102">
        <v>400</v>
      </c>
      <c r="F102">
        <v>225</v>
      </c>
      <c r="G102">
        <v>54</v>
      </c>
      <c r="H102" t="s">
        <v>335</v>
      </c>
      <c r="I102" t="s">
        <v>336</v>
      </c>
      <c r="J102" t="s">
        <v>1047</v>
      </c>
      <c r="K102" t="str">
        <f t="shared" si="3"/>
        <v>101 · Eaton PRL3x · 400 A · 54 esp.</v>
      </c>
    </row>
    <row r="103" spans="1:11" x14ac:dyDescent="0.45">
      <c r="A103">
        <v>102</v>
      </c>
      <c r="B103" t="s">
        <v>398</v>
      </c>
      <c r="C103" t="s">
        <v>23</v>
      </c>
      <c r="D103">
        <v>150</v>
      </c>
      <c r="E103">
        <v>150</v>
      </c>
      <c r="F103">
        <v>100</v>
      </c>
      <c r="G103">
        <v>30</v>
      </c>
      <c r="H103" t="s">
        <v>335</v>
      </c>
      <c r="I103" t="s">
        <v>393</v>
      </c>
      <c r="J103" t="s">
        <v>1048</v>
      </c>
      <c r="K103" t="str">
        <f t="shared" si="3"/>
        <v>102 · Eaton CH30L3150D · 150 A · 30 esp.</v>
      </c>
    </row>
    <row r="104" spans="1:11" x14ac:dyDescent="0.45">
      <c r="A104">
        <v>103</v>
      </c>
      <c r="B104" t="s">
        <v>400</v>
      </c>
      <c r="C104" t="s">
        <v>23</v>
      </c>
      <c r="D104">
        <v>225</v>
      </c>
      <c r="E104">
        <v>225</v>
      </c>
      <c r="F104">
        <v>100</v>
      </c>
      <c r="G104">
        <v>42</v>
      </c>
      <c r="H104" t="s">
        <v>335</v>
      </c>
      <c r="I104" t="s">
        <v>397</v>
      </c>
      <c r="J104" t="s">
        <v>1049</v>
      </c>
      <c r="K104" t="str">
        <f t="shared" si="3"/>
        <v>103 · Eaton CH42B3225L · 225 A · 42 esp.</v>
      </c>
    </row>
    <row r="105" spans="1:11" x14ac:dyDescent="0.45">
      <c r="A105">
        <v>104</v>
      </c>
      <c r="B105" t="s">
        <v>417</v>
      </c>
      <c r="C105" t="s">
        <v>23</v>
      </c>
      <c r="D105">
        <v>600</v>
      </c>
      <c r="E105">
        <v>600</v>
      </c>
      <c r="F105">
        <v>225</v>
      </c>
      <c r="G105">
        <v>30</v>
      </c>
      <c r="H105" t="s">
        <v>335</v>
      </c>
      <c r="I105" t="s">
        <v>336</v>
      </c>
      <c r="J105" t="s">
        <v>1047</v>
      </c>
      <c r="K105" t="str">
        <f t="shared" si="3"/>
        <v>104 · Eaton PRL4x · 600 A · 30 esp.</v>
      </c>
    </row>
    <row r="106" spans="1:11" x14ac:dyDescent="0.45">
      <c r="A106">
        <v>105</v>
      </c>
      <c r="B106" t="s">
        <v>400</v>
      </c>
      <c r="C106" t="s">
        <v>23</v>
      </c>
      <c r="D106">
        <v>225</v>
      </c>
      <c r="E106">
        <v>225</v>
      </c>
      <c r="F106">
        <v>100</v>
      </c>
      <c r="G106">
        <v>42</v>
      </c>
      <c r="H106" t="s">
        <v>335</v>
      </c>
      <c r="I106" t="s">
        <v>397</v>
      </c>
      <c r="J106" t="s">
        <v>1049</v>
      </c>
      <c r="K106" t="str">
        <f t="shared" si="3"/>
        <v>105 · Eaton CH42B3225L · 225 A · 42 esp.</v>
      </c>
    </row>
    <row r="107" spans="1:11" x14ac:dyDescent="0.45">
      <c r="A107">
        <v>106</v>
      </c>
      <c r="B107" t="s">
        <v>417</v>
      </c>
      <c r="C107" t="s">
        <v>23</v>
      </c>
      <c r="D107">
        <v>600</v>
      </c>
      <c r="E107">
        <v>600</v>
      </c>
      <c r="F107">
        <v>225</v>
      </c>
      <c r="G107">
        <v>54</v>
      </c>
      <c r="H107" t="s">
        <v>335</v>
      </c>
      <c r="I107" t="s">
        <v>336</v>
      </c>
      <c r="J107" t="s">
        <v>1047</v>
      </c>
      <c r="K107" t="str">
        <f t="shared" si="3"/>
        <v>106 · Eaton PRL4x · 600 A · 54 esp.</v>
      </c>
    </row>
    <row r="108" spans="1:11" x14ac:dyDescent="0.45">
      <c r="A108">
        <v>107</v>
      </c>
      <c r="B108" t="s">
        <v>417</v>
      </c>
      <c r="C108" t="s">
        <v>23</v>
      </c>
      <c r="D108">
        <v>1200</v>
      </c>
      <c r="E108">
        <v>1200</v>
      </c>
      <c r="F108">
        <v>225</v>
      </c>
      <c r="G108">
        <v>54</v>
      </c>
      <c r="H108" t="s">
        <v>335</v>
      </c>
      <c r="I108" t="s">
        <v>336</v>
      </c>
      <c r="J108" t="s">
        <v>1047</v>
      </c>
      <c r="K108" t="str">
        <f t="shared" si="3"/>
        <v>107 · Eaton PRL4x · 1200 A · 54 esp.</v>
      </c>
    </row>
    <row r="109" spans="1:11" x14ac:dyDescent="0.45">
      <c r="A109">
        <v>108</v>
      </c>
      <c r="B109" t="s">
        <v>407</v>
      </c>
      <c r="C109" t="s">
        <v>23</v>
      </c>
      <c r="D109">
        <v>100</v>
      </c>
      <c r="E109">
        <v>100</v>
      </c>
      <c r="F109">
        <v>100</v>
      </c>
      <c r="G109">
        <v>18</v>
      </c>
      <c r="H109" t="s">
        <v>408</v>
      </c>
      <c r="I109" t="s">
        <v>336</v>
      </c>
      <c r="K109" t="str">
        <f t="shared" si="3"/>
        <v>108 · Eaton PRL1x · 100 A · 18 esp.</v>
      </c>
    </row>
    <row r="110" spans="1:11" x14ac:dyDescent="0.45">
      <c r="A110">
        <v>109</v>
      </c>
      <c r="B110" t="s">
        <v>407</v>
      </c>
      <c r="C110" t="s">
        <v>23</v>
      </c>
      <c r="D110">
        <v>100</v>
      </c>
      <c r="E110">
        <v>100</v>
      </c>
      <c r="F110">
        <v>100</v>
      </c>
      <c r="G110">
        <v>30</v>
      </c>
      <c r="H110" t="s">
        <v>408</v>
      </c>
      <c r="I110" t="s">
        <v>336</v>
      </c>
      <c r="K110" t="str">
        <f t="shared" si="3"/>
        <v>109 · Eaton PRL1x · 100 A · 30 esp.</v>
      </c>
    </row>
    <row r="111" spans="1:11" x14ac:dyDescent="0.45">
      <c r="A111">
        <v>110</v>
      </c>
      <c r="B111" t="s">
        <v>407</v>
      </c>
      <c r="C111" t="s">
        <v>23</v>
      </c>
      <c r="D111">
        <v>100</v>
      </c>
      <c r="E111">
        <v>100</v>
      </c>
      <c r="F111">
        <v>100</v>
      </c>
      <c r="G111">
        <v>42</v>
      </c>
      <c r="H111" t="s">
        <v>408</v>
      </c>
      <c r="I111" t="s">
        <v>336</v>
      </c>
      <c r="K111" t="str">
        <f t="shared" si="3"/>
        <v>110 · Eaton PRL1x · 100 A · 42 esp.</v>
      </c>
    </row>
    <row r="112" spans="1:11" x14ac:dyDescent="0.45">
      <c r="A112">
        <v>111</v>
      </c>
      <c r="B112" t="s">
        <v>411</v>
      </c>
      <c r="C112" t="s">
        <v>23</v>
      </c>
      <c r="D112">
        <v>225</v>
      </c>
      <c r="E112">
        <v>225</v>
      </c>
      <c r="F112">
        <v>100</v>
      </c>
      <c r="G112">
        <v>30</v>
      </c>
      <c r="H112" t="s">
        <v>335</v>
      </c>
      <c r="I112" t="s">
        <v>336</v>
      </c>
      <c r="K112" t="str">
        <f t="shared" si="3"/>
        <v>111 · Eaton PRL2x · 225 A · 30 esp.</v>
      </c>
    </row>
    <row r="113" spans="1:11" x14ac:dyDescent="0.45">
      <c r="A113">
        <v>112</v>
      </c>
      <c r="B113" t="s">
        <v>411</v>
      </c>
      <c r="C113" t="s">
        <v>23</v>
      </c>
      <c r="D113">
        <v>225</v>
      </c>
      <c r="E113">
        <v>225</v>
      </c>
      <c r="F113">
        <v>100</v>
      </c>
      <c r="G113">
        <v>42</v>
      </c>
      <c r="H113" t="s">
        <v>335</v>
      </c>
      <c r="I113" t="s">
        <v>336</v>
      </c>
      <c r="K113" t="str">
        <f t="shared" si="3"/>
        <v>112 · Eaton PRL2x · 225 A · 42 esp.</v>
      </c>
    </row>
    <row r="114" spans="1:11" x14ac:dyDescent="0.45">
      <c r="A114">
        <v>113</v>
      </c>
      <c r="B114" t="s">
        <v>411</v>
      </c>
      <c r="C114" t="s">
        <v>23</v>
      </c>
      <c r="D114">
        <v>225</v>
      </c>
      <c r="E114">
        <v>225</v>
      </c>
      <c r="F114">
        <v>100</v>
      </c>
      <c r="G114">
        <v>54</v>
      </c>
      <c r="H114" t="s">
        <v>335</v>
      </c>
      <c r="I114" t="s">
        <v>336</v>
      </c>
      <c r="K114" t="str">
        <f t="shared" si="3"/>
        <v>113 · Eaton PRL2x · 225 A · 54 esp.</v>
      </c>
    </row>
    <row r="115" spans="1:11" x14ac:dyDescent="0.45">
      <c r="A115">
        <v>114</v>
      </c>
      <c r="B115" t="s">
        <v>401</v>
      </c>
      <c r="C115" t="s">
        <v>23</v>
      </c>
      <c r="D115">
        <v>200</v>
      </c>
      <c r="E115">
        <v>200</v>
      </c>
      <c r="F115">
        <v>100</v>
      </c>
      <c r="G115">
        <v>42</v>
      </c>
      <c r="H115" t="s">
        <v>356</v>
      </c>
      <c r="I115" t="s">
        <v>336</v>
      </c>
      <c r="J115" t="s">
        <v>1050</v>
      </c>
      <c r="K115" t="str">
        <f t="shared" si="3"/>
        <v>114 · Eaton CHSUR42B200L2 · 200 A · 42 esp.</v>
      </c>
    </row>
    <row r="116" spans="1:11" x14ac:dyDescent="0.45">
      <c r="A116">
        <v>115</v>
      </c>
      <c r="B116" t="s">
        <v>414</v>
      </c>
      <c r="C116" t="s">
        <v>23</v>
      </c>
      <c r="D116">
        <v>400</v>
      </c>
      <c r="E116">
        <v>400</v>
      </c>
      <c r="F116">
        <v>225</v>
      </c>
      <c r="G116">
        <v>30</v>
      </c>
      <c r="H116" t="s">
        <v>335</v>
      </c>
      <c r="I116" t="s">
        <v>336</v>
      </c>
      <c r="K116" t="str">
        <f t="shared" si="3"/>
        <v>115 · Eaton PRL3x · 400 A · 30 esp.</v>
      </c>
    </row>
    <row r="117" spans="1:11" x14ac:dyDescent="0.45">
      <c r="A117">
        <v>116</v>
      </c>
      <c r="B117" t="s">
        <v>414</v>
      </c>
      <c r="C117" t="s">
        <v>23</v>
      </c>
      <c r="D117">
        <v>400</v>
      </c>
      <c r="E117">
        <v>400</v>
      </c>
      <c r="F117">
        <v>225</v>
      </c>
      <c r="G117">
        <v>42</v>
      </c>
      <c r="H117" t="s">
        <v>335</v>
      </c>
      <c r="I117" t="s">
        <v>336</v>
      </c>
      <c r="K117" t="str">
        <f t="shared" si="3"/>
        <v>116 · Eaton PRL3x · 400 A · 42 esp.</v>
      </c>
    </row>
    <row r="118" spans="1:11" x14ac:dyDescent="0.45">
      <c r="A118">
        <v>117</v>
      </c>
      <c r="B118" t="s">
        <v>414</v>
      </c>
      <c r="C118" t="s">
        <v>23</v>
      </c>
      <c r="D118">
        <v>400</v>
      </c>
      <c r="E118">
        <v>400</v>
      </c>
      <c r="F118">
        <v>225</v>
      </c>
      <c r="G118">
        <v>54</v>
      </c>
      <c r="H118" t="s">
        <v>335</v>
      </c>
      <c r="I118" t="s">
        <v>336</v>
      </c>
      <c r="K118" t="str">
        <f t="shared" si="3"/>
        <v>117 · Eaton PRL3x · 400 A · 54 esp.</v>
      </c>
    </row>
    <row r="119" spans="1:11" x14ac:dyDescent="0.45">
      <c r="A119">
        <v>118</v>
      </c>
      <c r="B119" t="s">
        <v>403</v>
      </c>
      <c r="C119" t="s">
        <v>23</v>
      </c>
      <c r="D119">
        <v>100</v>
      </c>
      <c r="E119">
        <v>100</v>
      </c>
      <c r="F119">
        <v>100</v>
      </c>
      <c r="G119">
        <v>22</v>
      </c>
      <c r="H119" t="s">
        <v>356</v>
      </c>
      <c r="I119" t="s">
        <v>393</v>
      </c>
      <c r="J119" t="s">
        <v>1048</v>
      </c>
      <c r="K119" t="str">
        <f t="shared" si="3"/>
        <v>118 · Eaton CHP22N125X2P · 100 A · 22 esp.</v>
      </c>
    </row>
    <row r="120" spans="1:11" x14ac:dyDescent="0.45">
      <c r="A120">
        <v>119</v>
      </c>
      <c r="B120" t="s">
        <v>404</v>
      </c>
      <c r="C120" t="s">
        <v>23</v>
      </c>
      <c r="D120">
        <v>225</v>
      </c>
      <c r="E120">
        <v>225</v>
      </c>
      <c r="F120">
        <v>100</v>
      </c>
      <c r="G120">
        <v>32</v>
      </c>
      <c r="H120" t="s">
        <v>335</v>
      </c>
      <c r="I120" t="s">
        <v>393</v>
      </c>
      <c r="J120" t="s">
        <v>1048</v>
      </c>
      <c r="K120" t="str">
        <f t="shared" si="3"/>
        <v>119 · Eaton CHP32N225X6P · 225 A · 32 esp.</v>
      </c>
    </row>
    <row r="121" spans="1:11" x14ac:dyDescent="0.45">
      <c r="A121">
        <v>120</v>
      </c>
      <c r="B121" t="s">
        <v>417</v>
      </c>
      <c r="C121" t="s">
        <v>23</v>
      </c>
      <c r="D121">
        <v>600</v>
      </c>
      <c r="E121">
        <v>600</v>
      </c>
      <c r="F121">
        <v>225</v>
      </c>
      <c r="G121">
        <v>30</v>
      </c>
      <c r="H121" t="s">
        <v>335</v>
      </c>
      <c r="I121" t="s">
        <v>336</v>
      </c>
      <c r="K121" t="str">
        <f t="shared" si="3"/>
        <v>120 · Eaton PRL4x · 600 A · 30 esp.</v>
      </c>
    </row>
    <row r="122" spans="1:11" x14ac:dyDescent="0.45">
      <c r="A122">
        <v>121</v>
      </c>
      <c r="B122" t="s">
        <v>417</v>
      </c>
      <c r="C122" t="s">
        <v>23</v>
      </c>
      <c r="D122">
        <v>600</v>
      </c>
      <c r="E122">
        <v>600</v>
      </c>
      <c r="F122">
        <v>225</v>
      </c>
      <c r="G122">
        <v>42</v>
      </c>
      <c r="H122" t="s">
        <v>335</v>
      </c>
      <c r="I122" t="s">
        <v>336</v>
      </c>
      <c r="K122" t="str">
        <f t="shared" si="3"/>
        <v>121 · Eaton PRL4x · 600 A · 42 esp.</v>
      </c>
    </row>
    <row r="123" spans="1:11" x14ac:dyDescent="0.45">
      <c r="A123">
        <v>122</v>
      </c>
      <c r="B123" t="s">
        <v>417</v>
      </c>
      <c r="C123" t="s">
        <v>23</v>
      </c>
      <c r="D123">
        <v>600</v>
      </c>
      <c r="E123">
        <v>600</v>
      </c>
      <c r="F123">
        <v>225</v>
      </c>
      <c r="G123">
        <v>54</v>
      </c>
      <c r="H123" t="s">
        <v>335</v>
      </c>
      <c r="I123" t="s">
        <v>336</v>
      </c>
      <c r="K123" t="str">
        <f t="shared" si="3"/>
        <v>122 · Eaton PRL4x · 600 A · 54 esp.</v>
      </c>
    </row>
    <row r="124" spans="1:11" x14ac:dyDescent="0.45">
      <c r="A124">
        <v>123</v>
      </c>
      <c r="B124" t="s">
        <v>417</v>
      </c>
      <c r="C124" t="s">
        <v>23</v>
      </c>
      <c r="D124">
        <v>600</v>
      </c>
      <c r="E124">
        <v>600</v>
      </c>
      <c r="F124">
        <v>225</v>
      </c>
      <c r="G124">
        <v>84</v>
      </c>
      <c r="H124" t="s">
        <v>335</v>
      </c>
      <c r="I124" t="s">
        <v>336</v>
      </c>
      <c r="K124" t="str">
        <f t="shared" si="3"/>
        <v>123 · Eaton PRL4x · 600 A · 84 esp.</v>
      </c>
    </row>
    <row r="125" spans="1:11" x14ac:dyDescent="0.45">
      <c r="A125">
        <v>124</v>
      </c>
      <c r="B125" t="s">
        <v>420</v>
      </c>
      <c r="C125" t="s">
        <v>971</v>
      </c>
      <c r="D125">
        <v>800</v>
      </c>
      <c r="E125">
        <v>800</v>
      </c>
      <c r="F125">
        <v>200</v>
      </c>
      <c r="G125">
        <v>999</v>
      </c>
      <c r="H125" t="s">
        <v>335</v>
      </c>
      <c r="I125" t="s">
        <v>336</v>
      </c>
      <c r="J125" t="s">
        <v>1051</v>
      </c>
      <c r="K125" t="str">
        <f t="shared" si="3"/>
        <v>124 · Square D QED-2 · 800 A · 999 esp.</v>
      </c>
    </row>
    <row r="126" spans="1:11" x14ac:dyDescent="0.45">
      <c r="A126">
        <v>125</v>
      </c>
      <c r="B126" t="s">
        <v>420</v>
      </c>
      <c r="C126" t="s">
        <v>971</v>
      </c>
      <c r="D126">
        <v>1200</v>
      </c>
      <c r="E126">
        <v>1200</v>
      </c>
      <c r="F126">
        <v>300</v>
      </c>
      <c r="G126">
        <v>999</v>
      </c>
      <c r="H126" t="s">
        <v>335</v>
      </c>
      <c r="I126" t="s">
        <v>336</v>
      </c>
      <c r="J126" t="s">
        <v>1051</v>
      </c>
      <c r="K126" t="str">
        <f t="shared" si="3"/>
        <v>125 · Square D QED-2 · 1200 A · 999 esp.</v>
      </c>
    </row>
    <row r="127" spans="1:11" x14ac:dyDescent="0.45">
      <c r="A127">
        <v>126</v>
      </c>
      <c r="B127" t="s">
        <v>420</v>
      </c>
      <c r="C127" t="s">
        <v>971</v>
      </c>
      <c r="D127">
        <v>1600</v>
      </c>
      <c r="E127">
        <v>1600</v>
      </c>
      <c r="F127">
        <v>400</v>
      </c>
      <c r="G127">
        <v>999</v>
      </c>
      <c r="H127" t="s">
        <v>335</v>
      </c>
      <c r="I127" t="s">
        <v>336</v>
      </c>
      <c r="J127" t="s">
        <v>1051</v>
      </c>
      <c r="K127" t="str">
        <f t="shared" si="3"/>
        <v>126 · Square D QED-2 · 1600 A · 999 esp.</v>
      </c>
    </row>
    <row r="128" spans="1:11" x14ac:dyDescent="0.45">
      <c r="A128">
        <v>127</v>
      </c>
      <c r="B128" t="s">
        <v>420</v>
      </c>
      <c r="C128" t="s">
        <v>971</v>
      </c>
      <c r="D128">
        <v>2000</v>
      </c>
      <c r="E128">
        <v>2000</v>
      </c>
      <c r="F128">
        <v>500</v>
      </c>
      <c r="G128">
        <v>999</v>
      </c>
      <c r="H128" t="s">
        <v>335</v>
      </c>
      <c r="I128" t="s">
        <v>336</v>
      </c>
      <c r="J128" t="s">
        <v>1051</v>
      </c>
      <c r="K128" t="str">
        <f t="shared" si="3"/>
        <v>127 · Square D QED-2 · 2000 A · 999 esp.</v>
      </c>
    </row>
    <row r="129" spans="1:11" x14ac:dyDescent="0.45">
      <c r="A129">
        <v>128</v>
      </c>
      <c r="B129" t="s">
        <v>420</v>
      </c>
      <c r="C129" t="s">
        <v>971</v>
      </c>
      <c r="D129">
        <v>2500</v>
      </c>
      <c r="E129">
        <v>2500</v>
      </c>
      <c r="F129">
        <v>625</v>
      </c>
      <c r="G129">
        <v>999</v>
      </c>
      <c r="H129" t="s">
        <v>335</v>
      </c>
      <c r="I129" t="s">
        <v>336</v>
      </c>
      <c r="J129" t="s">
        <v>1051</v>
      </c>
      <c r="K129" t="str">
        <f t="shared" si="3"/>
        <v>128 · Square D QED-2 · 2500 A · 999 esp.</v>
      </c>
    </row>
    <row r="130" spans="1:11" x14ac:dyDescent="0.45">
      <c r="A130">
        <v>129</v>
      </c>
      <c r="B130" t="s">
        <v>420</v>
      </c>
      <c r="C130" t="s">
        <v>971</v>
      </c>
      <c r="D130">
        <v>3000</v>
      </c>
      <c r="E130">
        <v>3000</v>
      </c>
      <c r="F130">
        <v>750</v>
      </c>
      <c r="G130">
        <v>999</v>
      </c>
      <c r="H130" t="s">
        <v>335</v>
      </c>
      <c r="I130" t="s">
        <v>336</v>
      </c>
      <c r="J130" t="s">
        <v>1051</v>
      </c>
      <c r="K130" t="str">
        <f t="shared" ref="K130:K138" si="4">A130&amp;" · "&amp;C130&amp;" "&amp;B130&amp;" · "&amp;D130&amp;" A · "&amp;G130&amp;" esp."</f>
        <v>129 · Square D QED-2 · 3000 A · 999 esp.</v>
      </c>
    </row>
    <row r="131" spans="1:11" x14ac:dyDescent="0.45">
      <c r="A131">
        <v>130</v>
      </c>
      <c r="B131" t="s">
        <v>420</v>
      </c>
      <c r="C131" t="s">
        <v>971</v>
      </c>
      <c r="D131">
        <v>4000</v>
      </c>
      <c r="E131">
        <v>4000</v>
      </c>
      <c r="F131">
        <v>1000</v>
      </c>
      <c r="G131">
        <v>999</v>
      </c>
      <c r="H131" t="s">
        <v>335</v>
      </c>
      <c r="I131" t="s">
        <v>336</v>
      </c>
      <c r="J131" t="s">
        <v>1051</v>
      </c>
      <c r="K131" t="str">
        <f t="shared" si="4"/>
        <v>130 · Square D QED-2 · 4000 A · 999 esp.</v>
      </c>
    </row>
    <row r="132" spans="1:11" x14ac:dyDescent="0.45">
      <c r="A132">
        <v>131</v>
      </c>
      <c r="B132" t="s">
        <v>431</v>
      </c>
      <c r="C132" t="s">
        <v>23</v>
      </c>
      <c r="D132">
        <v>800</v>
      </c>
      <c r="E132">
        <v>800</v>
      </c>
      <c r="F132">
        <v>200</v>
      </c>
      <c r="G132">
        <v>999</v>
      </c>
      <c r="H132" t="s">
        <v>335</v>
      </c>
      <c r="I132" t="s">
        <v>336</v>
      </c>
      <c r="J132" t="s">
        <v>1051</v>
      </c>
      <c r="K132" t="str">
        <f t="shared" si="4"/>
        <v>131 · Eaton PRLX · 800 A · 999 esp.</v>
      </c>
    </row>
    <row r="133" spans="1:11" x14ac:dyDescent="0.45">
      <c r="A133">
        <v>132</v>
      </c>
      <c r="B133" t="s">
        <v>431</v>
      </c>
      <c r="C133" t="s">
        <v>23</v>
      </c>
      <c r="D133">
        <v>1200</v>
      </c>
      <c r="E133">
        <v>1200</v>
      </c>
      <c r="F133">
        <v>300</v>
      </c>
      <c r="G133">
        <v>999</v>
      </c>
      <c r="H133" t="s">
        <v>335</v>
      </c>
      <c r="I133" t="s">
        <v>336</v>
      </c>
      <c r="J133" t="s">
        <v>1051</v>
      </c>
      <c r="K133" t="str">
        <f t="shared" si="4"/>
        <v>132 · Eaton PRLX · 1200 A · 999 esp.</v>
      </c>
    </row>
    <row r="134" spans="1:11" x14ac:dyDescent="0.45">
      <c r="A134">
        <v>133</v>
      </c>
      <c r="B134" t="s">
        <v>431</v>
      </c>
      <c r="C134" t="s">
        <v>23</v>
      </c>
      <c r="D134">
        <v>1600</v>
      </c>
      <c r="E134">
        <v>1600</v>
      </c>
      <c r="F134">
        <v>400</v>
      </c>
      <c r="G134">
        <v>999</v>
      </c>
      <c r="H134" t="s">
        <v>335</v>
      </c>
      <c r="I134" t="s">
        <v>336</v>
      </c>
      <c r="J134" t="s">
        <v>1051</v>
      </c>
      <c r="K134" t="str">
        <f t="shared" si="4"/>
        <v>133 · Eaton PRLX · 1600 A · 999 esp.</v>
      </c>
    </row>
    <row r="135" spans="1:11" x14ac:dyDescent="0.45">
      <c r="A135">
        <v>134</v>
      </c>
      <c r="B135" t="s">
        <v>431</v>
      </c>
      <c r="C135" t="s">
        <v>23</v>
      </c>
      <c r="D135">
        <v>2000</v>
      </c>
      <c r="E135">
        <v>2000</v>
      </c>
      <c r="F135">
        <v>500</v>
      </c>
      <c r="G135">
        <v>999</v>
      </c>
      <c r="H135" t="s">
        <v>335</v>
      </c>
      <c r="I135" t="s">
        <v>336</v>
      </c>
      <c r="J135" t="s">
        <v>1051</v>
      </c>
      <c r="K135" t="str">
        <f t="shared" si="4"/>
        <v>134 · Eaton PRLX · 2000 A · 999 esp.</v>
      </c>
    </row>
    <row r="136" spans="1:11" x14ac:dyDescent="0.45">
      <c r="A136">
        <v>135</v>
      </c>
      <c r="B136" t="s">
        <v>431</v>
      </c>
      <c r="C136" t="s">
        <v>23</v>
      </c>
      <c r="D136">
        <v>2500</v>
      </c>
      <c r="E136">
        <v>2500</v>
      </c>
      <c r="F136">
        <v>625</v>
      </c>
      <c r="G136">
        <v>999</v>
      </c>
      <c r="H136" t="s">
        <v>335</v>
      </c>
      <c r="I136" t="s">
        <v>336</v>
      </c>
      <c r="J136" t="s">
        <v>1051</v>
      </c>
      <c r="K136" t="str">
        <f t="shared" si="4"/>
        <v>135 · Eaton PRLX · 2500 A · 999 esp.</v>
      </c>
    </row>
    <row r="137" spans="1:11" x14ac:dyDescent="0.45">
      <c r="A137">
        <v>136</v>
      </c>
      <c r="B137" t="s">
        <v>431</v>
      </c>
      <c r="C137" t="s">
        <v>23</v>
      </c>
      <c r="D137">
        <v>3000</v>
      </c>
      <c r="E137">
        <v>3000</v>
      </c>
      <c r="F137">
        <v>750</v>
      </c>
      <c r="G137">
        <v>999</v>
      </c>
      <c r="H137" t="s">
        <v>335</v>
      </c>
      <c r="I137" t="s">
        <v>336</v>
      </c>
      <c r="J137" t="s">
        <v>1051</v>
      </c>
      <c r="K137" t="str">
        <f t="shared" si="4"/>
        <v>136 · Eaton PRLX · 3000 A · 999 esp.</v>
      </c>
    </row>
    <row r="138" spans="1:11" x14ac:dyDescent="0.45">
      <c r="A138">
        <v>137</v>
      </c>
      <c r="B138" t="s">
        <v>431</v>
      </c>
      <c r="C138" t="s">
        <v>23</v>
      </c>
      <c r="D138">
        <v>4000</v>
      </c>
      <c r="E138">
        <v>4000</v>
      </c>
      <c r="F138">
        <v>1000</v>
      </c>
      <c r="G138">
        <v>999</v>
      </c>
      <c r="H138" t="s">
        <v>335</v>
      </c>
      <c r="I138" t="s">
        <v>336</v>
      </c>
      <c r="J138" t="s">
        <v>1051</v>
      </c>
      <c r="K138" t="str">
        <f t="shared" si="4"/>
        <v>137 · Eaton PRLX · 4000 A · 999 esp.</v>
      </c>
    </row>
  </sheetData>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J67"/>
  <sheetViews>
    <sheetView workbookViewId="0">
      <pane ySplit="1" topLeftCell="A2" activePane="bottomLeft" state="frozen"/>
      <selection pane="bottomLeft"/>
    </sheetView>
  </sheetViews>
  <sheetFormatPr defaultRowHeight="14.25" x14ac:dyDescent="0.45"/>
  <cols>
    <col min="1" max="9" width="16" customWidth="1"/>
  </cols>
  <sheetData>
    <row r="1" spans="1:10" x14ac:dyDescent="0.45">
      <c r="A1" s="17" t="s">
        <v>777</v>
      </c>
      <c r="B1" s="17" t="s">
        <v>35</v>
      </c>
      <c r="C1" s="17" t="s">
        <v>330</v>
      </c>
      <c r="D1" s="17" t="s">
        <v>71</v>
      </c>
      <c r="E1" s="17" t="s">
        <v>1052</v>
      </c>
      <c r="F1" s="17" t="s">
        <v>1053</v>
      </c>
      <c r="G1" s="17" t="s">
        <v>1054</v>
      </c>
      <c r="H1" s="17" t="s">
        <v>74</v>
      </c>
      <c r="I1" s="17" t="s">
        <v>1055</v>
      </c>
      <c r="J1" t="s">
        <v>131</v>
      </c>
    </row>
    <row r="2" spans="1:10" x14ac:dyDescent="0.45">
      <c r="A2" t="s">
        <v>971</v>
      </c>
      <c r="B2">
        <v>1</v>
      </c>
      <c r="C2" t="s">
        <v>1056</v>
      </c>
      <c r="D2" t="s">
        <v>1057</v>
      </c>
      <c r="E2">
        <v>100</v>
      </c>
      <c r="F2">
        <v>50</v>
      </c>
      <c r="G2" t="s">
        <v>967</v>
      </c>
      <c r="H2">
        <v>1</v>
      </c>
      <c r="I2" t="s">
        <v>1058</v>
      </c>
      <c r="J2" t="str">
        <f t="shared" ref="J2:J33" si="0">B2&amp;" · "&amp;A2&amp;" "&amp;C2&amp;" · "&amp;G2&amp;" V · "&amp;E2&amp;" kA"</f>
        <v>1 · Square D SSP01XDSE10A1 · 120/240 V · 100 kA</v>
      </c>
    </row>
    <row r="3" spans="1:10" x14ac:dyDescent="0.45">
      <c r="A3" t="s">
        <v>971</v>
      </c>
      <c r="B3">
        <v>2</v>
      </c>
      <c r="C3" t="s">
        <v>1059</v>
      </c>
      <c r="D3" t="s">
        <v>1057</v>
      </c>
      <c r="E3">
        <v>150</v>
      </c>
      <c r="F3">
        <v>75</v>
      </c>
      <c r="G3" t="s">
        <v>967</v>
      </c>
      <c r="H3">
        <v>1</v>
      </c>
      <c r="I3" t="s">
        <v>1058</v>
      </c>
      <c r="J3" t="str">
        <f t="shared" si="0"/>
        <v>2 · Square D SSP01XDSE15A1 · 120/240 V · 150 kA</v>
      </c>
    </row>
    <row r="4" spans="1:10" x14ac:dyDescent="0.45">
      <c r="A4" t="s">
        <v>971</v>
      </c>
      <c r="B4">
        <v>3</v>
      </c>
      <c r="C4" t="s">
        <v>1060</v>
      </c>
      <c r="D4" t="s">
        <v>1057</v>
      </c>
      <c r="E4">
        <v>200</v>
      </c>
      <c r="F4">
        <v>100</v>
      </c>
      <c r="G4" t="s">
        <v>967</v>
      </c>
      <c r="H4">
        <v>1</v>
      </c>
      <c r="I4" t="s">
        <v>1058</v>
      </c>
      <c r="J4" t="str">
        <f t="shared" si="0"/>
        <v>3 · Square D SSP01XDSE20A1 · 120/240 V · 200 kA</v>
      </c>
    </row>
    <row r="5" spans="1:10" x14ac:dyDescent="0.45">
      <c r="A5" t="s">
        <v>971</v>
      </c>
      <c r="B5">
        <v>4</v>
      </c>
      <c r="C5" t="s">
        <v>1061</v>
      </c>
      <c r="D5" t="s">
        <v>1057</v>
      </c>
      <c r="E5">
        <v>100</v>
      </c>
      <c r="F5">
        <v>50</v>
      </c>
      <c r="G5" t="s">
        <v>1062</v>
      </c>
      <c r="H5">
        <v>3</v>
      </c>
      <c r="I5" t="s">
        <v>1063</v>
      </c>
      <c r="J5" t="str">
        <f t="shared" si="0"/>
        <v>4 · Square D SSP02XDSE10A1 · 208/120 V · 100 kA</v>
      </c>
    </row>
    <row r="6" spans="1:10" x14ac:dyDescent="0.45">
      <c r="A6" t="s">
        <v>971</v>
      </c>
      <c r="B6">
        <v>5</v>
      </c>
      <c r="C6" t="s">
        <v>1064</v>
      </c>
      <c r="D6" t="s">
        <v>1057</v>
      </c>
      <c r="E6">
        <v>100</v>
      </c>
      <c r="F6">
        <v>50</v>
      </c>
      <c r="G6" t="s">
        <v>967</v>
      </c>
      <c r="H6">
        <v>3</v>
      </c>
      <c r="I6" t="s">
        <v>1063</v>
      </c>
      <c r="J6" t="str">
        <f t="shared" si="0"/>
        <v>5 · Square D SSP03XDSE10A1 · 120/240 V · 100 kA</v>
      </c>
    </row>
    <row r="7" spans="1:10" x14ac:dyDescent="0.45">
      <c r="A7" t="s">
        <v>971</v>
      </c>
      <c r="B7">
        <v>6</v>
      </c>
      <c r="C7" t="s">
        <v>1065</v>
      </c>
      <c r="D7" t="s">
        <v>1057</v>
      </c>
      <c r="E7">
        <v>100</v>
      </c>
      <c r="F7">
        <v>50</v>
      </c>
      <c r="G7" t="s">
        <v>1066</v>
      </c>
      <c r="H7">
        <v>3</v>
      </c>
      <c r="I7" t="s">
        <v>1063</v>
      </c>
      <c r="J7" t="str">
        <f t="shared" si="0"/>
        <v>6 · Square D SSP04XDSE10A1 · 480Y/277V V · 100 kA</v>
      </c>
    </row>
    <row r="8" spans="1:10" x14ac:dyDescent="0.45">
      <c r="A8" t="s">
        <v>971</v>
      </c>
      <c r="B8">
        <v>7</v>
      </c>
      <c r="C8" t="s">
        <v>1067</v>
      </c>
      <c r="D8" t="s">
        <v>1057</v>
      </c>
      <c r="E8">
        <v>150</v>
      </c>
      <c r="F8">
        <v>75</v>
      </c>
      <c r="G8" t="s">
        <v>1062</v>
      </c>
      <c r="H8">
        <v>3</v>
      </c>
      <c r="I8" t="s">
        <v>1063</v>
      </c>
      <c r="J8" t="str">
        <f t="shared" si="0"/>
        <v>7 · Square D SSP02XDSE15A1 · 208/120 V · 150 kA</v>
      </c>
    </row>
    <row r="9" spans="1:10" x14ac:dyDescent="0.45">
      <c r="A9" t="s">
        <v>971</v>
      </c>
      <c r="B9">
        <v>8</v>
      </c>
      <c r="C9" t="s">
        <v>1068</v>
      </c>
      <c r="D9" t="s">
        <v>1057</v>
      </c>
      <c r="E9">
        <v>150</v>
      </c>
      <c r="F9">
        <v>75</v>
      </c>
      <c r="G9" t="s">
        <v>967</v>
      </c>
      <c r="H9">
        <v>3</v>
      </c>
      <c r="I9" t="s">
        <v>1063</v>
      </c>
      <c r="J9" t="str">
        <f t="shared" si="0"/>
        <v>8 · Square D SSP03XDSE15A1 · 120/240 V · 150 kA</v>
      </c>
    </row>
    <row r="10" spans="1:10" x14ac:dyDescent="0.45">
      <c r="A10" t="s">
        <v>971</v>
      </c>
      <c r="B10">
        <v>9</v>
      </c>
      <c r="C10" t="s">
        <v>1069</v>
      </c>
      <c r="D10" t="s">
        <v>1057</v>
      </c>
      <c r="E10">
        <v>150</v>
      </c>
      <c r="F10">
        <v>75</v>
      </c>
      <c r="G10" t="s">
        <v>1066</v>
      </c>
      <c r="H10">
        <v>3</v>
      </c>
      <c r="I10" t="s">
        <v>1063</v>
      </c>
      <c r="J10" t="str">
        <f t="shared" si="0"/>
        <v>9 · Square D SSP04XDSE15A1 · 480Y/277V V · 150 kA</v>
      </c>
    </row>
    <row r="11" spans="1:10" x14ac:dyDescent="0.45">
      <c r="A11" t="s">
        <v>971</v>
      </c>
      <c r="B11">
        <v>10</v>
      </c>
      <c r="C11" t="s">
        <v>1070</v>
      </c>
      <c r="D11" t="s">
        <v>1057</v>
      </c>
      <c r="E11">
        <v>200</v>
      </c>
      <c r="F11">
        <v>100</v>
      </c>
      <c r="G11" t="s">
        <v>1062</v>
      </c>
      <c r="H11">
        <v>3</v>
      </c>
      <c r="I11" t="s">
        <v>1063</v>
      </c>
      <c r="J11" t="str">
        <f t="shared" si="0"/>
        <v>10 · Square D SSP02XDSE20A1 · 208/120 V · 200 kA</v>
      </c>
    </row>
    <row r="12" spans="1:10" x14ac:dyDescent="0.45">
      <c r="A12" t="s">
        <v>971</v>
      </c>
      <c r="B12">
        <v>11</v>
      </c>
      <c r="C12" t="s">
        <v>1071</v>
      </c>
      <c r="D12" t="s">
        <v>1057</v>
      </c>
      <c r="E12">
        <v>200</v>
      </c>
      <c r="F12">
        <v>100</v>
      </c>
      <c r="G12" t="s">
        <v>967</v>
      </c>
      <c r="H12">
        <v>3</v>
      </c>
      <c r="I12" t="s">
        <v>1063</v>
      </c>
      <c r="J12" t="str">
        <f t="shared" si="0"/>
        <v>11 · Square D SSP03XDSE20A1 · 120/240 V · 200 kA</v>
      </c>
    </row>
    <row r="13" spans="1:10" x14ac:dyDescent="0.45">
      <c r="A13" t="s">
        <v>971</v>
      </c>
      <c r="B13">
        <v>12</v>
      </c>
      <c r="C13" t="s">
        <v>1072</v>
      </c>
      <c r="D13" t="s">
        <v>1057</v>
      </c>
      <c r="E13">
        <v>200</v>
      </c>
      <c r="F13">
        <v>100</v>
      </c>
      <c r="G13" t="s">
        <v>1066</v>
      </c>
      <c r="H13">
        <v>3</v>
      </c>
      <c r="I13" t="s">
        <v>1063</v>
      </c>
      <c r="J13" t="str">
        <f t="shared" si="0"/>
        <v>12 · Square D SSP04XDSE20A1 · 480Y/277V V · 200 kA</v>
      </c>
    </row>
    <row r="14" spans="1:10" x14ac:dyDescent="0.45">
      <c r="A14" t="s">
        <v>23</v>
      </c>
      <c r="B14">
        <v>1</v>
      </c>
      <c r="C14" t="s">
        <v>1073</v>
      </c>
      <c r="D14" t="s">
        <v>1074</v>
      </c>
      <c r="E14">
        <v>50</v>
      </c>
      <c r="F14">
        <v>150</v>
      </c>
      <c r="G14" t="s">
        <v>967</v>
      </c>
      <c r="H14">
        <v>1</v>
      </c>
      <c r="I14" t="s">
        <v>1058</v>
      </c>
      <c r="J14" t="str">
        <f t="shared" si="0"/>
        <v>1 · Eaton SPD 050 240S 3 C · 120/240 V · 50 kA</v>
      </c>
    </row>
    <row r="15" spans="1:10" x14ac:dyDescent="0.45">
      <c r="A15" t="s">
        <v>23</v>
      </c>
      <c r="B15">
        <v>2</v>
      </c>
      <c r="C15" t="s">
        <v>1075</v>
      </c>
      <c r="D15" t="s">
        <v>1074</v>
      </c>
      <c r="E15">
        <v>80</v>
      </c>
      <c r="F15">
        <v>150</v>
      </c>
      <c r="G15" t="s">
        <v>967</v>
      </c>
      <c r="H15">
        <v>1</v>
      </c>
      <c r="I15" t="s">
        <v>1058</v>
      </c>
      <c r="J15" t="str">
        <f t="shared" si="0"/>
        <v>2 · Eaton SPD 080 240S 3 C · 120/240 V · 80 kA</v>
      </c>
    </row>
    <row r="16" spans="1:10" x14ac:dyDescent="0.45">
      <c r="A16" t="s">
        <v>23</v>
      </c>
      <c r="B16">
        <v>3</v>
      </c>
      <c r="C16" t="s">
        <v>1076</v>
      </c>
      <c r="D16" t="s">
        <v>1074</v>
      </c>
      <c r="E16">
        <v>100</v>
      </c>
      <c r="F16">
        <v>150</v>
      </c>
      <c r="G16" t="s">
        <v>967</v>
      </c>
      <c r="H16">
        <v>1</v>
      </c>
      <c r="I16" t="s">
        <v>1058</v>
      </c>
      <c r="J16" t="str">
        <f t="shared" si="0"/>
        <v>3 · Eaton SPD 100 240S 3 C · 120/240 V · 100 kA</v>
      </c>
    </row>
    <row r="17" spans="1:10" x14ac:dyDescent="0.45">
      <c r="A17" t="s">
        <v>23</v>
      </c>
      <c r="B17">
        <v>4</v>
      </c>
      <c r="C17" t="s">
        <v>1077</v>
      </c>
      <c r="D17" t="s">
        <v>1074</v>
      </c>
      <c r="E17">
        <v>120</v>
      </c>
      <c r="F17">
        <v>150</v>
      </c>
      <c r="G17" t="s">
        <v>967</v>
      </c>
      <c r="H17">
        <v>1</v>
      </c>
      <c r="I17" t="s">
        <v>1058</v>
      </c>
      <c r="J17" t="str">
        <f t="shared" si="0"/>
        <v>4 · Eaton SPD 120 240S 3 C · 120/240 V · 120 kA</v>
      </c>
    </row>
    <row r="18" spans="1:10" x14ac:dyDescent="0.45">
      <c r="A18" t="s">
        <v>23</v>
      </c>
      <c r="B18">
        <v>5</v>
      </c>
      <c r="C18" t="s">
        <v>1078</v>
      </c>
      <c r="D18" t="s">
        <v>1074</v>
      </c>
      <c r="E18">
        <v>160</v>
      </c>
      <c r="F18">
        <v>150</v>
      </c>
      <c r="G18" t="s">
        <v>967</v>
      </c>
      <c r="H18">
        <v>1</v>
      </c>
      <c r="I18" t="s">
        <v>1058</v>
      </c>
      <c r="J18" t="str">
        <f t="shared" si="0"/>
        <v>5 · Eaton SPD 160 240S 3 C · 120/240 V · 160 kA</v>
      </c>
    </row>
    <row r="19" spans="1:10" x14ac:dyDescent="0.45">
      <c r="A19" t="s">
        <v>23</v>
      </c>
      <c r="B19">
        <v>6</v>
      </c>
      <c r="C19" t="s">
        <v>1079</v>
      </c>
      <c r="D19" t="s">
        <v>1074</v>
      </c>
      <c r="E19">
        <v>200</v>
      </c>
      <c r="F19">
        <v>150</v>
      </c>
      <c r="G19" t="s">
        <v>967</v>
      </c>
      <c r="H19">
        <v>1</v>
      </c>
      <c r="I19" t="s">
        <v>1058</v>
      </c>
      <c r="J19" t="str">
        <f t="shared" si="0"/>
        <v>6 · Eaton SPD 200 240S 3 C · 120/240 V · 200 kA</v>
      </c>
    </row>
    <row r="20" spans="1:10" x14ac:dyDescent="0.45">
      <c r="A20" t="s">
        <v>23</v>
      </c>
      <c r="B20">
        <v>7</v>
      </c>
      <c r="C20" t="s">
        <v>1080</v>
      </c>
      <c r="D20" t="s">
        <v>1074</v>
      </c>
      <c r="E20">
        <v>250</v>
      </c>
      <c r="F20">
        <v>150</v>
      </c>
      <c r="G20" t="s">
        <v>967</v>
      </c>
      <c r="H20">
        <v>1</v>
      </c>
      <c r="I20" t="s">
        <v>1058</v>
      </c>
      <c r="J20" t="str">
        <f t="shared" si="0"/>
        <v>7 · Eaton SPD 250 240S 3 C · 120/240 V · 250 kA</v>
      </c>
    </row>
    <row r="21" spans="1:10" x14ac:dyDescent="0.45">
      <c r="A21" t="s">
        <v>23</v>
      </c>
      <c r="B21">
        <v>8</v>
      </c>
      <c r="C21" t="s">
        <v>1081</v>
      </c>
      <c r="D21" t="s">
        <v>1074</v>
      </c>
      <c r="E21">
        <v>300</v>
      </c>
      <c r="F21">
        <v>150</v>
      </c>
      <c r="G21" t="s">
        <v>967</v>
      </c>
      <c r="H21">
        <v>1</v>
      </c>
      <c r="I21" t="s">
        <v>1058</v>
      </c>
      <c r="J21" t="str">
        <f t="shared" si="0"/>
        <v>8 · Eaton SPD 300 240S 3 C · 120/240 V · 300 kA</v>
      </c>
    </row>
    <row r="22" spans="1:10" x14ac:dyDescent="0.45">
      <c r="A22" t="s">
        <v>23</v>
      </c>
      <c r="B22">
        <v>9</v>
      </c>
      <c r="C22" t="s">
        <v>1082</v>
      </c>
      <c r="D22" t="s">
        <v>1074</v>
      </c>
      <c r="E22">
        <v>400</v>
      </c>
      <c r="F22">
        <v>150</v>
      </c>
      <c r="G22" t="s">
        <v>967</v>
      </c>
      <c r="H22">
        <v>1</v>
      </c>
      <c r="I22" t="s">
        <v>1058</v>
      </c>
      <c r="J22" t="str">
        <f t="shared" si="0"/>
        <v>9 · Eaton SPD 400 240S 3 C · 120/240 V · 400 kA</v>
      </c>
    </row>
    <row r="23" spans="1:10" x14ac:dyDescent="0.45">
      <c r="A23" t="s">
        <v>23</v>
      </c>
      <c r="B23">
        <v>10</v>
      </c>
      <c r="C23" t="s">
        <v>1083</v>
      </c>
      <c r="D23" t="s">
        <v>1074</v>
      </c>
      <c r="E23">
        <v>50</v>
      </c>
      <c r="F23">
        <v>150</v>
      </c>
      <c r="G23" t="s">
        <v>622</v>
      </c>
      <c r="H23">
        <v>3</v>
      </c>
      <c r="I23" t="s">
        <v>1063</v>
      </c>
      <c r="J23" t="str">
        <f t="shared" si="0"/>
        <v>10 · Eaton SPD 050 208Y 3 C · 120/208 V · 50 kA</v>
      </c>
    </row>
    <row r="24" spans="1:10" x14ac:dyDescent="0.45">
      <c r="A24" t="s">
        <v>23</v>
      </c>
      <c r="B24">
        <v>11</v>
      </c>
      <c r="C24" t="s">
        <v>1084</v>
      </c>
      <c r="D24" t="s">
        <v>1074</v>
      </c>
      <c r="E24">
        <v>80</v>
      </c>
      <c r="F24">
        <v>150</v>
      </c>
      <c r="G24" t="s">
        <v>622</v>
      </c>
      <c r="H24">
        <v>3</v>
      </c>
      <c r="I24" t="s">
        <v>1063</v>
      </c>
      <c r="J24" t="str">
        <f t="shared" si="0"/>
        <v>11 · Eaton SPD 080 208Y 3 C · 120/208 V · 80 kA</v>
      </c>
    </row>
    <row r="25" spans="1:10" x14ac:dyDescent="0.45">
      <c r="A25" t="s">
        <v>23</v>
      </c>
      <c r="B25">
        <v>12</v>
      </c>
      <c r="C25" t="s">
        <v>1085</v>
      </c>
      <c r="D25" t="s">
        <v>1074</v>
      </c>
      <c r="E25">
        <v>100</v>
      </c>
      <c r="F25">
        <v>150</v>
      </c>
      <c r="G25" t="s">
        <v>622</v>
      </c>
      <c r="H25">
        <v>3</v>
      </c>
      <c r="I25" t="s">
        <v>1063</v>
      </c>
      <c r="J25" t="str">
        <f t="shared" si="0"/>
        <v>12 · Eaton SPD 100 208Y 3 C · 120/208 V · 100 kA</v>
      </c>
    </row>
    <row r="26" spans="1:10" x14ac:dyDescent="0.45">
      <c r="A26" t="s">
        <v>23</v>
      </c>
      <c r="B26">
        <v>13</v>
      </c>
      <c r="C26" t="s">
        <v>1086</v>
      </c>
      <c r="D26" t="s">
        <v>1074</v>
      </c>
      <c r="E26">
        <v>120</v>
      </c>
      <c r="F26">
        <v>150</v>
      </c>
      <c r="G26" t="s">
        <v>622</v>
      </c>
      <c r="H26">
        <v>3</v>
      </c>
      <c r="I26" t="s">
        <v>1063</v>
      </c>
      <c r="J26" t="str">
        <f t="shared" si="0"/>
        <v>13 · Eaton SPD 120 208Y 3 C · 120/208 V · 120 kA</v>
      </c>
    </row>
    <row r="27" spans="1:10" x14ac:dyDescent="0.45">
      <c r="A27" t="s">
        <v>23</v>
      </c>
      <c r="B27">
        <v>14</v>
      </c>
      <c r="C27" t="s">
        <v>1087</v>
      </c>
      <c r="D27" t="s">
        <v>1074</v>
      </c>
      <c r="E27">
        <v>160</v>
      </c>
      <c r="F27">
        <v>150</v>
      </c>
      <c r="G27" t="s">
        <v>622</v>
      </c>
      <c r="H27">
        <v>3</v>
      </c>
      <c r="I27" t="s">
        <v>1063</v>
      </c>
      <c r="J27" t="str">
        <f t="shared" si="0"/>
        <v>14 · Eaton SPD 160 208Y 3 C · 120/208 V · 160 kA</v>
      </c>
    </row>
    <row r="28" spans="1:10" x14ac:dyDescent="0.45">
      <c r="A28" t="s">
        <v>23</v>
      </c>
      <c r="B28">
        <v>15</v>
      </c>
      <c r="C28" t="s">
        <v>1088</v>
      </c>
      <c r="D28" t="s">
        <v>1074</v>
      </c>
      <c r="E28">
        <v>200</v>
      </c>
      <c r="F28">
        <v>150</v>
      </c>
      <c r="G28" t="s">
        <v>622</v>
      </c>
      <c r="H28">
        <v>3</v>
      </c>
      <c r="I28" t="s">
        <v>1063</v>
      </c>
      <c r="J28" t="str">
        <f t="shared" si="0"/>
        <v>15 · Eaton SPD 200 208Y 3 C · 120/208 V · 200 kA</v>
      </c>
    </row>
    <row r="29" spans="1:10" x14ac:dyDescent="0.45">
      <c r="A29" t="s">
        <v>23</v>
      </c>
      <c r="B29">
        <v>16</v>
      </c>
      <c r="C29" t="s">
        <v>1089</v>
      </c>
      <c r="D29" t="s">
        <v>1074</v>
      </c>
      <c r="E29">
        <v>250</v>
      </c>
      <c r="F29">
        <v>150</v>
      </c>
      <c r="G29" t="s">
        <v>622</v>
      </c>
      <c r="H29">
        <v>3</v>
      </c>
      <c r="I29" t="s">
        <v>1063</v>
      </c>
      <c r="J29" t="str">
        <f t="shared" si="0"/>
        <v>16 · Eaton SPD 250 208Y 3 C · 120/208 V · 250 kA</v>
      </c>
    </row>
    <row r="30" spans="1:10" x14ac:dyDescent="0.45">
      <c r="A30" t="s">
        <v>23</v>
      </c>
      <c r="B30">
        <v>17</v>
      </c>
      <c r="C30" t="s">
        <v>1090</v>
      </c>
      <c r="D30" t="s">
        <v>1074</v>
      </c>
      <c r="E30">
        <v>300</v>
      </c>
      <c r="F30">
        <v>150</v>
      </c>
      <c r="G30" t="s">
        <v>622</v>
      </c>
      <c r="H30">
        <v>3</v>
      </c>
      <c r="I30" t="s">
        <v>1063</v>
      </c>
      <c r="J30" t="str">
        <f t="shared" si="0"/>
        <v>17 · Eaton SPD 300 208Y 3 C · 120/208 V · 300 kA</v>
      </c>
    </row>
    <row r="31" spans="1:10" x14ac:dyDescent="0.45">
      <c r="A31" t="s">
        <v>23</v>
      </c>
      <c r="B31">
        <v>18</v>
      </c>
      <c r="C31" t="s">
        <v>1091</v>
      </c>
      <c r="D31" t="s">
        <v>1074</v>
      </c>
      <c r="E31">
        <v>400</v>
      </c>
      <c r="F31">
        <v>150</v>
      </c>
      <c r="G31" t="s">
        <v>622</v>
      </c>
      <c r="H31">
        <v>3</v>
      </c>
      <c r="I31" t="s">
        <v>1063</v>
      </c>
      <c r="J31" t="str">
        <f t="shared" si="0"/>
        <v>18 · Eaton SPD 400 208Y 3 C · 120/208 V · 400 kA</v>
      </c>
    </row>
    <row r="32" spans="1:10" x14ac:dyDescent="0.45">
      <c r="A32" t="s">
        <v>23</v>
      </c>
      <c r="B32">
        <v>10</v>
      </c>
      <c r="C32" t="s">
        <v>1092</v>
      </c>
      <c r="D32" t="s">
        <v>1074</v>
      </c>
      <c r="E32">
        <v>50</v>
      </c>
      <c r="F32">
        <v>320</v>
      </c>
      <c r="G32" t="s">
        <v>990</v>
      </c>
      <c r="H32">
        <v>3</v>
      </c>
      <c r="I32" t="s">
        <v>1063</v>
      </c>
      <c r="J32" t="str">
        <f t="shared" si="0"/>
        <v>10 · Eaton SPD 050 480Y 3 C · 277/480 V · 50 kA</v>
      </c>
    </row>
    <row r="33" spans="1:10" x14ac:dyDescent="0.45">
      <c r="A33" t="s">
        <v>23</v>
      </c>
      <c r="B33">
        <v>11</v>
      </c>
      <c r="C33" t="s">
        <v>1093</v>
      </c>
      <c r="D33" t="s">
        <v>1074</v>
      </c>
      <c r="E33">
        <v>80</v>
      </c>
      <c r="F33">
        <v>320</v>
      </c>
      <c r="G33" t="s">
        <v>990</v>
      </c>
      <c r="H33">
        <v>3</v>
      </c>
      <c r="I33" t="s">
        <v>1063</v>
      </c>
      <c r="J33" t="str">
        <f t="shared" si="0"/>
        <v>11 · Eaton SPD 080 480Y 3 C · 277/480 V · 80 kA</v>
      </c>
    </row>
    <row r="34" spans="1:10" x14ac:dyDescent="0.45">
      <c r="A34" t="s">
        <v>23</v>
      </c>
      <c r="B34">
        <v>12</v>
      </c>
      <c r="C34" t="s">
        <v>1094</v>
      </c>
      <c r="D34" t="s">
        <v>1074</v>
      </c>
      <c r="E34">
        <v>100</v>
      </c>
      <c r="F34">
        <v>320</v>
      </c>
      <c r="G34" t="s">
        <v>990</v>
      </c>
      <c r="H34">
        <v>3</v>
      </c>
      <c r="I34" t="s">
        <v>1063</v>
      </c>
      <c r="J34" t="str">
        <f t="shared" ref="J34:J67" si="1">B34&amp;" · "&amp;A34&amp;" "&amp;C34&amp;" · "&amp;G34&amp;" V · "&amp;E34&amp;" kA"</f>
        <v>12 · Eaton SPD 100 480Y 3 C · 277/480 V · 100 kA</v>
      </c>
    </row>
    <row r="35" spans="1:10" x14ac:dyDescent="0.45">
      <c r="A35" t="s">
        <v>23</v>
      </c>
      <c r="B35">
        <v>13</v>
      </c>
      <c r="C35" t="s">
        <v>1095</v>
      </c>
      <c r="D35" t="s">
        <v>1074</v>
      </c>
      <c r="E35">
        <v>120</v>
      </c>
      <c r="F35">
        <v>320</v>
      </c>
      <c r="G35" t="s">
        <v>990</v>
      </c>
      <c r="H35">
        <v>3</v>
      </c>
      <c r="I35" t="s">
        <v>1063</v>
      </c>
      <c r="J35" t="str">
        <f t="shared" si="1"/>
        <v>13 · Eaton SPD 120 480Y 3 C · 277/480 V · 120 kA</v>
      </c>
    </row>
    <row r="36" spans="1:10" x14ac:dyDescent="0.45">
      <c r="A36" t="s">
        <v>23</v>
      </c>
      <c r="B36">
        <v>14</v>
      </c>
      <c r="C36" t="s">
        <v>1096</v>
      </c>
      <c r="D36" t="s">
        <v>1074</v>
      </c>
      <c r="E36">
        <v>160</v>
      </c>
      <c r="F36">
        <v>320</v>
      </c>
      <c r="G36" t="s">
        <v>990</v>
      </c>
      <c r="H36">
        <v>3</v>
      </c>
      <c r="I36" t="s">
        <v>1063</v>
      </c>
      <c r="J36" t="str">
        <f t="shared" si="1"/>
        <v>14 · Eaton SPD 160 480Y 3 C · 277/480 V · 160 kA</v>
      </c>
    </row>
    <row r="37" spans="1:10" x14ac:dyDescent="0.45">
      <c r="A37" t="s">
        <v>23</v>
      </c>
      <c r="B37">
        <v>15</v>
      </c>
      <c r="C37" t="s">
        <v>1097</v>
      </c>
      <c r="D37" t="s">
        <v>1074</v>
      </c>
      <c r="E37">
        <v>200</v>
      </c>
      <c r="F37">
        <v>320</v>
      </c>
      <c r="G37" t="s">
        <v>990</v>
      </c>
      <c r="H37">
        <v>3</v>
      </c>
      <c r="I37" t="s">
        <v>1063</v>
      </c>
      <c r="J37" t="str">
        <f t="shared" si="1"/>
        <v>15 · Eaton SPD 200 480Y 3 C · 277/480 V · 200 kA</v>
      </c>
    </row>
    <row r="38" spans="1:10" x14ac:dyDescent="0.45">
      <c r="A38" t="s">
        <v>23</v>
      </c>
      <c r="B38">
        <v>16</v>
      </c>
      <c r="C38" t="s">
        <v>1098</v>
      </c>
      <c r="D38" t="s">
        <v>1074</v>
      </c>
      <c r="E38">
        <v>250</v>
      </c>
      <c r="F38">
        <v>320</v>
      </c>
      <c r="G38" t="s">
        <v>990</v>
      </c>
      <c r="H38">
        <v>3</v>
      </c>
      <c r="I38" t="s">
        <v>1063</v>
      </c>
      <c r="J38" t="str">
        <f t="shared" si="1"/>
        <v>16 · Eaton SPD 250 480Y 3 C · 277/480 V · 250 kA</v>
      </c>
    </row>
    <row r="39" spans="1:10" x14ac:dyDescent="0.45">
      <c r="A39" t="s">
        <v>23</v>
      </c>
      <c r="B39">
        <v>17</v>
      </c>
      <c r="C39" t="s">
        <v>1099</v>
      </c>
      <c r="D39" t="s">
        <v>1074</v>
      </c>
      <c r="E39">
        <v>300</v>
      </c>
      <c r="F39">
        <v>320</v>
      </c>
      <c r="G39" t="s">
        <v>990</v>
      </c>
      <c r="H39">
        <v>3</v>
      </c>
      <c r="I39" t="s">
        <v>1063</v>
      </c>
      <c r="J39" t="str">
        <f t="shared" si="1"/>
        <v>17 · Eaton SPD 300 480Y 3 C · 277/480 V · 300 kA</v>
      </c>
    </row>
    <row r="40" spans="1:10" x14ac:dyDescent="0.45">
      <c r="A40" t="s">
        <v>23</v>
      </c>
      <c r="B40">
        <v>18</v>
      </c>
      <c r="C40" t="s">
        <v>1100</v>
      </c>
      <c r="D40" t="s">
        <v>1074</v>
      </c>
      <c r="E40">
        <v>400</v>
      </c>
      <c r="F40">
        <v>320</v>
      </c>
      <c r="G40" t="s">
        <v>990</v>
      </c>
      <c r="H40">
        <v>3</v>
      </c>
      <c r="I40" t="s">
        <v>1063</v>
      </c>
      <c r="J40" t="str">
        <f t="shared" si="1"/>
        <v>18 · Eaton SPD 400 480Y 3 C · 277/480 V · 400 kA</v>
      </c>
    </row>
    <row r="41" spans="1:10" x14ac:dyDescent="0.45">
      <c r="A41" t="s">
        <v>23</v>
      </c>
      <c r="B41">
        <v>19</v>
      </c>
      <c r="C41" t="s">
        <v>1101</v>
      </c>
      <c r="D41" t="s">
        <v>1057</v>
      </c>
      <c r="E41">
        <v>50</v>
      </c>
      <c r="F41">
        <v>150</v>
      </c>
      <c r="G41" t="s">
        <v>967</v>
      </c>
      <c r="H41">
        <v>1</v>
      </c>
      <c r="I41" t="s">
        <v>1058</v>
      </c>
      <c r="J41" t="str">
        <f t="shared" si="1"/>
        <v>19 · Eaton SPD 050 240S 3 K · 120/240 V · 50 kA</v>
      </c>
    </row>
    <row r="42" spans="1:10" x14ac:dyDescent="0.45">
      <c r="A42" t="s">
        <v>23</v>
      </c>
      <c r="B42">
        <v>20</v>
      </c>
      <c r="C42" t="s">
        <v>1102</v>
      </c>
      <c r="D42" t="s">
        <v>1057</v>
      </c>
      <c r="E42">
        <v>80</v>
      </c>
      <c r="F42">
        <v>150</v>
      </c>
      <c r="G42" t="s">
        <v>967</v>
      </c>
      <c r="H42">
        <v>1</v>
      </c>
      <c r="I42" t="s">
        <v>1058</v>
      </c>
      <c r="J42" t="str">
        <f t="shared" si="1"/>
        <v>20 · Eaton SPD 080 340S 3 K · 120/240 V · 80 kA</v>
      </c>
    </row>
    <row r="43" spans="1:10" x14ac:dyDescent="0.45">
      <c r="A43" t="s">
        <v>23</v>
      </c>
      <c r="B43">
        <v>21</v>
      </c>
      <c r="C43" t="s">
        <v>1103</v>
      </c>
      <c r="D43" t="s">
        <v>1057</v>
      </c>
      <c r="E43">
        <v>100</v>
      </c>
      <c r="F43">
        <v>150</v>
      </c>
      <c r="G43" t="s">
        <v>967</v>
      </c>
      <c r="H43">
        <v>1</v>
      </c>
      <c r="I43" t="s">
        <v>1058</v>
      </c>
      <c r="J43" t="str">
        <f t="shared" si="1"/>
        <v>21 · Eaton SPD 100 340S 3 K · 120/240 V · 100 kA</v>
      </c>
    </row>
    <row r="44" spans="1:10" x14ac:dyDescent="0.45">
      <c r="A44" t="s">
        <v>23</v>
      </c>
      <c r="B44">
        <v>22</v>
      </c>
      <c r="C44" t="s">
        <v>1104</v>
      </c>
      <c r="D44" t="s">
        <v>1057</v>
      </c>
      <c r="E44">
        <v>120</v>
      </c>
      <c r="F44">
        <v>150</v>
      </c>
      <c r="G44" t="s">
        <v>967</v>
      </c>
      <c r="H44">
        <v>1</v>
      </c>
      <c r="I44" t="s">
        <v>1058</v>
      </c>
      <c r="J44" t="str">
        <f t="shared" si="1"/>
        <v>22 · Eaton SPD 130 340S 3 K · 120/240 V · 120 kA</v>
      </c>
    </row>
    <row r="45" spans="1:10" x14ac:dyDescent="0.45">
      <c r="A45" t="s">
        <v>23</v>
      </c>
      <c r="B45">
        <v>23</v>
      </c>
      <c r="C45" t="s">
        <v>1105</v>
      </c>
      <c r="D45" t="s">
        <v>1057</v>
      </c>
      <c r="E45">
        <v>160</v>
      </c>
      <c r="F45">
        <v>150</v>
      </c>
      <c r="G45" t="s">
        <v>967</v>
      </c>
      <c r="H45">
        <v>1</v>
      </c>
      <c r="I45" t="s">
        <v>1058</v>
      </c>
      <c r="J45" t="str">
        <f t="shared" si="1"/>
        <v>23 · Eaton SPD 160 340S 3 K · 120/240 V · 160 kA</v>
      </c>
    </row>
    <row r="46" spans="1:10" x14ac:dyDescent="0.45">
      <c r="A46" t="s">
        <v>23</v>
      </c>
      <c r="B46">
        <v>24</v>
      </c>
      <c r="C46" t="s">
        <v>1106</v>
      </c>
      <c r="D46" t="s">
        <v>1057</v>
      </c>
      <c r="E46">
        <v>200</v>
      </c>
      <c r="F46">
        <v>150</v>
      </c>
      <c r="G46" t="s">
        <v>967</v>
      </c>
      <c r="H46">
        <v>1</v>
      </c>
      <c r="I46" t="s">
        <v>1058</v>
      </c>
      <c r="J46" t="str">
        <f t="shared" si="1"/>
        <v>24 · Eaton SPD 300 340S 3 K · 120/240 V · 200 kA</v>
      </c>
    </row>
    <row r="47" spans="1:10" x14ac:dyDescent="0.45">
      <c r="A47" t="s">
        <v>23</v>
      </c>
      <c r="B47">
        <v>25</v>
      </c>
      <c r="C47" t="s">
        <v>1107</v>
      </c>
      <c r="D47" t="s">
        <v>1057</v>
      </c>
      <c r="E47">
        <v>250</v>
      </c>
      <c r="F47">
        <v>150</v>
      </c>
      <c r="G47" t="s">
        <v>967</v>
      </c>
      <c r="H47">
        <v>1</v>
      </c>
      <c r="I47" t="s">
        <v>1058</v>
      </c>
      <c r="J47" t="str">
        <f t="shared" si="1"/>
        <v>25 · Eaton SPD 350 340S 3 K · 120/240 V · 250 kA</v>
      </c>
    </row>
    <row r="48" spans="1:10" x14ac:dyDescent="0.45">
      <c r="A48" t="s">
        <v>23</v>
      </c>
      <c r="B48">
        <v>26</v>
      </c>
      <c r="C48" t="s">
        <v>1106</v>
      </c>
      <c r="D48" t="s">
        <v>1057</v>
      </c>
      <c r="E48">
        <v>300</v>
      </c>
      <c r="F48">
        <v>150</v>
      </c>
      <c r="G48" t="s">
        <v>967</v>
      </c>
      <c r="H48">
        <v>1</v>
      </c>
      <c r="I48" t="s">
        <v>1058</v>
      </c>
      <c r="J48" t="str">
        <f t="shared" si="1"/>
        <v>26 · Eaton SPD 300 340S 3 K · 120/240 V · 300 kA</v>
      </c>
    </row>
    <row r="49" spans="1:10" x14ac:dyDescent="0.45">
      <c r="A49" t="s">
        <v>23</v>
      </c>
      <c r="B49">
        <v>27</v>
      </c>
      <c r="C49" t="s">
        <v>1108</v>
      </c>
      <c r="D49" t="s">
        <v>1057</v>
      </c>
      <c r="E49">
        <v>400</v>
      </c>
      <c r="F49">
        <v>150</v>
      </c>
      <c r="G49" t="s">
        <v>967</v>
      </c>
      <c r="H49">
        <v>1</v>
      </c>
      <c r="I49" t="s">
        <v>1058</v>
      </c>
      <c r="J49" t="str">
        <f t="shared" si="1"/>
        <v>27 · Eaton SPD 400 340S 3 K · 120/240 V · 400 kA</v>
      </c>
    </row>
    <row r="50" spans="1:10" x14ac:dyDescent="0.45">
      <c r="A50" t="s">
        <v>23</v>
      </c>
      <c r="B50">
        <v>28</v>
      </c>
      <c r="C50" t="s">
        <v>1109</v>
      </c>
      <c r="D50" t="s">
        <v>1057</v>
      </c>
      <c r="E50">
        <v>50</v>
      </c>
      <c r="F50">
        <v>150</v>
      </c>
      <c r="G50" t="s">
        <v>622</v>
      </c>
      <c r="H50">
        <v>3</v>
      </c>
      <c r="I50" t="s">
        <v>1063</v>
      </c>
      <c r="J50" t="str">
        <f t="shared" si="1"/>
        <v>28 · Eaton SPD 050 208Y 3 K · 120/208 V · 50 kA</v>
      </c>
    </row>
    <row r="51" spans="1:10" x14ac:dyDescent="0.45">
      <c r="A51" t="s">
        <v>23</v>
      </c>
      <c r="B51">
        <v>29</v>
      </c>
      <c r="C51" t="s">
        <v>1110</v>
      </c>
      <c r="D51" t="s">
        <v>1057</v>
      </c>
      <c r="E51">
        <v>80</v>
      </c>
      <c r="F51">
        <v>150</v>
      </c>
      <c r="G51" t="s">
        <v>622</v>
      </c>
      <c r="H51">
        <v>3</v>
      </c>
      <c r="I51" t="s">
        <v>1063</v>
      </c>
      <c r="J51" t="str">
        <f t="shared" si="1"/>
        <v>29 · Eaton SPD 080 208Y 3 K · 120/208 V · 80 kA</v>
      </c>
    </row>
    <row r="52" spans="1:10" x14ac:dyDescent="0.45">
      <c r="A52" t="s">
        <v>23</v>
      </c>
      <c r="B52">
        <v>30</v>
      </c>
      <c r="C52" t="s">
        <v>1111</v>
      </c>
      <c r="D52" t="s">
        <v>1057</v>
      </c>
      <c r="E52">
        <v>100</v>
      </c>
      <c r="F52">
        <v>150</v>
      </c>
      <c r="G52" t="s">
        <v>622</v>
      </c>
      <c r="H52">
        <v>3</v>
      </c>
      <c r="I52" t="s">
        <v>1063</v>
      </c>
      <c r="J52" t="str">
        <f t="shared" si="1"/>
        <v>30 · Eaton SPD 100 208Y 3 K · 120/208 V · 100 kA</v>
      </c>
    </row>
    <row r="53" spans="1:10" x14ac:dyDescent="0.45">
      <c r="A53" t="s">
        <v>23</v>
      </c>
      <c r="B53">
        <v>31</v>
      </c>
      <c r="C53" t="s">
        <v>1112</v>
      </c>
      <c r="D53" t="s">
        <v>1057</v>
      </c>
      <c r="E53">
        <v>120</v>
      </c>
      <c r="F53">
        <v>150</v>
      </c>
      <c r="G53" t="s">
        <v>622</v>
      </c>
      <c r="H53">
        <v>3</v>
      </c>
      <c r="I53" t="s">
        <v>1063</v>
      </c>
      <c r="J53" t="str">
        <f t="shared" si="1"/>
        <v>31 · Eaton SPD 120 208Y 3 K · 120/208 V · 120 kA</v>
      </c>
    </row>
    <row r="54" spans="1:10" x14ac:dyDescent="0.45">
      <c r="A54" t="s">
        <v>23</v>
      </c>
      <c r="B54">
        <v>32</v>
      </c>
      <c r="C54" t="s">
        <v>1113</v>
      </c>
      <c r="D54" t="s">
        <v>1057</v>
      </c>
      <c r="E54">
        <v>160</v>
      </c>
      <c r="F54">
        <v>150</v>
      </c>
      <c r="G54" t="s">
        <v>622</v>
      </c>
      <c r="H54">
        <v>3</v>
      </c>
      <c r="I54" t="s">
        <v>1063</v>
      </c>
      <c r="J54" t="str">
        <f t="shared" si="1"/>
        <v>32 · Eaton SPD 160 208Y 3 K · 120/208 V · 160 kA</v>
      </c>
    </row>
    <row r="55" spans="1:10" x14ac:dyDescent="0.45">
      <c r="A55" t="s">
        <v>23</v>
      </c>
      <c r="B55">
        <v>33</v>
      </c>
      <c r="C55" t="s">
        <v>1114</v>
      </c>
      <c r="D55" t="s">
        <v>1057</v>
      </c>
      <c r="E55">
        <v>200</v>
      </c>
      <c r="F55">
        <v>150</v>
      </c>
      <c r="G55" t="s">
        <v>622</v>
      </c>
      <c r="H55">
        <v>3</v>
      </c>
      <c r="I55" t="s">
        <v>1063</v>
      </c>
      <c r="J55" t="str">
        <f t="shared" si="1"/>
        <v>33 · Eaton SPD 200 208Y 3 K · 120/208 V · 200 kA</v>
      </c>
    </row>
    <row r="56" spans="1:10" x14ac:dyDescent="0.45">
      <c r="A56" t="s">
        <v>23</v>
      </c>
      <c r="B56">
        <v>34</v>
      </c>
      <c r="C56" t="s">
        <v>1115</v>
      </c>
      <c r="D56" t="s">
        <v>1057</v>
      </c>
      <c r="E56">
        <v>250</v>
      </c>
      <c r="F56">
        <v>150</v>
      </c>
      <c r="G56" t="s">
        <v>622</v>
      </c>
      <c r="H56">
        <v>3</v>
      </c>
      <c r="I56" t="s">
        <v>1063</v>
      </c>
      <c r="J56" t="str">
        <f t="shared" si="1"/>
        <v>34 · Eaton SPD 250 208Y 3 K · 120/208 V · 250 kA</v>
      </c>
    </row>
    <row r="57" spans="1:10" x14ac:dyDescent="0.45">
      <c r="A57" t="s">
        <v>23</v>
      </c>
      <c r="B57">
        <v>35</v>
      </c>
      <c r="C57" t="s">
        <v>1116</v>
      </c>
      <c r="D57" t="s">
        <v>1057</v>
      </c>
      <c r="E57">
        <v>300</v>
      </c>
      <c r="F57">
        <v>150</v>
      </c>
      <c r="G57" t="s">
        <v>622</v>
      </c>
      <c r="H57">
        <v>3</v>
      </c>
      <c r="I57" t="s">
        <v>1063</v>
      </c>
      <c r="J57" t="str">
        <f t="shared" si="1"/>
        <v>35 · Eaton SPD 300 208Y 3 K · 120/208 V · 300 kA</v>
      </c>
    </row>
    <row r="58" spans="1:10" x14ac:dyDescent="0.45">
      <c r="A58" t="s">
        <v>23</v>
      </c>
      <c r="B58">
        <v>36</v>
      </c>
      <c r="C58" t="s">
        <v>1117</v>
      </c>
      <c r="D58" t="s">
        <v>1057</v>
      </c>
      <c r="E58">
        <v>400</v>
      </c>
      <c r="F58">
        <v>150</v>
      </c>
      <c r="G58" t="s">
        <v>622</v>
      </c>
      <c r="H58">
        <v>3</v>
      </c>
      <c r="I58" t="s">
        <v>1063</v>
      </c>
      <c r="J58" t="str">
        <f t="shared" si="1"/>
        <v>36 · Eaton SPD 400 208Y 3 K · 120/208 V · 400 kA</v>
      </c>
    </row>
    <row r="59" spans="1:10" x14ac:dyDescent="0.45">
      <c r="A59" t="s">
        <v>23</v>
      </c>
      <c r="B59">
        <v>37</v>
      </c>
      <c r="C59" t="s">
        <v>1118</v>
      </c>
      <c r="D59" t="s">
        <v>1057</v>
      </c>
      <c r="E59">
        <v>50</v>
      </c>
      <c r="F59">
        <v>320</v>
      </c>
      <c r="G59" t="s">
        <v>990</v>
      </c>
      <c r="H59">
        <v>3</v>
      </c>
      <c r="I59" t="s">
        <v>1063</v>
      </c>
      <c r="J59" t="str">
        <f t="shared" si="1"/>
        <v>37 · Eaton SPD 050 480Y 3 K · 277/480 V · 50 kA</v>
      </c>
    </row>
    <row r="60" spans="1:10" x14ac:dyDescent="0.45">
      <c r="A60" t="s">
        <v>23</v>
      </c>
      <c r="B60">
        <v>38</v>
      </c>
      <c r="C60" t="s">
        <v>1119</v>
      </c>
      <c r="D60" t="s">
        <v>1057</v>
      </c>
      <c r="E60">
        <v>80</v>
      </c>
      <c r="F60">
        <v>320</v>
      </c>
      <c r="G60" t="s">
        <v>990</v>
      </c>
      <c r="H60">
        <v>3</v>
      </c>
      <c r="I60" t="s">
        <v>1063</v>
      </c>
      <c r="J60" t="str">
        <f t="shared" si="1"/>
        <v>38 · Eaton SPD 080 480Y 3 K · 277/480 V · 80 kA</v>
      </c>
    </row>
    <row r="61" spans="1:10" x14ac:dyDescent="0.45">
      <c r="A61" t="s">
        <v>23</v>
      </c>
      <c r="B61">
        <v>39</v>
      </c>
      <c r="C61" t="s">
        <v>1120</v>
      </c>
      <c r="D61" t="s">
        <v>1057</v>
      </c>
      <c r="E61">
        <v>100</v>
      </c>
      <c r="F61">
        <v>320</v>
      </c>
      <c r="G61" t="s">
        <v>990</v>
      </c>
      <c r="H61">
        <v>3</v>
      </c>
      <c r="I61" t="s">
        <v>1063</v>
      </c>
      <c r="J61" t="str">
        <f t="shared" si="1"/>
        <v>39 · Eaton SPD 100 480Y 3 K · 277/480 V · 100 kA</v>
      </c>
    </row>
    <row r="62" spans="1:10" x14ac:dyDescent="0.45">
      <c r="A62" t="s">
        <v>23</v>
      </c>
      <c r="B62">
        <v>40</v>
      </c>
      <c r="C62" t="s">
        <v>1121</v>
      </c>
      <c r="D62" t="s">
        <v>1057</v>
      </c>
      <c r="E62">
        <v>120</v>
      </c>
      <c r="F62">
        <v>320</v>
      </c>
      <c r="G62" t="s">
        <v>990</v>
      </c>
      <c r="H62">
        <v>3</v>
      </c>
      <c r="I62" t="s">
        <v>1063</v>
      </c>
      <c r="J62" t="str">
        <f t="shared" si="1"/>
        <v>40 · Eaton SPD 120 480Y 3 K · 277/480 V · 120 kA</v>
      </c>
    </row>
    <row r="63" spans="1:10" x14ac:dyDescent="0.45">
      <c r="A63" t="s">
        <v>23</v>
      </c>
      <c r="B63">
        <v>41</v>
      </c>
      <c r="C63" t="s">
        <v>1122</v>
      </c>
      <c r="D63" t="s">
        <v>1057</v>
      </c>
      <c r="E63">
        <v>160</v>
      </c>
      <c r="F63">
        <v>320</v>
      </c>
      <c r="G63" t="s">
        <v>990</v>
      </c>
      <c r="H63">
        <v>3</v>
      </c>
      <c r="I63" t="s">
        <v>1063</v>
      </c>
      <c r="J63" t="str">
        <f t="shared" si="1"/>
        <v>41 · Eaton SPD 160 480Y 3 K · 277/480 V · 160 kA</v>
      </c>
    </row>
    <row r="64" spans="1:10" x14ac:dyDescent="0.45">
      <c r="A64" t="s">
        <v>23</v>
      </c>
      <c r="B64">
        <v>42</v>
      </c>
      <c r="C64" t="s">
        <v>1123</v>
      </c>
      <c r="D64" t="s">
        <v>1057</v>
      </c>
      <c r="E64">
        <v>200</v>
      </c>
      <c r="F64">
        <v>320</v>
      </c>
      <c r="G64" t="s">
        <v>990</v>
      </c>
      <c r="H64">
        <v>3</v>
      </c>
      <c r="I64" t="s">
        <v>1063</v>
      </c>
      <c r="J64" t="str">
        <f t="shared" si="1"/>
        <v>42 · Eaton SPD 200 480Y 3 K · 277/480 V · 200 kA</v>
      </c>
    </row>
    <row r="65" spans="1:10" x14ac:dyDescent="0.45">
      <c r="A65" t="s">
        <v>23</v>
      </c>
      <c r="B65">
        <v>43</v>
      </c>
      <c r="C65" t="s">
        <v>1124</v>
      </c>
      <c r="D65" t="s">
        <v>1057</v>
      </c>
      <c r="E65">
        <v>250</v>
      </c>
      <c r="F65">
        <v>320</v>
      </c>
      <c r="G65" t="s">
        <v>990</v>
      </c>
      <c r="H65">
        <v>3</v>
      </c>
      <c r="I65" t="s">
        <v>1063</v>
      </c>
      <c r="J65" t="str">
        <f t="shared" si="1"/>
        <v>43 · Eaton SPD 250 480Y 3 K · 277/480 V · 250 kA</v>
      </c>
    </row>
    <row r="66" spans="1:10" x14ac:dyDescent="0.45">
      <c r="A66" t="s">
        <v>23</v>
      </c>
      <c r="B66">
        <v>44</v>
      </c>
      <c r="C66" t="s">
        <v>1125</v>
      </c>
      <c r="D66" t="s">
        <v>1057</v>
      </c>
      <c r="E66">
        <v>300</v>
      </c>
      <c r="F66">
        <v>320</v>
      </c>
      <c r="G66" t="s">
        <v>990</v>
      </c>
      <c r="H66">
        <v>3</v>
      </c>
      <c r="I66" t="s">
        <v>1063</v>
      </c>
      <c r="J66" t="str">
        <f t="shared" si="1"/>
        <v>44 · Eaton SPD 300 480Y 3 K · 277/480 V · 300 kA</v>
      </c>
    </row>
    <row r="67" spans="1:10" x14ac:dyDescent="0.45">
      <c r="A67" t="s">
        <v>23</v>
      </c>
      <c r="B67">
        <v>45</v>
      </c>
      <c r="C67" t="s">
        <v>1126</v>
      </c>
      <c r="D67" t="s">
        <v>1057</v>
      </c>
      <c r="E67">
        <v>400</v>
      </c>
      <c r="F67">
        <v>320</v>
      </c>
      <c r="G67" t="s">
        <v>990</v>
      </c>
      <c r="H67">
        <v>3</v>
      </c>
      <c r="I67" t="s">
        <v>1063</v>
      </c>
      <c r="J67" t="str">
        <f t="shared" si="1"/>
        <v>45 · Eaton SPD 400 480Y 3 K · 277/480 V · 400 kA</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J163"/>
  <sheetViews>
    <sheetView workbookViewId="0">
      <pane ySplit="1" topLeftCell="A2" activePane="bottomLeft" state="frozen"/>
      <selection pane="bottomLeft"/>
    </sheetView>
  </sheetViews>
  <sheetFormatPr defaultRowHeight="14.25" x14ac:dyDescent="0.45"/>
  <cols>
    <col min="1" max="10" width="16" customWidth="1"/>
  </cols>
  <sheetData>
    <row r="1" spans="1:10" x14ac:dyDescent="0.45">
      <c r="A1" s="17" t="s">
        <v>35</v>
      </c>
      <c r="B1" s="17" t="s">
        <v>777</v>
      </c>
      <c r="C1" s="17" t="s">
        <v>1127</v>
      </c>
      <c r="D1" s="17" t="s">
        <v>907</v>
      </c>
      <c r="E1" s="17" t="s">
        <v>436</v>
      </c>
      <c r="F1" s="17" t="s">
        <v>435</v>
      </c>
      <c r="G1" s="17" t="s">
        <v>1128</v>
      </c>
      <c r="H1" s="17" t="s">
        <v>1129</v>
      </c>
      <c r="I1" s="17" t="s">
        <v>330</v>
      </c>
      <c r="J1" s="17" t="s">
        <v>1020</v>
      </c>
    </row>
    <row r="2" spans="1:10" x14ac:dyDescent="0.45">
      <c r="A2">
        <v>1</v>
      </c>
      <c r="B2" t="s">
        <v>1130</v>
      </c>
      <c r="C2" t="s">
        <v>665</v>
      </c>
      <c r="D2" t="s">
        <v>1131</v>
      </c>
      <c r="E2">
        <v>3</v>
      </c>
      <c r="F2">
        <v>30</v>
      </c>
      <c r="G2">
        <v>22</v>
      </c>
      <c r="H2" t="s">
        <v>32</v>
      </c>
      <c r="I2" t="s">
        <v>1132</v>
      </c>
      <c r="J2" t="s">
        <v>1133</v>
      </c>
    </row>
    <row r="3" spans="1:10" x14ac:dyDescent="0.45">
      <c r="A3">
        <v>2</v>
      </c>
      <c r="B3" t="s">
        <v>1130</v>
      </c>
      <c r="C3" t="s">
        <v>665</v>
      </c>
      <c r="D3" t="s">
        <v>1131</v>
      </c>
      <c r="E3">
        <v>3</v>
      </c>
      <c r="F3">
        <v>70</v>
      </c>
      <c r="G3">
        <v>22</v>
      </c>
      <c r="H3" t="s">
        <v>32</v>
      </c>
      <c r="I3" t="s">
        <v>1134</v>
      </c>
      <c r="J3" t="s">
        <v>1133</v>
      </c>
    </row>
    <row r="4" spans="1:10" x14ac:dyDescent="0.45">
      <c r="A4">
        <v>3</v>
      </c>
      <c r="B4" t="s">
        <v>1130</v>
      </c>
      <c r="C4" t="s">
        <v>665</v>
      </c>
      <c r="D4" t="s">
        <v>1131</v>
      </c>
      <c r="E4">
        <v>3</v>
      </c>
      <c r="F4">
        <v>100</v>
      </c>
      <c r="G4">
        <v>22</v>
      </c>
      <c r="H4" t="s">
        <v>32</v>
      </c>
      <c r="I4" t="s">
        <v>1135</v>
      </c>
      <c r="J4" t="s">
        <v>1133</v>
      </c>
    </row>
    <row r="5" spans="1:10" x14ac:dyDescent="0.45">
      <c r="A5">
        <v>4</v>
      </c>
      <c r="B5" t="s">
        <v>1130</v>
      </c>
      <c r="C5" t="s">
        <v>665</v>
      </c>
      <c r="D5" t="s">
        <v>1131</v>
      </c>
      <c r="E5">
        <v>3</v>
      </c>
      <c r="F5">
        <v>150</v>
      </c>
      <c r="G5">
        <v>42</v>
      </c>
      <c r="H5" t="s">
        <v>32</v>
      </c>
      <c r="I5" t="s">
        <v>1136</v>
      </c>
      <c r="J5" t="s">
        <v>1133</v>
      </c>
    </row>
    <row r="6" spans="1:10" x14ac:dyDescent="0.45">
      <c r="A6">
        <v>5</v>
      </c>
      <c r="B6" t="s">
        <v>1130</v>
      </c>
      <c r="C6" t="s">
        <v>665</v>
      </c>
      <c r="D6" t="s">
        <v>1131</v>
      </c>
      <c r="E6">
        <v>3</v>
      </c>
      <c r="F6">
        <v>200</v>
      </c>
      <c r="G6">
        <v>42</v>
      </c>
      <c r="H6" t="s">
        <v>32</v>
      </c>
      <c r="I6" t="s">
        <v>1137</v>
      </c>
      <c r="J6" t="s">
        <v>1133</v>
      </c>
    </row>
    <row r="7" spans="1:10" x14ac:dyDescent="0.45">
      <c r="A7">
        <v>6</v>
      </c>
      <c r="B7" t="s">
        <v>1130</v>
      </c>
      <c r="C7" t="s">
        <v>665</v>
      </c>
      <c r="D7" t="s">
        <v>1131</v>
      </c>
      <c r="E7">
        <v>3</v>
      </c>
      <c r="F7">
        <v>225</v>
      </c>
      <c r="G7">
        <v>42</v>
      </c>
      <c r="H7" t="s">
        <v>32</v>
      </c>
      <c r="I7" t="s">
        <v>1138</v>
      </c>
      <c r="J7" t="s">
        <v>1133</v>
      </c>
    </row>
    <row r="8" spans="1:10" x14ac:dyDescent="0.45">
      <c r="A8">
        <v>7</v>
      </c>
      <c r="B8" t="s">
        <v>1130</v>
      </c>
      <c r="C8" t="s">
        <v>665</v>
      </c>
      <c r="D8" t="s">
        <v>1131</v>
      </c>
      <c r="E8">
        <v>3</v>
      </c>
      <c r="F8">
        <v>260</v>
      </c>
      <c r="G8">
        <v>50</v>
      </c>
      <c r="H8" t="s">
        <v>32</v>
      </c>
      <c r="I8" t="s">
        <v>1139</v>
      </c>
      <c r="J8" t="s">
        <v>1133</v>
      </c>
    </row>
    <row r="9" spans="1:10" x14ac:dyDescent="0.45">
      <c r="A9">
        <v>8</v>
      </c>
      <c r="B9" t="s">
        <v>1130</v>
      </c>
      <c r="C9" t="s">
        <v>665</v>
      </c>
      <c r="D9" t="s">
        <v>1131</v>
      </c>
      <c r="E9">
        <v>3</v>
      </c>
      <c r="F9">
        <v>400</v>
      </c>
      <c r="G9">
        <v>50</v>
      </c>
      <c r="H9" t="s">
        <v>32</v>
      </c>
      <c r="I9" t="s">
        <v>1140</v>
      </c>
      <c r="J9" t="s">
        <v>1133</v>
      </c>
    </row>
    <row r="10" spans="1:10" x14ac:dyDescent="0.45">
      <c r="A10">
        <v>9</v>
      </c>
      <c r="B10" t="s">
        <v>1130</v>
      </c>
      <c r="C10" t="s">
        <v>665</v>
      </c>
      <c r="D10" t="s">
        <v>1131</v>
      </c>
      <c r="E10">
        <v>3</v>
      </c>
      <c r="F10">
        <v>600</v>
      </c>
      <c r="G10">
        <v>65</v>
      </c>
      <c r="H10" t="s">
        <v>32</v>
      </c>
      <c r="I10" t="s">
        <v>1141</v>
      </c>
      <c r="J10" t="s">
        <v>1133</v>
      </c>
    </row>
    <row r="11" spans="1:10" x14ac:dyDescent="0.45">
      <c r="A11">
        <v>10</v>
      </c>
      <c r="B11" t="s">
        <v>1130</v>
      </c>
      <c r="C11" t="s">
        <v>665</v>
      </c>
      <c r="D11" t="s">
        <v>1131</v>
      </c>
      <c r="E11">
        <v>3</v>
      </c>
      <c r="F11">
        <v>800</v>
      </c>
      <c r="G11">
        <v>65</v>
      </c>
      <c r="H11" t="s">
        <v>32</v>
      </c>
      <c r="I11" t="s">
        <v>1142</v>
      </c>
      <c r="J11" t="s">
        <v>1133</v>
      </c>
    </row>
    <row r="12" spans="1:10" x14ac:dyDescent="0.45">
      <c r="A12">
        <v>11</v>
      </c>
      <c r="B12" t="s">
        <v>1130</v>
      </c>
      <c r="C12" t="s">
        <v>665</v>
      </c>
      <c r="D12" t="s">
        <v>1131</v>
      </c>
      <c r="E12">
        <v>3</v>
      </c>
      <c r="F12">
        <v>1000</v>
      </c>
      <c r="G12">
        <v>65</v>
      </c>
      <c r="H12" t="s">
        <v>32</v>
      </c>
      <c r="I12" t="s">
        <v>1143</v>
      </c>
      <c r="J12" t="s">
        <v>1133</v>
      </c>
    </row>
    <row r="13" spans="1:10" x14ac:dyDescent="0.45">
      <c r="A13">
        <v>12</v>
      </c>
      <c r="B13" t="s">
        <v>1130</v>
      </c>
      <c r="C13" t="s">
        <v>665</v>
      </c>
      <c r="D13" t="s">
        <v>1131</v>
      </c>
      <c r="E13">
        <v>3</v>
      </c>
      <c r="F13">
        <v>1200</v>
      </c>
      <c r="G13">
        <v>65</v>
      </c>
      <c r="H13" t="s">
        <v>32</v>
      </c>
      <c r="I13" t="s">
        <v>1144</v>
      </c>
      <c r="J13" t="s">
        <v>1133</v>
      </c>
    </row>
    <row r="14" spans="1:10" x14ac:dyDescent="0.45">
      <c r="A14">
        <v>13</v>
      </c>
      <c r="B14" t="s">
        <v>1130</v>
      </c>
      <c r="C14" t="s">
        <v>665</v>
      </c>
      <c r="D14" t="s">
        <v>1131</v>
      </c>
      <c r="E14">
        <v>3</v>
      </c>
      <c r="F14">
        <v>1600</v>
      </c>
      <c r="G14">
        <v>85</v>
      </c>
      <c r="H14" t="s">
        <v>149</v>
      </c>
      <c r="I14" t="s">
        <v>1145</v>
      </c>
      <c r="J14" t="s">
        <v>1133</v>
      </c>
    </row>
    <row r="15" spans="1:10" x14ac:dyDescent="0.45">
      <c r="A15">
        <v>14</v>
      </c>
      <c r="B15" t="s">
        <v>1130</v>
      </c>
      <c r="C15" t="s">
        <v>665</v>
      </c>
      <c r="D15" t="s">
        <v>1131</v>
      </c>
      <c r="E15">
        <v>3</v>
      </c>
      <c r="F15">
        <v>2000</v>
      </c>
      <c r="G15">
        <v>85</v>
      </c>
      <c r="H15" t="s">
        <v>149</v>
      </c>
      <c r="I15" t="s">
        <v>1146</v>
      </c>
      <c r="J15" t="s">
        <v>1133</v>
      </c>
    </row>
    <row r="16" spans="1:10" x14ac:dyDescent="0.45">
      <c r="A16">
        <v>15</v>
      </c>
      <c r="B16" t="s">
        <v>1130</v>
      </c>
      <c r="C16" t="s">
        <v>665</v>
      </c>
      <c r="D16" t="s">
        <v>1131</v>
      </c>
      <c r="E16">
        <v>3</v>
      </c>
      <c r="F16">
        <v>2500</v>
      </c>
      <c r="G16">
        <v>85</v>
      </c>
      <c r="H16" t="s">
        <v>149</v>
      </c>
      <c r="I16" t="s">
        <v>1147</v>
      </c>
      <c r="J16" t="s">
        <v>1133</v>
      </c>
    </row>
    <row r="17" spans="1:10" x14ac:dyDescent="0.45">
      <c r="A17">
        <v>16</v>
      </c>
      <c r="B17" t="s">
        <v>1130</v>
      </c>
      <c r="C17" t="s">
        <v>665</v>
      </c>
      <c r="D17" t="s">
        <v>1131</v>
      </c>
      <c r="E17">
        <v>3</v>
      </c>
      <c r="F17">
        <v>3000</v>
      </c>
      <c r="G17">
        <v>85</v>
      </c>
      <c r="H17" t="s">
        <v>149</v>
      </c>
      <c r="I17" t="s">
        <v>1148</v>
      </c>
      <c r="J17" t="s">
        <v>1133</v>
      </c>
    </row>
    <row r="18" spans="1:10" x14ac:dyDescent="0.45">
      <c r="A18">
        <v>17</v>
      </c>
      <c r="B18" t="s">
        <v>1130</v>
      </c>
      <c r="C18" t="s">
        <v>665</v>
      </c>
      <c r="D18" t="s">
        <v>1131</v>
      </c>
      <c r="E18">
        <v>3</v>
      </c>
      <c r="F18">
        <v>4000</v>
      </c>
      <c r="G18">
        <v>100</v>
      </c>
      <c r="H18" t="s">
        <v>149</v>
      </c>
      <c r="I18" t="s">
        <v>1149</v>
      </c>
      <c r="J18" t="s">
        <v>1133</v>
      </c>
    </row>
    <row r="19" spans="1:10" x14ac:dyDescent="0.45">
      <c r="A19">
        <v>18</v>
      </c>
      <c r="B19" t="s">
        <v>1130</v>
      </c>
      <c r="C19" t="s">
        <v>665</v>
      </c>
      <c r="D19" t="s">
        <v>1131</v>
      </c>
      <c r="E19">
        <v>4</v>
      </c>
      <c r="F19">
        <v>30</v>
      </c>
      <c r="G19">
        <v>22</v>
      </c>
      <c r="H19" t="s">
        <v>32</v>
      </c>
      <c r="I19" t="s">
        <v>1150</v>
      </c>
      <c r="J19" t="s">
        <v>1151</v>
      </c>
    </row>
    <row r="20" spans="1:10" x14ac:dyDescent="0.45">
      <c r="A20">
        <v>19</v>
      </c>
      <c r="B20" t="s">
        <v>1130</v>
      </c>
      <c r="C20" t="s">
        <v>665</v>
      </c>
      <c r="D20" t="s">
        <v>1131</v>
      </c>
      <c r="E20">
        <v>4</v>
      </c>
      <c r="F20">
        <v>70</v>
      </c>
      <c r="G20">
        <v>22</v>
      </c>
      <c r="H20" t="s">
        <v>32</v>
      </c>
      <c r="I20" t="s">
        <v>1152</v>
      </c>
      <c r="J20" t="s">
        <v>1151</v>
      </c>
    </row>
    <row r="21" spans="1:10" x14ac:dyDescent="0.45">
      <c r="A21">
        <v>20</v>
      </c>
      <c r="B21" t="s">
        <v>1130</v>
      </c>
      <c r="C21" t="s">
        <v>665</v>
      </c>
      <c r="D21" t="s">
        <v>1131</v>
      </c>
      <c r="E21">
        <v>4</v>
      </c>
      <c r="F21">
        <v>100</v>
      </c>
      <c r="G21">
        <v>22</v>
      </c>
      <c r="H21" t="s">
        <v>32</v>
      </c>
      <c r="I21" t="s">
        <v>1153</v>
      </c>
      <c r="J21" t="s">
        <v>1151</v>
      </c>
    </row>
    <row r="22" spans="1:10" x14ac:dyDescent="0.45">
      <c r="A22">
        <v>21</v>
      </c>
      <c r="B22" t="s">
        <v>1130</v>
      </c>
      <c r="C22" t="s">
        <v>665</v>
      </c>
      <c r="D22" t="s">
        <v>1131</v>
      </c>
      <c r="E22">
        <v>4</v>
      </c>
      <c r="F22">
        <v>150</v>
      </c>
      <c r="G22">
        <v>42</v>
      </c>
      <c r="H22" t="s">
        <v>32</v>
      </c>
      <c r="I22" t="s">
        <v>1154</v>
      </c>
      <c r="J22" t="s">
        <v>1151</v>
      </c>
    </row>
    <row r="23" spans="1:10" x14ac:dyDescent="0.45">
      <c r="A23">
        <v>22</v>
      </c>
      <c r="B23" t="s">
        <v>1130</v>
      </c>
      <c r="C23" t="s">
        <v>665</v>
      </c>
      <c r="D23" t="s">
        <v>1131</v>
      </c>
      <c r="E23">
        <v>4</v>
      </c>
      <c r="F23">
        <v>200</v>
      </c>
      <c r="G23">
        <v>42</v>
      </c>
      <c r="H23" t="s">
        <v>32</v>
      </c>
      <c r="I23" t="s">
        <v>1155</v>
      </c>
      <c r="J23" t="s">
        <v>1151</v>
      </c>
    </row>
    <row r="24" spans="1:10" x14ac:dyDescent="0.45">
      <c r="A24">
        <v>23</v>
      </c>
      <c r="B24" t="s">
        <v>1130</v>
      </c>
      <c r="C24" t="s">
        <v>665</v>
      </c>
      <c r="D24" t="s">
        <v>1131</v>
      </c>
      <c r="E24">
        <v>4</v>
      </c>
      <c r="F24">
        <v>225</v>
      </c>
      <c r="G24">
        <v>42</v>
      </c>
      <c r="H24" t="s">
        <v>32</v>
      </c>
      <c r="I24" t="s">
        <v>1156</v>
      </c>
      <c r="J24" t="s">
        <v>1151</v>
      </c>
    </row>
    <row r="25" spans="1:10" x14ac:dyDescent="0.45">
      <c r="A25">
        <v>24</v>
      </c>
      <c r="B25" t="s">
        <v>1130</v>
      </c>
      <c r="C25" t="s">
        <v>665</v>
      </c>
      <c r="D25" t="s">
        <v>1131</v>
      </c>
      <c r="E25">
        <v>4</v>
      </c>
      <c r="F25">
        <v>260</v>
      </c>
      <c r="G25">
        <v>50</v>
      </c>
      <c r="H25" t="s">
        <v>32</v>
      </c>
      <c r="I25" t="s">
        <v>1157</v>
      </c>
      <c r="J25" t="s">
        <v>1151</v>
      </c>
    </row>
    <row r="26" spans="1:10" x14ac:dyDescent="0.45">
      <c r="A26">
        <v>25</v>
      </c>
      <c r="B26" t="s">
        <v>1130</v>
      </c>
      <c r="C26" t="s">
        <v>665</v>
      </c>
      <c r="D26" t="s">
        <v>1131</v>
      </c>
      <c r="E26">
        <v>4</v>
      </c>
      <c r="F26">
        <v>400</v>
      </c>
      <c r="G26">
        <v>50</v>
      </c>
      <c r="H26" t="s">
        <v>32</v>
      </c>
      <c r="I26" t="s">
        <v>1158</v>
      </c>
      <c r="J26" t="s">
        <v>1151</v>
      </c>
    </row>
    <row r="27" spans="1:10" x14ac:dyDescent="0.45">
      <c r="A27">
        <v>26</v>
      </c>
      <c r="B27" t="s">
        <v>1130</v>
      </c>
      <c r="C27" t="s">
        <v>665</v>
      </c>
      <c r="D27" t="s">
        <v>1131</v>
      </c>
      <c r="E27">
        <v>4</v>
      </c>
      <c r="F27">
        <v>600</v>
      </c>
      <c r="G27">
        <v>65</v>
      </c>
      <c r="H27" t="s">
        <v>32</v>
      </c>
      <c r="I27" t="s">
        <v>1159</v>
      </c>
      <c r="J27" t="s">
        <v>1151</v>
      </c>
    </row>
    <row r="28" spans="1:10" x14ac:dyDescent="0.45">
      <c r="A28">
        <v>27</v>
      </c>
      <c r="B28" t="s">
        <v>1130</v>
      </c>
      <c r="C28" t="s">
        <v>665</v>
      </c>
      <c r="D28" t="s">
        <v>1131</v>
      </c>
      <c r="E28">
        <v>4</v>
      </c>
      <c r="F28">
        <v>800</v>
      </c>
      <c r="G28">
        <v>65</v>
      </c>
      <c r="H28" t="s">
        <v>32</v>
      </c>
      <c r="I28" t="s">
        <v>1160</v>
      </c>
      <c r="J28" t="s">
        <v>1151</v>
      </c>
    </row>
    <row r="29" spans="1:10" x14ac:dyDescent="0.45">
      <c r="A29">
        <v>28</v>
      </c>
      <c r="B29" t="s">
        <v>1130</v>
      </c>
      <c r="C29" t="s">
        <v>665</v>
      </c>
      <c r="D29" t="s">
        <v>1131</v>
      </c>
      <c r="E29">
        <v>4</v>
      </c>
      <c r="F29">
        <v>1000</v>
      </c>
      <c r="G29">
        <v>65</v>
      </c>
      <c r="H29" t="s">
        <v>32</v>
      </c>
      <c r="I29" t="s">
        <v>1161</v>
      </c>
      <c r="J29" t="s">
        <v>1151</v>
      </c>
    </row>
    <row r="30" spans="1:10" x14ac:dyDescent="0.45">
      <c r="A30">
        <v>29</v>
      </c>
      <c r="B30" t="s">
        <v>1130</v>
      </c>
      <c r="C30" t="s">
        <v>665</v>
      </c>
      <c r="D30" t="s">
        <v>1131</v>
      </c>
      <c r="E30">
        <v>4</v>
      </c>
      <c r="F30">
        <v>1200</v>
      </c>
      <c r="G30">
        <v>65</v>
      </c>
      <c r="H30" t="s">
        <v>32</v>
      </c>
      <c r="I30" t="s">
        <v>1162</v>
      </c>
      <c r="J30" t="s">
        <v>1151</v>
      </c>
    </row>
    <row r="31" spans="1:10" x14ac:dyDescent="0.45">
      <c r="A31">
        <v>30</v>
      </c>
      <c r="B31" t="s">
        <v>1130</v>
      </c>
      <c r="C31" t="s">
        <v>665</v>
      </c>
      <c r="D31" t="s">
        <v>1131</v>
      </c>
      <c r="E31">
        <v>4</v>
      </c>
      <c r="F31">
        <v>1600</v>
      </c>
      <c r="G31">
        <v>85</v>
      </c>
      <c r="H31" t="s">
        <v>149</v>
      </c>
      <c r="I31" t="s">
        <v>1163</v>
      </c>
      <c r="J31" t="s">
        <v>1151</v>
      </c>
    </row>
    <row r="32" spans="1:10" x14ac:dyDescent="0.45">
      <c r="A32">
        <v>31</v>
      </c>
      <c r="B32" t="s">
        <v>1130</v>
      </c>
      <c r="C32" t="s">
        <v>665</v>
      </c>
      <c r="D32" t="s">
        <v>1131</v>
      </c>
      <c r="E32">
        <v>4</v>
      </c>
      <c r="F32">
        <v>2000</v>
      </c>
      <c r="G32">
        <v>85</v>
      </c>
      <c r="H32" t="s">
        <v>149</v>
      </c>
      <c r="I32" t="s">
        <v>1164</v>
      </c>
      <c r="J32" t="s">
        <v>1151</v>
      </c>
    </row>
    <row r="33" spans="1:10" x14ac:dyDescent="0.45">
      <c r="A33">
        <v>32</v>
      </c>
      <c r="B33" t="s">
        <v>1130</v>
      </c>
      <c r="C33" t="s">
        <v>665</v>
      </c>
      <c r="D33" t="s">
        <v>1131</v>
      </c>
      <c r="E33">
        <v>4</v>
      </c>
      <c r="F33">
        <v>2500</v>
      </c>
      <c r="G33">
        <v>85</v>
      </c>
      <c r="H33" t="s">
        <v>149</v>
      </c>
      <c r="I33" t="s">
        <v>1165</v>
      </c>
      <c r="J33" t="s">
        <v>1151</v>
      </c>
    </row>
    <row r="34" spans="1:10" x14ac:dyDescent="0.45">
      <c r="A34">
        <v>33</v>
      </c>
      <c r="B34" t="s">
        <v>1130</v>
      </c>
      <c r="C34" t="s">
        <v>665</v>
      </c>
      <c r="D34" t="s">
        <v>1131</v>
      </c>
      <c r="E34">
        <v>4</v>
      </c>
      <c r="F34">
        <v>3000</v>
      </c>
      <c r="G34">
        <v>85</v>
      </c>
      <c r="H34" t="s">
        <v>149</v>
      </c>
      <c r="I34" t="s">
        <v>1166</v>
      </c>
      <c r="J34" t="s">
        <v>1151</v>
      </c>
    </row>
    <row r="35" spans="1:10" x14ac:dyDescent="0.45">
      <c r="A35">
        <v>34</v>
      </c>
      <c r="B35" t="s">
        <v>1130</v>
      </c>
      <c r="C35" t="s">
        <v>665</v>
      </c>
      <c r="D35" t="s">
        <v>1131</v>
      </c>
      <c r="E35">
        <v>4</v>
      </c>
      <c r="F35">
        <v>4000</v>
      </c>
      <c r="G35">
        <v>100</v>
      </c>
      <c r="H35" t="s">
        <v>149</v>
      </c>
      <c r="I35" t="s">
        <v>1167</v>
      </c>
      <c r="J35" t="s">
        <v>1151</v>
      </c>
    </row>
    <row r="36" spans="1:10" x14ac:dyDescent="0.45">
      <c r="A36">
        <v>35</v>
      </c>
      <c r="B36" t="s">
        <v>1130</v>
      </c>
      <c r="C36" t="s">
        <v>665</v>
      </c>
      <c r="D36" t="s">
        <v>1168</v>
      </c>
      <c r="E36">
        <v>3</v>
      </c>
      <c r="F36">
        <v>30</v>
      </c>
      <c r="G36">
        <v>22</v>
      </c>
      <c r="H36" t="s">
        <v>149</v>
      </c>
      <c r="I36" t="s">
        <v>1169</v>
      </c>
      <c r="J36" t="s">
        <v>1170</v>
      </c>
    </row>
    <row r="37" spans="1:10" x14ac:dyDescent="0.45">
      <c r="A37">
        <v>36</v>
      </c>
      <c r="B37" t="s">
        <v>1130</v>
      </c>
      <c r="C37" t="s">
        <v>665</v>
      </c>
      <c r="D37" t="s">
        <v>1168</v>
      </c>
      <c r="E37">
        <v>3</v>
      </c>
      <c r="F37">
        <v>70</v>
      </c>
      <c r="G37">
        <v>22</v>
      </c>
      <c r="H37" t="s">
        <v>149</v>
      </c>
      <c r="I37" t="s">
        <v>1171</v>
      </c>
      <c r="J37" t="s">
        <v>1170</v>
      </c>
    </row>
    <row r="38" spans="1:10" x14ac:dyDescent="0.45">
      <c r="A38">
        <v>37</v>
      </c>
      <c r="B38" t="s">
        <v>1130</v>
      </c>
      <c r="C38" t="s">
        <v>665</v>
      </c>
      <c r="D38" t="s">
        <v>1168</v>
      </c>
      <c r="E38">
        <v>3</v>
      </c>
      <c r="F38">
        <v>100</v>
      </c>
      <c r="G38">
        <v>22</v>
      </c>
      <c r="H38" t="s">
        <v>149</v>
      </c>
      <c r="I38" t="s">
        <v>1172</v>
      </c>
      <c r="J38" t="s">
        <v>1170</v>
      </c>
    </row>
    <row r="39" spans="1:10" x14ac:dyDescent="0.45">
      <c r="A39">
        <v>38</v>
      </c>
      <c r="B39" t="s">
        <v>1130</v>
      </c>
      <c r="C39" t="s">
        <v>665</v>
      </c>
      <c r="D39" t="s">
        <v>1168</v>
      </c>
      <c r="E39">
        <v>3</v>
      </c>
      <c r="F39">
        <v>150</v>
      </c>
      <c r="G39">
        <v>42</v>
      </c>
      <c r="H39" t="s">
        <v>149</v>
      </c>
      <c r="I39" t="s">
        <v>1173</v>
      </c>
      <c r="J39" t="s">
        <v>1170</v>
      </c>
    </row>
    <row r="40" spans="1:10" x14ac:dyDescent="0.45">
      <c r="A40">
        <v>39</v>
      </c>
      <c r="B40" t="s">
        <v>1130</v>
      </c>
      <c r="C40" t="s">
        <v>665</v>
      </c>
      <c r="D40" t="s">
        <v>1168</v>
      </c>
      <c r="E40">
        <v>3</v>
      </c>
      <c r="F40">
        <v>200</v>
      </c>
      <c r="G40">
        <v>42</v>
      </c>
      <c r="H40" t="s">
        <v>149</v>
      </c>
      <c r="I40" t="s">
        <v>1174</v>
      </c>
      <c r="J40" t="s">
        <v>1170</v>
      </c>
    </row>
    <row r="41" spans="1:10" x14ac:dyDescent="0.45">
      <c r="A41">
        <v>40</v>
      </c>
      <c r="B41" t="s">
        <v>1130</v>
      </c>
      <c r="C41" t="s">
        <v>665</v>
      </c>
      <c r="D41" t="s">
        <v>1168</v>
      </c>
      <c r="E41">
        <v>3</v>
      </c>
      <c r="F41">
        <v>225</v>
      </c>
      <c r="G41">
        <v>42</v>
      </c>
      <c r="H41" t="s">
        <v>149</v>
      </c>
      <c r="I41" t="s">
        <v>1175</v>
      </c>
      <c r="J41" t="s">
        <v>1170</v>
      </c>
    </row>
    <row r="42" spans="1:10" x14ac:dyDescent="0.45">
      <c r="A42">
        <v>41</v>
      </c>
      <c r="B42" t="s">
        <v>1130</v>
      </c>
      <c r="C42" t="s">
        <v>665</v>
      </c>
      <c r="D42" t="s">
        <v>1168</v>
      </c>
      <c r="E42">
        <v>3</v>
      </c>
      <c r="F42">
        <v>260</v>
      </c>
      <c r="G42">
        <v>50</v>
      </c>
      <c r="H42" t="s">
        <v>149</v>
      </c>
      <c r="I42" t="s">
        <v>1176</v>
      </c>
      <c r="J42" t="s">
        <v>1170</v>
      </c>
    </row>
    <row r="43" spans="1:10" x14ac:dyDescent="0.45">
      <c r="A43">
        <v>42</v>
      </c>
      <c r="B43" t="s">
        <v>1130</v>
      </c>
      <c r="C43" t="s">
        <v>665</v>
      </c>
      <c r="D43" t="s">
        <v>1168</v>
      </c>
      <c r="E43">
        <v>3</v>
      </c>
      <c r="F43">
        <v>400</v>
      </c>
      <c r="G43">
        <v>50</v>
      </c>
      <c r="H43" t="s">
        <v>149</v>
      </c>
      <c r="I43" t="s">
        <v>1177</v>
      </c>
      <c r="J43" t="s">
        <v>1170</v>
      </c>
    </row>
    <row r="44" spans="1:10" x14ac:dyDescent="0.45">
      <c r="A44">
        <v>43</v>
      </c>
      <c r="B44" t="s">
        <v>1130</v>
      </c>
      <c r="C44" t="s">
        <v>665</v>
      </c>
      <c r="D44" t="s">
        <v>1168</v>
      </c>
      <c r="E44">
        <v>3</v>
      </c>
      <c r="F44">
        <v>600</v>
      </c>
      <c r="G44">
        <v>65</v>
      </c>
      <c r="H44" t="s">
        <v>149</v>
      </c>
      <c r="I44" t="s">
        <v>1178</v>
      </c>
      <c r="J44" t="s">
        <v>1170</v>
      </c>
    </row>
    <row r="45" spans="1:10" x14ac:dyDescent="0.45">
      <c r="A45">
        <v>44</v>
      </c>
      <c r="B45" t="s">
        <v>1130</v>
      </c>
      <c r="C45" t="s">
        <v>665</v>
      </c>
      <c r="D45" t="s">
        <v>1168</v>
      </c>
      <c r="E45">
        <v>3</v>
      </c>
      <c r="F45">
        <v>800</v>
      </c>
      <c r="G45">
        <v>65</v>
      </c>
      <c r="H45" t="s">
        <v>149</v>
      </c>
      <c r="I45" t="s">
        <v>1179</v>
      </c>
      <c r="J45" t="s">
        <v>1170</v>
      </c>
    </row>
    <row r="46" spans="1:10" x14ac:dyDescent="0.45">
      <c r="A46">
        <v>45</v>
      </c>
      <c r="B46" t="s">
        <v>1130</v>
      </c>
      <c r="C46" t="s">
        <v>665</v>
      </c>
      <c r="D46" t="s">
        <v>1168</v>
      </c>
      <c r="E46">
        <v>3</v>
      </c>
      <c r="F46">
        <v>1000</v>
      </c>
      <c r="G46">
        <v>65</v>
      </c>
      <c r="H46" t="s">
        <v>149</v>
      </c>
      <c r="I46" t="s">
        <v>1180</v>
      </c>
      <c r="J46" t="s">
        <v>1170</v>
      </c>
    </row>
    <row r="47" spans="1:10" x14ac:dyDescent="0.45">
      <c r="A47">
        <v>46</v>
      </c>
      <c r="B47" t="s">
        <v>1130</v>
      </c>
      <c r="C47" t="s">
        <v>665</v>
      </c>
      <c r="D47" t="s">
        <v>1168</v>
      </c>
      <c r="E47">
        <v>3</v>
      </c>
      <c r="F47">
        <v>1200</v>
      </c>
      <c r="G47">
        <v>65</v>
      </c>
      <c r="H47" t="s">
        <v>149</v>
      </c>
      <c r="I47" t="s">
        <v>1181</v>
      </c>
      <c r="J47" t="s">
        <v>1170</v>
      </c>
    </row>
    <row r="48" spans="1:10" x14ac:dyDescent="0.45">
      <c r="A48">
        <v>47</v>
      </c>
      <c r="B48" t="s">
        <v>1130</v>
      </c>
      <c r="C48" t="s">
        <v>665</v>
      </c>
      <c r="D48" t="s">
        <v>1168</v>
      </c>
      <c r="E48">
        <v>3</v>
      </c>
      <c r="F48">
        <v>1600</v>
      </c>
      <c r="G48">
        <v>85</v>
      </c>
      <c r="H48" t="s">
        <v>149</v>
      </c>
      <c r="I48" t="s">
        <v>1182</v>
      </c>
      <c r="J48" t="s">
        <v>1170</v>
      </c>
    </row>
    <row r="49" spans="1:10" x14ac:dyDescent="0.45">
      <c r="A49">
        <v>48</v>
      </c>
      <c r="B49" t="s">
        <v>1130</v>
      </c>
      <c r="C49" t="s">
        <v>665</v>
      </c>
      <c r="D49" t="s">
        <v>1168</v>
      </c>
      <c r="E49">
        <v>3</v>
      </c>
      <c r="F49">
        <v>2000</v>
      </c>
      <c r="G49">
        <v>85</v>
      </c>
      <c r="H49" t="s">
        <v>149</v>
      </c>
      <c r="I49" t="s">
        <v>1183</v>
      </c>
      <c r="J49" t="s">
        <v>1170</v>
      </c>
    </row>
    <row r="50" spans="1:10" x14ac:dyDescent="0.45">
      <c r="A50">
        <v>49</v>
      </c>
      <c r="B50" t="s">
        <v>1130</v>
      </c>
      <c r="C50" t="s">
        <v>665</v>
      </c>
      <c r="D50" t="s">
        <v>1168</v>
      </c>
      <c r="E50">
        <v>3</v>
      </c>
      <c r="F50">
        <v>2500</v>
      </c>
      <c r="G50">
        <v>85</v>
      </c>
      <c r="H50" t="s">
        <v>149</v>
      </c>
      <c r="I50" t="s">
        <v>1184</v>
      </c>
      <c r="J50" t="s">
        <v>1170</v>
      </c>
    </row>
    <row r="51" spans="1:10" x14ac:dyDescent="0.45">
      <c r="A51">
        <v>50</v>
      </c>
      <c r="B51" t="s">
        <v>1130</v>
      </c>
      <c r="C51" t="s">
        <v>665</v>
      </c>
      <c r="D51" t="s">
        <v>1168</v>
      </c>
      <c r="E51">
        <v>3</v>
      </c>
      <c r="F51">
        <v>3000</v>
      </c>
      <c r="G51">
        <v>85</v>
      </c>
      <c r="H51" t="s">
        <v>149</v>
      </c>
      <c r="I51" t="s">
        <v>1185</v>
      </c>
      <c r="J51" t="s">
        <v>1170</v>
      </c>
    </row>
    <row r="52" spans="1:10" x14ac:dyDescent="0.45">
      <c r="A52">
        <v>51</v>
      </c>
      <c r="B52" t="s">
        <v>1130</v>
      </c>
      <c r="C52" t="s">
        <v>665</v>
      </c>
      <c r="D52" t="s">
        <v>1168</v>
      </c>
      <c r="E52">
        <v>3</v>
      </c>
      <c r="F52">
        <v>4000</v>
      </c>
      <c r="G52">
        <v>100</v>
      </c>
      <c r="H52" t="s">
        <v>149</v>
      </c>
      <c r="I52" t="s">
        <v>1186</v>
      </c>
      <c r="J52" t="s">
        <v>1170</v>
      </c>
    </row>
    <row r="53" spans="1:10" x14ac:dyDescent="0.45">
      <c r="A53">
        <v>52</v>
      </c>
      <c r="B53" t="s">
        <v>1130</v>
      </c>
      <c r="C53" t="s">
        <v>665</v>
      </c>
      <c r="D53" t="s">
        <v>1168</v>
      </c>
      <c r="E53">
        <v>4</v>
      </c>
      <c r="F53">
        <v>30</v>
      </c>
      <c r="G53">
        <v>22</v>
      </c>
      <c r="H53" t="s">
        <v>149</v>
      </c>
      <c r="I53" t="s">
        <v>1187</v>
      </c>
      <c r="J53" t="s">
        <v>1188</v>
      </c>
    </row>
    <row r="54" spans="1:10" x14ac:dyDescent="0.45">
      <c r="A54">
        <v>53</v>
      </c>
      <c r="B54" t="s">
        <v>1130</v>
      </c>
      <c r="C54" t="s">
        <v>665</v>
      </c>
      <c r="D54" t="s">
        <v>1168</v>
      </c>
      <c r="E54">
        <v>4</v>
      </c>
      <c r="F54">
        <v>70</v>
      </c>
      <c r="G54">
        <v>22</v>
      </c>
      <c r="H54" t="s">
        <v>149</v>
      </c>
      <c r="I54" t="s">
        <v>1189</v>
      </c>
      <c r="J54" t="s">
        <v>1188</v>
      </c>
    </row>
    <row r="55" spans="1:10" x14ac:dyDescent="0.45">
      <c r="A55">
        <v>54</v>
      </c>
      <c r="B55" t="s">
        <v>1130</v>
      </c>
      <c r="C55" t="s">
        <v>665</v>
      </c>
      <c r="D55" t="s">
        <v>1168</v>
      </c>
      <c r="E55">
        <v>4</v>
      </c>
      <c r="F55">
        <v>100</v>
      </c>
      <c r="G55">
        <v>22</v>
      </c>
      <c r="H55" t="s">
        <v>149</v>
      </c>
      <c r="I55" t="s">
        <v>1190</v>
      </c>
      <c r="J55" t="s">
        <v>1188</v>
      </c>
    </row>
    <row r="56" spans="1:10" x14ac:dyDescent="0.45">
      <c r="A56">
        <v>55</v>
      </c>
      <c r="B56" t="s">
        <v>1130</v>
      </c>
      <c r="C56" t="s">
        <v>665</v>
      </c>
      <c r="D56" t="s">
        <v>1168</v>
      </c>
      <c r="E56">
        <v>4</v>
      </c>
      <c r="F56">
        <v>150</v>
      </c>
      <c r="G56">
        <v>42</v>
      </c>
      <c r="H56" t="s">
        <v>149</v>
      </c>
      <c r="I56" t="s">
        <v>1191</v>
      </c>
      <c r="J56" t="s">
        <v>1188</v>
      </c>
    </row>
    <row r="57" spans="1:10" x14ac:dyDescent="0.45">
      <c r="A57">
        <v>56</v>
      </c>
      <c r="B57" t="s">
        <v>1130</v>
      </c>
      <c r="C57" t="s">
        <v>665</v>
      </c>
      <c r="D57" t="s">
        <v>1168</v>
      </c>
      <c r="E57">
        <v>4</v>
      </c>
      <c r="F57">
        <v>200</v>
      </c>
      <c r="G57">
        <v>42</v>
      </c>
      <c r="H57" t="s">
        <v>149</v>
      </c>
      <c r="I57" t="s">
        <v>1192</v>
      </c>
      <c r="J57" t="s">
        <v>1188</v>
      </c>
    </row>
    <row r="58" spans="1:10" x14ac:dyDescent="0.45">
      <c r="A58">
        <v>57</v>
      </c>
      <c r="B58" t="s">
        <v>1130</v>
      </c>
      <c r="C58" t="s">
        <v>665</v>
      </c>
      <c r="D58" t="s">
        <v>1168</v>
      </c>
      <c r="E58">
        <v>4</v>
      </c>
      <c r="F58">
        <v>225</v>
      </c>
      <c r="G58">
        <v>42</v>
      </c>
      <c r="H58" t="s">
        <v>149</v>
      </c>
      <c r="I58" t="s">
        <v>1193</v>
      </c>
      <c r="J58" t="s">
        <v>1188</v>
      </c>
    </row>
    <row r="59" spans="1:10" x14ac:dyDescent="0.45">
      <c r="A59">
        <v>58</v>
      </c>
      <c r="B59" t="s">
        <v>1130</v>
      </c>
      <c r="C59" t="s">
        <v>665</v>
      </c>
      <c r="D59" t="s">
        <v>1168</v>
      </c>
      <c r="E59">
        <v>4</v>
      </c>
      <c r="F59">
        <v>260</v>
      </c>
      <c r="G59">
        <v>50</v>
      </c>
      <c r="H59" t="s">
        <v>149</v>
      </c>
      <c r="I59" t="s">
        <v>1194</v>
      </c>
      <c r="J59" t="s">
        <v>1188</v>
      </c>
    </row>
    <row r="60" spans="1:10" x14ac:dyDescent="0.45">
      <c r="A60">
        <v>59</v>
      </c>
      <c r="B60" t="s">
        <v>1130</v>
      </c>
      <c r="C60" t="s">
        <v>665</v>
      </c>
      <c r="D60" t="s">
        <v>1168</v>
      </c>
      <c r="E60">
        <v>4</v>
      </c>
      <c r="F60">
        <v>400</v>
      </c>
      <c r="G60">
        <v>50</v>
      </c>
      <c r="H60" t="s">
        <v>149</v>
      </c>
      <c r="I60" t="s">
        <v>1195</v>
      </c>
      <c r="J60" t="s">
        <v>1188</v>
      </c>
    </row>
    <row r="61" spans="1:10" x14ac:dyDescent="0.45">
      <c r="A61">
        <v>60</v>
      </c>
      <c r="B61" t="s">
        <v>1130</v>
      </c>
      <c r="C61" t="s">
        <v>665</v>
      </c>
      <c r="D61" t="s">
        <v>1168</v>
      </c>
      <c r="E61">
        <v>4</v>
      </c>
      <c r="F61">
        <v>600</v>
      </c>
      <c r="G61">
        <v>65</v>
      </c>
      <c r="H61" t="s">
        <v>149</v>
      </c>
      <c r="I61" t="s">
        <v>1196</v>
      </c>
      <c r="J61" t="s">
        <v>1188</v>
      </c>
    </row>
    <row r="62" spans="1:10" x14ac:dyDescent="0.45">
      <c r="A62">
        <v>61</v>
      </c>
      <c r="B62" t="s">
        <v>1130</v>
      </c>
      <c r="C62" t="s">
        <v>665</v>
      </c>
      <c r="D62" t="s">
        <v>1168</v>
      </c>
      <c r="E62">
        <v>4</v>
      </c>
      <c r="F62">
        <v>800</v>
      </c>
      <c r="G62">
        <v>65</v>
      </c>
      <c r="H62" t="s">
        <v>149</v>
      </c>
      <c r="I62" t="s">
        <v>1197</v>
      </c>
      <c r="J62" t="s">
        <v>1188</v>
      </c>
    </row>
    <row r="63" spans="1:10" x14ac:dyDescent="0.45">
      <c r="A63">
        <v>62</v>
      </c>
      <c r="B63" t="s">
        <v>1130</v>
      </c>
      <c r="C63" t="s">
        <v>665</v>
      </c>
      <c r="D63" t="s">
        <v>1168</v>
      </c>
      <c r="E63">
        <v>4</v>
      </c>
      <c r="F63">
        <v>1000</v>
      </c>
      <c r="G63">
        <v>65</v>
      </c>
      <c r="H63" t="s">
        <v>149</v>
      </c>
      <c r="I63" t="s">
        <v>1198</v>
      </c>
      <c r="J63" t="s">
        <v>1188</v>
      </c>
    </row>
    <row r="64" spans="1:10" x14ac:dyDescent="0.45">
      <c r="A64">
        <v>63</v>
      </c>
      <c r="B64" t="s">
        <v>1130</v>
      </c>
      <c r="C64" t="s">
        <v>665</v>
      </c>
      <c r="D64" t="s">
        <v>1168</v>
      </c>
      <c r="E64">
        <v>4</v>
      </c>
      <c r="F64">
        <v>1200</v>
      </c>
      <c r="G64">
        <v>65</v>
      </c>
      <c r="H64" t="s">
        <v>149</v>
      </c>
      <c r="I64" t="s">
        <v>1199</v>
      </c>
      <c r="J64" t="s">
        <v>1188</v>
      </c>
    </row>
    <row r="65" spans="1:10" x14ac:dyDescent="0.45">
      <c r="A65">
        <v>64</v>
      </c>
      <c r="B65" t="s">
        <v>1130</v>
      </c>
      <c r="C65" t="s">
        <v>665</v>
      </c>
      <c r="D65" t="s">
        <v>1168</v>
      </c>
      <c r="E65">
        <v>4</v>
      </c>
      <c r="F65">
        <v>1600</v>
      </c>
      <c r="G65">
        <v>85</v>
      </c>
      <c r="H65" t="s">
        <v>149</v>
      </c>
      <c r="I65" t="s">
        <v>1200</v>
      </c>
      <c r="J65" t="s">
        <v>1188</v>
      </c>
    </row>
    <row r="66" spans="1:10" x14ac:dyDescent="0.45">
      <c r="A66">
        <v>65</v>
      </c>
      <c r="B66" t="s">
        <v>1130</v>
      </c>
      <c r="C66" t="s">
        <v>665</v>
      </c>
      <c r="D66" t="s">
        <v>1168</v>
      </c>
      <c r="E66">
        <v>4</v>
      </c>
      <c r="F66">
        <v>2000</v>
      </c>
      <c r="G66">
        <v>85</v>
      </c>
      <c r="H66" t="s">
        <v>149</v>
      </c>
      <c r="I66" t="s">
        <v>1201</v>
      </c>
      <c r="J66" t="s">
        <v>1188</v>
      </c>
    </row>
    <row r="67" spans="1:10" x14ac:dyDescent="0.45">
      <c r="A67">
        <v>66</v>
      </c>
      <c r="B67" t="s">
        <v>1130</v>
      </c>
      <c r="C67" t="s">
        <v>665</v>
      </c>
      <c r="D67" t="s">
        <v>1168</v>
      </c>
      <c r="E67">
        <v>4</v>
      </c>
      <c r="F67">
        <v>2500</v>
      </c>
      <c r="G67">
        <v>85</v>
      </c>
      <c r="H67" t="s">
        <v>149</v>
      </c>
      <c r="I67" t="s">
        <v>1202</v>
      </c>
      <c r="J67" t="s">
        <v>1188</v>
      </c>
    </row>
    <row r="68" spans="1:10" x14ac:dyDescent="0.45">
      <c r="A68">
        <v>67</v>
      </c>
      <c r="B68" t="s">
        <v>1130</v>
      </c>
      <c r="C68" t="s">
        <v>665</v>
      </c>
      <c r="D68" t="s">
        <v>1168</v>
      </c>
      <c r="E68">
        <v>4</v>
      </c>
      <c r="F68">
        <v>3000</v>
      </c>
      <c r="G68">
        <v>85</v>
      </c>
      <c r="H68" t="s">
        <v>149</v>
      </c>
      <c r="I68" t="s">
        <v>1203</v>
      </c>
      <c r="J68" t="s">
        <v>1188</v>
      </c>
    </row>
    <row r="69" spans="1:10" x14ac:dyDescent="0.45">
      <c r="A69">
        <v>68</v>
      </c>
      <c r="B69" t="s">
        <v>1130</v>
      </c>
      <c r="C69" t="s">
        <v>665</v>
      </c>
      <c r="D69" t="s">
        <v>1168</v>
      </c>
      <c r="E69">
        <v>4</v>
      </c>
      <c r="F69">
        <v>4000</v>
      </c>
      <c r="G69">
        <v>100</v>
      </c>
      <c r="H69" t="s">
        <v>149</v>
      </c>
      <c r="I69" t="s">
        <v>1204</v>
      </c>
      <c r="J69" t="s">
        <v>1188</v>
      </c>
    </row>
    <row r="70" spans="1:10" x14ac:dyDescent="0.45">
      <c r="A70">
        <v>69</v>
      </c>
      <c r="B70" t="s">
        <v>1130</v>
      </c>
      <c r="C70" t="s">
        <v>665</v>
      </c>
      <c r="D70" t="s">
        <v>1205</v>
      </c>
      <c r="E70">
        <v>3</v>
      </c>
      <c r="F70">
        <v>100</v>
      </c>
      <c r="G70">
        <v>22</v>
      </c>
      <c r="H70" t="s">
        <v>149</v>
      </c>
      <c r="I70" t="s">
        <v>1206</v>
      </c>
      <c r="J70" t="s">
        <v>1207</v>
      </c>
    </row>
    <row r="71" spans="1:10" x14ac:dyDescent="0.45">
      <c r="A71">
        <v>70</v>
      </c>
      <c r="B71" t="s">
        <v>1130</v>
      </c>
      <c r="C71" t="s">
        <v>665</v>
      </c>
      <c r="D71" t="s">
        <v>1205</v>
      </c>
      <c r="E71">
        <v>3</v>
      </c>
      <c r="F71">
        <v>150</v>
      </c>
      <c r="G71">
        <v>42</v>
      </c>
      <c r="H71" t="s">
        <v>149</v>
      </c>
      <c r="I71" t="s">
        <v>1208</v>
      </c>
      <c r="J71" t="s">
        <v>1207</v>
      </c>
    </row>
    <row r="72" spans="1:10" x14ac:dyDescent="0.45">
      <c r="A72">
        <v>71</v>
      </c>
      <c r="B72" t="s">
        <v>1130</v>
      </c>
      <c r="C72" t="s">
        <v>665</v>
      </c>
      <c r="D72" t="s">
        <v>1205</v>
      </c>
      <c r="E72">
        <v>3</v>
      </c>
      <c r="F72">
        <v>200</v>
      </c>
      <c r="G72">
        <v>42</v>
      </c>
      <c r="H72" t="s">
        <v>149</v>
      </c>
      <c r="I72" t="s">
        <v>1209</v>
      </c>
      <c r="J72" t="s">
        <v>1207</v>
      </c>
    </row>
    <row r="73" spans="1:10" x14ac:dyDescent="0.45">
      <c r="A73">
        <v>72</v>
      </c>
      <c r="B73" t="s">
        <v>1130</v>
      </c>
      <c r="C73" t="s">
        <v>665</v>
      </c>
      <c r="D73" t="s">
        <v>1205</v>
      </c>
      <c r="E73">
        <v>3</v>
      </c>
      <c r="F73">
        <v>225</v>
      </c>
      <c r="G73">
        <v>42</v>
      </c>
      <c r="H73" t="s">
        <v>149</v>
      </c>
      <c r="I73" t="s">
        <v>1210</v>
      </c>
      <c r="J73" t="s">
        <v>1207</v>
      </c>
    </row>
    <row r="74" spans="1:10" x14ac:dyDescent="0.45">
      <c r="A74">
        <v>73</v>
      </c>
      <c r="B74" t="s">
        <v>1130</v>
      </c>
      <c r="C74" t="s">
        <v>665</v>
      </c>
      <c r="D74" t="s">
        <v>1205</v>
      </c>
      <c r="E74">
        <v>3</v>
      </c>
      <c r="F74">
        <v>260</v>
      </c>
      <c r="G74">
        <v>50</v>
      </c>
      <c r="H74" t="s">
        <v>149</v>
      </c>
      <c r="I74" t="s">
        <v>1211</v>
      </c>
      <c r="J74" t="s">
        <v>1207</v>
      </c>
    </row>
    <row r="75" spans="1:10" x14ac:dyDescent="0.45">
      <c r="A75">
        <v>74</v>
      </c>
      <c r="B75" t="s">
        <v>1130</v>
      </c>
      <c r="C75" t="s">
        <v>665</v>
      </c>
      <c r="D75" t="s">
        <v>1205</v>
      </c>
      <c r="E75">
        <v>3</v>
      </c>
      <c r="F75">
        <v>400</v>
      </c>
      <c r="G75">
        <v>50</v>
      </c>
      <c r="H75" t="s">
        <v>149</v>
      </c>
      <c r="I75" t="s">
        <v>1212</v>
      </c>
      <c r="J75" t="s">
        <v>1207</v>
      </c>
    </row>
    <row r="76" spans="1:10" x14ac:dyDescent="0.45">
      <c r="A76">
        <v>75</v>
      </c>
      <c r="B76" t="s">
        <v>1130</v>
      </c>
      <c r="C76" t="s">
        <v>665</v>
      </c>
      <c r="D76" t="s">
        <v>1205</v>
      </c>
      <c r="E76">
        <v>3</v>
      </c>
      <c r="F76">
        <v>600</v>
      </c>
      <c r="G76">
        <v>65</v>
      </c>
      <c r="H76" t="s">
        <v>149</v>
      </c>
      <c r="I76" t="s">
        <v>1213</v>
      </c>
      <c r="J76" t="s">
        <v>1207</v>
      </c>
    </row>
    <row r="77" spans="1:10" x14ac:dyDescent="0.45">
      <c r="A77">
        <v>76</v>
      </c>
      <c r="B77" t="s">
        <v>1130</v>
      </c>
      <c r="C77" t="s">
        <v>665</v>
      </c>
      <c r="D77" t="s">
        <v>1205</v>
      </c>
      <c r="E77">
        <v>3</v>
      </c>
      <c r="F77">
        <v>800</v>
      </c>
      <c r="G77">
        <v>65</v>
      </c>
      <c r="H77" t="s">
        <v>149</v>
      </c>
      <c r="I77" t="s">
        <v>1214</v>
      </c>
      <c r="J77" t="s">
        <v>1207</v>
      </c>
    </row>
    <row r="78" spans="1:10" x14ac:dyDescent="0.45">
      <c r="A78">
        <v>77</v>
      </c>
      <c r="B78" t="s">
        <v>1130</v>
      </c>
      <c r="C78" t="s">
        <v>665</v>
      </c>
      <c r="D78" t="s">
        <v>1205</v>
      </c>
      <c r="E78">
        <v>3</v>
      </c>
      <c r="F78">
        <v>1000</v>
      </c>
      <c r="G78">
        <v>65</v>
      </c>
      <c r="H78" t="s">
        <v>149</v>
      </c>
      <c r="I78" t="s">
        <v>1215</v>
      </c>
      <c r="J78" t="s">
        <v>1207</v>
      </c>
    </row>
    <row r="79" spans="1:10" x14ac:dyDescent="0.45">
      <c r="A79">
        <v>78</v>
      </c>
      <c r="B79" t="s">
        <v>1130</v>
      </c>
      <c r="C79" t="s">
        <v>665</v>
      </c>
      <c r="D79" t="s">
        <v>1205</v>
      </c>
      <c r="E79">
        <v>3</v>
      </c>
      <c r="F79">
        <v>1200</v>
      </c>
      <c r="G79">
        <v>65</v>
      </c>
      <c r="H79" t="s">
        <v>149</v>
      </c>
      <c r="I79" t="s">
        <v>1216</v>
      </c>
      <c r="J79" t="s">
        <v>1207</v>
      </c>
    </row>
    <row r="80" spans="1:10" x14ac:dyDescent="0.45">
      <c r="A80">
        <v>79</v>
      </c>
      <c r="B80" t="s">
        <v>1130</v>
      </c>
      <c r="C80" t="s">
        <v>665</v>
      </c>
      <c r="D80" t="s">
        <v>1205</v>
      </c>
      <c r="E80">
        <v>3</v>
      </c>
      <c r="F80">
        <v>1600</v>
      </c>
      <c r="G80">
        <v>85</v>
      </c>
      <c r="H80" t="s">
        <v>149</v>
      </c>
      <c r="I80" t="s">
        <v>1217</v>
      </c>
      <c r="J80" t="s">
        <v>1207</v>
      </c>
    </row>
    <row r="81" spans="1:10" x14ac:dyDescent="0.45">
      <c r="A81">
        <v>80</v>
      </c>
      <c r="B81" t="s">
        <v>1130</v>
      </c>
      <c r="C81" t="s">
        <v>665</v>
      </c>
      <c r="D81" t="s">
        <v>1205</v>
      </c>
      <c r="E81">
        <v>3</v>
      </c>
      <c r="F81">
        <v>2000</v>
      </c>
      <c r="G81">
        <v>85</v>
      </c>
      <c r="H81" t="s">
        <v>149</v>
      </c>
      <c r="I81" t="s">
        <v>1218</v>
      </c>
      <c r="J81" t="s">
        <v>1207</v>
      </c>
    </row>
    <row r="82" spans="1:10" x14ac:dyDescent="0.45">
      <c r="A82">
        <v>81</v>
      </c>
      <c r="B82" t="s">
        <v>1130</v>
      </c>
      <c r="C82" t="s">
        <v>665</v>
      </c>
      <c r="D82" t="s">
        <v>1205</v>
      </c>
      <c r="E82">
        <v>3</v>
      </c>
      <c r="F82">
        <v>2500</v>
      </c>
      <c r="G82">
        <v>85</v>
      </c>
      <c r="H82" t="s">
        <v>149</v>
      </c>
      <c r="I82" t="s">
        <v>1219</v>
      </c>
      <c r="J82" t="s">
        <v>1207</v>
      </c>
    </row>
    <row r="83" spans="1:10" x14ac:dyDescent="0.45">
      <c r="A83">
        <v>82</v>
      </c>
      <c r="B83" t="s">
        <v>1130</v>
      </c>
      <c r="C83" t="s">
        <v>665</v>
      </c>
      <c r="D83" t="s">
        <v>1205</v>
      </c>
      <c r="E83">
        <v>3</v>
      </c>
      <c r="F83">
        <v>3000</v>
      </c>
      <c r="G83">
        <v>85</v>
      </c>
      <c r="H83" t="s">
        <v>149</v>
      </c>
      <c r="I83" t="s">
        <v>1220</v>
      </c>
      <c r="J83" t="s">
        <v>1207</v>
      </c>
    </row>
    <row r="84" spans="1:10" x14ac:dyDescent="0.45">
      <c r="A84">
        <v>83</v>
      </c>
      <c r="B84" t="s">
        <v>1130</v>
      </c>
      <c r="C84" t="s">
        <v>665</v>
      </c>
      <c r="D84" t="s">
        <v>1205</v>
      </c>
      <c r="E84">
        <v>3</v>
      </c>
      <c r="F84">
        <v>4000</v>
      </c>
      <c r="G84">
        <v>100</v>
      </c>
      <c r="H84" t="s">
        <v>149</v>
      </c>
      <c r="I84" t="s">
        <v>1221</v>
      </c>
      <c r="J84" t="s">
        <v>1207</v>
      </c>
    </row>
    <row r="85" spans="1:10" x14ac:dyDescent="0.45">
      <c r="A85">
        <v>84</v>
      </c>
      <c r="B85" t="s">
        <v>1130</v>
      </c>
      <c r="C85" t="s">
        <v>665</v>
      </c>
      <c r="D85" t="s">
        <v>1205</v>
      </c>
      <c r="E85">
        <v>4</v>
      </c>
      <c r="F85">
        <v>100</v>
      </c>
      <c r="G85">
        <v>22</v>
      </c>
      <c r="H85" t="s">
        <v>149</v>
      </c>
      <c r="I85" t="s">
        <v>1222</v>
      </c>
      <c r="J85" t="s">
        <v>1223</v>
      </c>
    </row>
    <row r="86" spans="1:10" x14ac:dyDescent="0.45">
      <c r="A86">
        <v>85</v>
      </c>
      <c r="B86" t="s">
        <v>1130</v>
      </c>
      <c r="C86" t="s">
        <v>665</v>
      </c>
      <c r="D86" t="s">
        <v>1205</v>
      </c>
      <c r="E86">
        <v>4</v>
      </c>
      <c r="F86">
        <v>150</v>
      </c>
      <c r="G86">
        <v>42</v>
      </c>
      <c r="H86" t="s">
        <v>149</v>
      </c>
      <c r="I86" t="s">
        <v>1224</v>
      </c>
      <c r="J86" t="s">
        <v>1223</v>
      </c>
    </row>
    <row r="87" spans="1:10" x14ac:dyDescent="0.45">
      <c r="A87">
        <v>86</v>
      </c>
      <c r="B87" t="s">
        <v>1130</v>
      </c>
      <c r="C87" t="s">
        <v>665</v>
      </c>
      <c r="D87" t="s">
        <v>1205</v>
      </c>
      <c r="E87">
        <v>4</v>
      </c>
      <c r="F87">
        <v>200</v>
      </c>
      <c r="G87">
        <v>42</v>
      </c>
      <c r="H87" t="s">
        <v>149</v>
      </c>
      <c r="I87" t="s">
        <v>1225</v>
      </c>
      <c r="J87" t="s">
        <v>1223</v>
      </c>
    </row>
    <row r="88" spans="1:10" x14ac:dyDescent="0.45">
      <c r="A88">
        <v>87</v>
      </c>
      <c r="B88" t="s">
        <v>1130</v>
      </c>
      <c r="C88" t="s">
        <v>665</v>
      </c>
      <c r="D88" t="s">
        <v>1205</v>
      </c>
      <c r="E88">
        <v>4</v>
      </c>
      <c r="F88">
        <v>225</v>
      </c>
      <c r="G88">
        <v>42</v>
      </c>
      <c r="H88" t="s">
        <v>149</v>
      </c>
      <c r="I88" t="s">
        <v>1226</v>
      </c>
      <c r="J88" t="s">
        <v>1223</v>
      </c>
    </row>
    <row r="89" spans="1:10" x14ac:dyDescent="0.45">
      <c r="A89">
        <v>88</v>
      </c>
      <c r="B89" t="s">
        <v>1130</v>
      </c>
      <c r="C89" t="s">
        <v>665</v>
      </c>
      <c r="D89" t="s">
        <v>1205</v>
      </c>
      <c r="E89">
        <v>4</v>
      </c>
      <c r="F89">
        <v>260</v>
      </c>
      <c r="G89">
        <v>50</v>
      </c>
      <c r="H89" t="s">
        <v>149</v>
      </c>
      <c r="I89" t="s">
        <v>1227</v>
      </c>
      <c r="J89" t="s">
        <v>1223</v>
      </c>
    </row>
    <row r="90" spans="1:10" x14ac:dyDescent="0.45">
      <c r="A90">
        <v>89</v>
      </c>
      <c r="B90" t="s">
        <v>1130</v>
      </c>
      <c r="C90" t="s">
        <v>665</v>
      </c>
      <c r="D90" t="s">
        <v>1205</v>
      </c>
      <c r="E90">
        <v>4</v>
      </c>
      <c r="F90">
        <v>400</v>
      </c>
      <c r="G90">
        <v>50</v>
      </c>
      <c r="H90" t="s">
        <v>149</v>
      </c>
      <c r="I90" t="s">
        <v>1228</v>
      </c>
      <c r="J90" t="s">
        <v>1223</v>
      </c>
    </row>
    <row r="91" spans="1:10" x14ac:dyDescent="0.45">
      <c r="A91">
        <v>90</v>
      </c>
      <c r="B91" t="s">
        <v>1130</v>
      </c>
      <c r="C91" t="s">
        <v>665</v>
      </c>
      <c r="D91" t="s">
        <v>1205</v>
      </c>
      <c r="E91">
        <v>4</v>
      </c>
      <c r="F91">
        <v>600</v>
      </c>
      <c r="G91">
        <v>65</v>
      </c>
      <c r="H91" t="s">
        <v>149</v>
      </c>
      <c r="I91" t="s">
        <v>1229</v>
      </c>
      <c r="J91" t="s">
        <v>1223</v>
      </c>
    </row>
    <row r="92" spans="1:10" x14ac:dyDescent="0.45">
      <c r="A92">
        <v>91</v>
      </c>
      <c r="B92" t="s">
        <v>1130</v>
      </c>
      <c r="C92" t="s">
        <v>665</v>
      </c>
      <c r="D92" t="s">
        <v>1205</v>
      </c>
      <c r="E92">
        <v>4</v>
      </c>
      <c r="F92">
        <v>800</v>
      </c>
      <c r="G92">
        <v>65</v>
      </c>
      <c r="H92" t="s">
        <v>149</v>
      </c>
      <c r="I92" t="s">
        <v>1230</v>
      </c>
      <c r="J92" t="s">
        <v>1223</v>
      </c>
    </row>
    <row r="93" spans="1:10" x14ac:dyDescent="0.45">
      <c r="A93">
        <v>92</v>
      </c>
      <c r="B93" t="s">
        <v>1130</v>
      </c>
      <c r="C93" t="s">
        <v>665</v>
      </c>
      <c r="D93" t="s">
        <v>1205</v>
      </c>
      <c r="E93">
        <v>4</v>
      </c>
      <c r="F93">
        <v>1000</v>
      </c>
      <c r="G93">
        <v>65</v>
      </c>
      <c r="H93" t="s">
        <v>149</v>
      </c>
      <c r="I93" t="s">
        <v>1231</v>
      </c>
      <c r="J93" t="s">
        <v>1223</v>
      </c>
    </row>
    <row r="94" spans="1:10" x14ac:dyDescent="0.45">
      <c r="A94">
        <v>93</v>
      </c>
      <c r="B94" t="s">
        <v>1130</v>
      </c>
      <c r="C94" t="s">
        <v>665</v>
      </c>
      <c r="D94" t="s">
        <v>1205</v>
      </c>
      <c r="E94">
        <v>4</v>
      </c>
      <c r="F94">
        <v>1200</v>
      </c>
      <c r="G94">
        <v>65</v>
      </c>
      <c r="H94" t="s">
        <v>149</v>
      </c>
      <c r="I94" t="s">
        <v>1232</v>
      </c>
      <c r="J94" t="s">
        <v>1223</v>
      </c>
    </row>
    <row r="95" spans="1:10" x14ac:dyDescent="0.45">
      <c r="A95">
        <v>94</v>
      </c>
      <c r="B95" t="s">
        <v>1130</v>
      </c>
      <c r="C95" t="s">
        <v>665</v>
      </c>
      <c r="D95" t="s">
        <v>1205</v>
      </c>
      <c r="E95">
        <v>4</v>
      </c>
      <c r="F95">
        <v>1600</v>
      </c>
      <c r="G95">
        <v>85</v>
      </c>
      <c r="H95" t="s">
        <v>149</v>
      </c>
      <c r="I95" t="s">
        <v>1233</v>
      </c>
      <c r="J95" t="s">
        <v>1223</v>
      </c>
    </row>
    <row r="96" spans="1:10" x14ac:dyDescent="0.45">
      <c r="A96">
        <v>95</v>
      </c>
      <c r="B96" t="s">
        <v>1130</v>
      </c>
      <c r="C96" t="s">
        <v>665</v>
      </c>
      <c r="D96" t="s">
        <v>1205</v>
      </c>
      <c r="E96">
        <v>4</v>
      </c>
      <c r="F96">
        <v>2000</v>
      </c>
      <c r="G96">
        <v>85</v>
      </c>
      <c r="H96" t="s">
        <v>149</v>
      </c>
      <c r="I96" t="s">
        <v>1234</v>
      </c>
      <c r="J96" t="s">
        <v>1223</v>
      </c>
    </row>
    <row r="97" spans="1:10" x14ac:dyDescent="0.45">
      <c r="A97">
        <v>96</v>
      </c>
      <c r="B97" t="s">
        <v>1130</v>
      </c>
      <c r="C97" t="s">
        <v>665</v>
      </c>
      <c r="D97" t="s">
        <v>1205</v>
      </c>
      <c r="E97">
        <v>4</v>
      </c>
      <c r="F97">
        <v>2500</v>
      </c>
      <c r="G97">
        <v>85</v>
      </c>
      <c r="H97" t="s">
        <v>149</v>
      </c>
      <c r="I97" t="s">
        <v>1235</v>
      </c>
      <c r="J97" t="s">
        <v>1223</v>
      </c>
    </row>
    <row r="98" spans="1:10" x14ac:dyDescent="0.45">
      <c r="A98">
        <v>97</v>
      </c>
      <c r="B98" t="s">
        <v>1130</v>
      </c>
      <c r="C98" t="s">
        <v>665</v>
      </c>
      <c r="D98" t="s">
        <v>1205</v>
      </c>
      <c r="E98">
        <v>4</v>
      </c>
      <c r="F98">
        <v>3000</v>
      </c>
      <c r="G98">
        <v>85</v>
      </c>
      <c r="H98" t="s">
        <v>149</v>
      </c>
      <c r="I98" t="s">
        <v>1236</v>
      </c>
      <c r="J98" t="s">
        <v>1223</v>
      </c>
    </row>
    <row r="99" spans="1:10" x14ac:dyDescent="0.45">
      <c r="A99">
        <v>98</v>
      </c>
      <c r="B99" t="s">
        <v>1130</v>
      </c>
      <c r="C99" t="s">
        <v>665</v>
      </c>
      <c r="D99" t="s">
        <v>1205</v>
      </c>
      <c r="E99">
        <v>4</v>
      </c>
      <c r="F99">
        <v>4000</v>
      </c>
      <c r="G99">
        <v>100</v>
      </c>
      <c r="H99" t="s">
        <v>149</v>
      </c>
      <c r="I99" t="s">
        <v>1237</v>
      </c>
      <c r="J99" t="s">
        <v>1223</v>
      </c>
    </row>
    <row r="100" spans="1:10" x14ac:dyDescent="0.45">
      <c r="A100">
        <v>99</v>
      </c>
      <c r="B100" t="s">
        <v>1130</v>
      </c>
      <c r="C100" t="s">
        <v>665</v>
      </c>
      <c r="D100" t="s">
        <v>1238</v>
      </c>
      <c r="E100">
        <v>3</v>
      </c>
      <c r="F100">
        <v>100</v>
      </c>
      <c r="G100">
        <v>22</v>
      </c>
      <c r="H100" t="s">
        <v>149</v>
      </c>
      <c r="I100" t="s">
        <v>1239</v>
      </c>
      <c r="J100" t="s">
        <v>1240</v>
      </c>
    </row>
    <row r="101" spans="1:10" x14ac:dyDescent="0.45">
      <c r="A101">
        <v>100</v>
      </c>
      <c r="B101" t="s">
        <v>1130</v>
      </c>
      <c r="C101" t="s">
        <v>665</v>
      </c>
      <c r="D101" t="s">
        <v>1238</v>
      </c>
      <c r="E101">
        <v>3</v>
      </c>
      <c r="F101">
        <v>150</v>
      </c>
      <c r="G101">
        <v>42</v>
      </c>
      <c r="H101" t="s">
        <v>149</v>
      </c>
      <c r="I101" t="s">
        <v>1241</v>
      </c>
      <c r="J101" t="s">
        <v>1240</v>
      </c>
    </row>
    <row r="102" spans="1:10" x14ac:dyDescent="0.45">
      <c r="A102">
        <v>101</v>
      </c>
      <c r="B102" t="s">
        <v>1130</v>
      </c>
      <c r="C102" t="s">
        <v>665</v>
      </c>
      <c r="D102" t="s">
        <v>1238</v>
      </c>
      <c r="E102">
        <v>3</v>
      </c>
      <c r="F102">
        <v>200</v>
      </c>
      <c r="G102">
        <v>42</v>
      </c>
      <c r="H102" t="s">
        <v>149</v>
      </c>
      <c r="I102" t="s">
        <v>1242</v>
      </c>
      <c r="J102" t="s">
        <v>1240</v>
      </c>
    </row>
    <row r="103" spans="1:10" x14ac:dyDescent="0.45">
      <c r="A103">
        <v>102</v>
      </c>
      <c r="B103" t="s">
        <v>1130</v>
      </c>
      <c r="C103" t="s">
        <v>665</v>
      </c>
      <c r="D103" t="s">
        <v>1238</v>
      </c>
      <c r="E103">
        <v>3</v>
      </c>
      <c r="F103">
        <v>225</v>
      </c>
      <c r="G103">
        <v>42</v>
      </c>
      <c r="H103" t="s">
        <v>149</v>
      </c>
      <c r="I103" t="s">
        <v>1243</v>
      </c>
      <c r="J103" t="s">
        <v>1240</v>
      </c>
    </row>
    <row r="104" spans="1:10" x14ac:dyDescent="0.45">
      <c r="A104">
        <v>103</v>
      </c>
      <c r="B104" t="s">
        <v>1130</v>
      </c>
      <c r="C104" t="s">
        <v>665</v>
      </c>
      <c r="D104" t="s">
        <v>1238</v>
      </c>
      <c r="E104">
        <v>3</v>
      </c>
      <c r="F104">
        <v>260</v>
      </c>
      <c r="G104">
        <v>50</v>
      </c>
      <c r="H104" t="s">
        <v>149</v>
      </c>
      <c r="I104" t="s">
        <v>1244</v>
      </c>
      <c r="J104" t="s">
        <v>1240</v>
      </c>
    </row>
    <row r="105" spans="1:10" x14ac:dyDescent="0.45">
      <c r="A105">
        <v>104</v>
      </c>
      <c r="B105" t="s">
        <v>1130</v>
      </c>
      <c r="C105" t="s">
        <v>665</v>
      </c>
      <c r="D105" t="s">
        <v>1238</v>
      </c>
      <c r="E105">
        <v>3</v>
      </c>
      <c r="F105">
        <v>400</v>
      </c>
      <c r="G105">
        <v>50</v>
      </c>
      <c r="H105" t="s">
        <v>149</v>
      </c>
      <c r="I105" t="s">
        <v>1245</v>
      </c>
      <c r="J105" t="s">
        <v>1240</v>
      </c>
    </row>
    <row r="106" spans="1:10" x14ac:dyDescent="0.45">
      <c r="A106">
        <v>105</v>
      </c>
      <c r="B106" t="s">
        <v>1130</v>
      </c>
      <c r="C106" t="s">
        <v>665</v>
      </c>
      <c r="D106" t="s">
        <v>1238</v>
      </c>
      <c r="E106">
        <v>3</v>
      </c>
      <c r="F106">
        <v>600</v>
      </c>
      <c r="G106">
        <v>65</v>
      </c>
      <c r="H106" t="s">
        <v>149</v>
      </c>
      <c r="I106" t="s">
        <v>1246</v>
      </c>
      <c r="J106" t="s">
        <v>1240</v>
      </c>
    </row>
    <row r="107" spans="1:10" x14ac:dyDescent="0.45">
      <c r="A107">
        <v>106</v>
      </c>
      <c r="B107" t="s">
        <v>1130</v>
      </c>
      <c r="C107" t="s">
        <v>665</v>
      </c>
      <c r="D107" t="s">
        <v>1238</v>
      </c>
      <c r="E107">
        <v>3</v>
      </c>
      <c r="F107">
        <v>800</v>
      </c>
      <c r="G107">
        <v>65</v>
      </c>
      <c r="H107" t="s">
        <v>149</v>
      </c>
      <c r="I107" t="s">
        <v>1247</v>
      </c>
      <c r="J107" t="s">
        <v>1240</v>
      </c>
    </row>
    <row r="108" spans="1:10" x14ac:dyDescent="0.45">
      <c r="A108">
        <v>107</v>
      </c>
      <c r="B108" t="s">
        <v>1130</v>
      </c>
      <c r="C108" t="s">
        <v>665</v>
      </c>
      <c r="D108" t="s">
        <v>1238</v>
      </c>
      <c r="E108">
        <v>3</v>
      </c>
      <c r="F108">
        <v>1000</v>
      </c>
      <c r="G108">
        <v>65</v>
      </c>
      <c r="H108" t="s">
        <v>149</v>
      </c>
      <c r="I108" t="s">
        <v>1248</v>
      </c>
      <c r="J108" t="s">
        <v>1240</v>
      </c>
    </row>
    <row r="109" spans="1:10" x14ac:dyDescent="0.45">
      <c r="A109">
        <v>108</v>
      </c>
      <c r="B109" t="s">
        <v>1130</v>
      </c>
      <c r="C109" t="s">
        <v>665</v>
      </c>
      <c r="D109" t="s">
        <v>1238</v>
      </c>
      <c r="E109">
        <v>3</v>
      </c>
      <c r="F109">
        <v>1200</v>
      </c>
      <c r="G109">
        <v>65</v>
      </c>
      <c r="H109" t="s">
        <v>149</v>
      </c>
      <c r="I109" t="s">
        <v>1249</v>
      </c>
      <c r="J109" t="s">
        <v>1240</v>
      </c>
    </row>
    <row r="110" spans="1:10" x14ac:dyDescent="0.45">
      <c r="A110">
        <v>109</v>
      </c>
      <c r="B110" t="s">
        <v>1130</v>
      </c>
      <c r="C110" t="s">
        <v>665</v>
      </c>
      <c r="D110" t="s">
        <v>1238</v>
      </c>
      <c r="E110">
        <v>3</v>
      </c>
      <c r="F110">
        <v>1600</v>
      </c>
      <c r="G110">
        <v>85</v>
      </c>
      <c r="H110" t="s">
        <v>149</v>
      </c>
      <c r="I110" t="s">
        <v>1250</v>
      </c>
      <c r="J110" t="s">
        <v>1240</v>
      </c>
    </row>
    <row r="111" spans="1:10" x14ac:dyDescent="0.45">
      <c r="A111">
        <v>110</v>
      </c>
      <c r="B111" t="s">
        <v>1130</v>
      </c>
      <c r="C111" t="s">
        <v>665</v>
      </c>
      <c r="D111" t="s">
        <v>1238</v>
      </c>
      <c r="E111">
        <v>3</v>
      </c>
      <c r="F111">
        <v>2000</v>
      </c>
      <c r="G111">
        <v>85</v>
      </c>
      <c r="H111" t="s">
        <v>149</v>
      </c>
      <c r="I111" t="s">
        <v>1251</v>
      </c>
      <c r="J111" t="s">
        <v>1240</v>
      </c>
    </row>
    <row r="112" spans="1:10" x14ac:dyDescent="0.45">
      <c r="A112">
        <v>111</v>
      </c>
      <c r="B112" t="s">
        <v>1130</v>
      </c>
      <c r="C112" t="s">
        <v>665</v>
      </c>
      <c r="D112" t="s">
        <v>1238</v>
      </c>
      <c r="E112">
        <v>3</v>
      </c>
      <c r="F112">
        <v>2500</v>
      </c>
      <c r="G112">
        <v>85</v>
      </c>
      <c r="H112" t="s">
        <v>149</v>
      </c>
      <c r="I112" t="s">
        <v>1252</v>
      </c>
      <c r="J112" t="s">
        <v>1240</v>
      </c>
    </row>
    <row r="113" spans="1:10" x14ac:dyDescent="0.45">
      <c r="A113">
        <v>112</v>
      </c>
      <c r="B113" t="s">
        <v>1130</v>
      </c>
      <c r="C113" t="s">
        <v>665</v>
      </c>
      <c r="D113" t="s">
        <v>1238</v>
      </c>
      <c r="E113">
        <v>3</v>
      </c>
      <c r="F113">
        <v>3000</v>
      </c>
      <c r="G113">
        <v>85</v>
      </c>
      <c r="H113" t="s">
        <v>149</v>
      </c>
      <c r="I113" t="s">
        <v>1253</v>
      </c>
      <c r="J113" t="s">
        <v>1240</v>
      </c>
    </row>
    <row r="114" spans="1:10" x14ac:dyDescent="0.45">
      <c r="A114">
        <v>113</v>
      </c>
      <c r="B114" t="s">
        <v>1130</v>
      </c>
      <c r="C114" t="s">
        <v>665</v>
      </c>
      <c r="D114" t="s">
        <v>1238</v>
      </c>
      <c r="E114">
        <v>3</v>
      </c>
      <c r="F114">
        <v>4000</v>
      </c>
      <c r="G114">
        <v>100</v>
      </c>
      <c r="H114" t="s">
        <v>149</v>
      </c>
      <c r="I114" t="s">
        <v>1254</v>
      </c>
      <c r="J114" t="s">
        <v>1240</v>
      </c>
    </row>
    <row r="115" spans="1:10" x14ac:dyDescent="0.45">
      <c r="A115">
        <v>114</v>
      </c>
      <c r="B115" t="s">
        <v>1130</v>
      </c>
      <c r="C115" t="s">
        <v>665</v>
      </c>
      <c r="D115" t="s">
        <v>1238</v>
      </c>
      <c r="E115">
        <v>4</v>
      </c>
      <c r="F115">
        <v>100</v>
      </c>
      <c r="G115">
        <v>22</v>
      </c>
      <c r="H115" t="s">
        <v>149</v>
      </c>
      <c r="I115" t="s">
        <v>1255</v>
      </c>
      <c r="J115" t="s">
        <v>1256</v>
      </c>
    </row>
    <row r="116" spans="1:10" x14ac:dyDescent="0.45">
      <c r="A116">
        <v>115</v>
      </c>
      <c r="B116" t="s">
        <v>1130</v>
      </c>
      <c r="C116" t="s">
        <v>665</v>
      </c>
      <c r="D116" t="s">
        <v>1238</v>
      </c>
      <c r="E116">
        <v>4</v>
      </c>
      <c r="F116">
        <v>150</v>
      </c>
      <c r="G116">
        <v>42</v>
      </c>
      <c r="H116" t="s">
        <v>149</v>
      </c>
      <c r="I116" t="s">
        <v>1257</v>
      </c>
      <c r="J116" t="s">
        <v>1256</v>
      </c>
    </row>
    <row r="117" spans="1:10" x14ac:dyDescent="0.45">
      <c r="A117">
        <v>116</v>
      </c>
      <c r="B117" t="s">
        <v>1130</v>
      </c>
      <c r="C117" t="s">
        <v>665</v>
      </c>
      <c r="D117" t="s">
        <v>1238</v>
      </c>
      <c r="E117">
        <v>4</v>
      </c>
      <c r="F117">
        <v>200</v>
      </c>
      <c r="G117">
        <v>42</v>
      </c>
      <c r="H117" t="s">
        <v>149</v>
      </c>
      <c r="I117" t="s">
        <v>1258</v>
      </c>
      <c r="J117" t="s">
        <v>1256</v>
      </c>
    </row>
    <row r="118" spans="1:10" x14ac:dyDescent="0.45">
      <c r="A118">
        <v>117</v>
      </c>
      <c r="B118" t="s">
        <v>1130</v>
      </c>
      <c r="C118" t="s">
        <v>665</v>
      </c>
      <c r="D118" t="s">
        <v>1238</v>
      </c>
      <c r="E118">
        <v>4</v>
      </c>
      <c r="F118">
        <v>225</v>
      </c>
      <c r="G118">
        <v>42</v>
      </c>
      <c r="H118" t="s">
        <v>149</v>
      </c>
      <c r="I118" t="s">
        <v>1259</v>
      </c>
      <c r="J118" t="s">
        <v>1256</v>
      </c>
    </row>
    <row r="119" spans="1:10" x14ac:dyDescent="0.45">
      <c r="A119">
        <v>118</v>
      </c>
      <c r="B119" t="s">
        <v>1130</v>
      </c>
      <c r="C119" t="s">
        <v>665</v>
      </c>
      <c r="D119" t="s">
        <v>1238</v>
      </c>
      <c r="E119">
        <v>4</v>
      </c>
      <c r="F119">
        <v>260</v>
      </c>
      <c r="G119">
        <v>50</v>
      </c>
      <c r="H119" t="s">
        <v>149</v>
      </c>
      <c r="I119" t="s">
        <v>1260</v>
      </c>
      <c r="J119" t="s">
        <v>1256</v>
      </c>
    </row>
    <row r="120" spans="1:10" x14ac:dyDescent="0.45">
      <c r="A120">
        <v>119</v>
      </c>
      <c r="B120" t="s">
        <v>1130</v>
      </c>
      <c r="C120" t="s">
        <v>665</v>
      </c>
      <c r="D120" t="s">
        <v>1238</v>
      </c>
      <c r="E120">
        <v>4</v>
      </c>
      <c r="F120">
        <v>400</v>
      </c>
      <c r="G120">
        <v>50</v>
      </c>
      <c r="H120" t="s">
        <v>149</v>
      </c>
      <c r="I120" t="s">
        <v>1261</v>
      </c>
      <c r="J120" t="s">
        <v>1256</v>
      </c>
    </row>
    <row r="121" spans="1:10" x14ac:dyDescent="0.45">
      <c r="A121">
        <v>120</v>
      </c>
      <c r="B121" t="s">
        <v>1130</v>
      </c>
      <c r="C121" t="s">
        <v>665</v>
      </c>
      <c r="D121" t="s">
        <v>1238</v>
      </c>
      <c r="E121">
        <v>4</v>
      </c>
      <c r="F121">
        <v>600</v>
      </c>
      <c r="G121">
        <v>65</v>
      </c>
      <c r="H121" t="s">
        <v>149</v>
      </c>
      <c r="I121" t="s">
        <v>1262</v>
      </c>
      <c r="J121" t="s">
        <v>1256</v>
      </c>
    </row>
    <row r="122" spans="1:10" x14ac:dyDescent="0.45">
      <c r="A122">
        <v>121</v>
      </c>
      <c r="B122" t="s">
        <v>1130</v>
      </c>
      <c r="C122" t="s">
        <v>665</v>
      </c>
      <c r="D122" t="s">
        <v>1238</v>
      </c>
      <c r="E122">
        <v>4</v>
      </c>
      <c r="F122">
        <v>800</v>
      </c>
      <c r="G122">
        <v>65</v>
      </c>
      <c r="H122" t="s">
        <v>149</v>
      </c>
      <c r="I122" t="s">
        <v>1263</v>
      </c>
      <c r="J122" t="s">
        <v>1256</v>
      </c>
    </row>
    <row r="123" spans="1:10" x14ac:dyDescent="0.45">
      <c r="A123">
        <v>122</v>
      </c>
      <c r="B123" t="s">
        <v>1130</v>
      </c>
      <c r="C123" t="s">
        <v>665</v>
      </c>
      <c r="D123" t="s">
        <v>1238</v>
      </c>
      <c r="E123">
        <v>4</v>
      </c>
      <c r="F123">
        <v>1000</v>
      </c>
      <c r="G123">
        <v>65</v>
      </c>
      <c r="H123" t="s">
        <v>149</v>
      </c>
      <c r="I123" t="s">
        <v>1264</v>
      </c>
      <c r="J123" t="s">
        <v>1256</v>
      </c>
    </row>
    <row r="124" spans="1:10" x14ac:dyDescent="0.45">
      <c r="A124">
        <v>123</v>
      </c>
      <c r="B124" t="s">
        <v>1130</v>
      </c>
      <c r="C124" t="s">
        <v>665</v>
      </c>
      <c r="D124" t="s">
        <v>1238</v>
      </c>
      <c r="E124">
        <v>4</v>
      </c>
      <c r="F124">
        <v>1200</v>
      </c>
      <c r="G124">
        <v>65</v>
      </c>
      <c r="H124" t="s">
        <v>149</v>
      </c>
      <c r="I124" t="s">
        <v>1265</v>
      </c>
      <c r="J124" t="s">
        <v>1256</v>
      </c>
    </row>
    <row r="125" spans="1:10" x14ac:dyDescent="0.45">
      <c r="A125">
        <v>124</v>
      </c>
      <c r="B125" t="s">
        <v>1130</v>
      </c>
      <c r="C125" t="s">
        <v>665</v>
      </c>
      <c r="D125" t="s">
        <v>1238</v>
      </c>
      <c r="E125">
        <v>4</v>
      </c>
      <c r="F125">
        <v>1600</v>
      </c>
      <c r="G125">
        <v>85</v>
      </c>
      <c r="H125" t="s">
        <v>149</v>
      </c>
      <c r="I125" t="s">
        <v>1266</v>
      </c>
      <c r="J125" t="s">
        <v>1256</v>
      </c>
    </row>
    <row r="126" spans="1:10" x14ac:dyDescent="0.45">
      <c r="A126">
        <v>125</v>
      </c>
      <c r="B126" t="s">
        <v>1130</v>
      </c>
      <c r="C126" t="s">
        <v>665</v>
      </c>
      <c r="D126" t="s">
        <v>1238</v>
      </c>
      <c r="E126">
        <v>4</v>
      </c>
      <c r="F126">
        <v>2000</v>
      </c>
      <c r="G126">
        <v>85</v>
      </c>
      <c r="H126" t="s">
        <v>149</v>
      </c>
      <c r="I126" t="s">
        <v>1267</v>
      </c>
      <c r="J126" t="s">
        <v>1256</v>
      </c>
    </row>
    <row r="127" spans="1:10" x14ac:dyDescent="0.45">
      <c r="A127">
        <v>126</v>
      </c>
      <c r="B127" t="s">
        <v>1130</v>
      </c>
      <c r="C127" t="s">
        <v>665</v>
      </c>
      <c r="D127" t="s">
        <v>1238</v>
      </c>
      <c r="E127">
        <v>4</v>
      </c>
      <c r="F127">
        <v>2500</v>
      </c>
      <c r="G127">
        <v>85</v>
      </c>
      <c r="H127" t="s">
        <v>149</v>
      </c>
      <c r="I127" t="s">
        <v>1268</v>
      </c>
      <c r="J127" t="s">
        <v>1256</v>
      </c>
    </row>
    <row r="128" spans="1:10" x14ac:dyDescent="0.45">
      <c r="A128">
        <v>127</v>
      </c>
      <c r="B128" t="s">
        <v>1130</v>
      </c>
      <c r="C128" t="s">
        <v>665</v>
      </c>
      <c r="D128" t="s">
        <v>1238</v>
      </c>
      <c r="E128">
        <v>4</v>
      </c>
      <c r="F128">
        <v>3000</v>
      </c>
      <c r="G128">
        <v>85</v>
      </c>
      <c r="H128" t="s">
        <v>149</v>
      </c>
      <c r="I128" t="s">
        <v>1269</v>
      </c>
      <c r="J128" t="s">
        <v>1256</v>
      </c>
    </row>
    <row r="129" spans="1:10" x14ac:dyDescent="0.45">
      <c r="A129">
        <v>128</v>
      </c>
      <c r="B129" t="s">
        <v>1130</v>
      </c>
      <c r="C129" t="s">
        <v>665</v>
      </c>
      <c r="D129" t="s">
        <v>1238</v>
      </c>
      <c r="E129">
        <v>4</v>
      </c>
      <c r="F129">
        <v>4000</v>
      </c>
      <c r="G129">
        <v>100</v>
      </c>
      <c r="H129" t="s">
        <v>149</v>
      </c>
      <c r="I129" t="s">
        <v>1270</v>
      </c>
      <c r="J129" t="s">
        <v>1256</v>
      </c>
    </row>
    <row r="130" spans="1:10" x14ac:dyDescent="0.45">
      <c r="A130">
        <v>129</v>
      </c>
      <c r="B130" t="s">
        <v>1130</v>
      </c>
      <c r="C130" t="s">
        <v>973</v>
      </c>
      <c r="D130" t="s">
        <v>1271</v>
      </c>
      <c r="E130">
        <v>3</v>
      </c>
      <c r="F130">
        <v>30</v>
      </c>
      <c r="G130">
        <v>22</v>
      </c>
      <c r="H130" t="s">
        <v>149</v>
      </c>
      <c r="I130" t="s">
        <v>1272</v>
      </c>
      <c r="J130" t="s">
        <v>1273</v>
      </c>
    </row>
    <row r="131" spans="1:10" x14ac:dyDescent="0.45">
      <c r="A131">
        <v>130</v>
      </c>
      <c r="B131" t="s">
        <v>1130</v>
      </c>
      <c r="C131" t="s">
        <v>973</v>
      </c>
      <c r="D131" t="s">
        <v>1271</v>
      </c>
      <c r="E131">
        <v>3</v>
      </c>
      <c r="F131">
        <v>70</v>
      </c>
      <c r="G131">
        <v>22</v>
      </c>
      <c r="H131" t="s">
        <v>149</v>
      </c>
      <c r="I131" t="s">
        <v>1274</v>
      </c>
      <c r="J131" t="s">
        <v>1273</v>
      </c>
    </row>
    <row r="132" spans="1:10" x14ac:dyDescent="0.45">
      <c r="A132">
        <v>131</v>
      </c>
      <c r="B132" t="s">
        <v>1130</v>
      </c>
      <c r="C132" t="s">
        <v>973</v>
      </c>
      <c r="D132" t="s">
        <v>1271</v>
      </c>
      <c r="E132">
        <v>3</v>
      </c>
      <c r="F132">
        <v>100</v>
      </c>
      <c r="G132">
        <v>22</v>
      </c>
      <c r="H132" t="s">
        <v>149</v>
      </c>
      <c r="I132" t="s">
        <v>1275</v>
      </c>
      <c r="J132" t="s">
        <v>1273</v>
      </c>
    </row>
    <row r="133" spans="1:10" x14ac:dyDescent="0.45">
      <c r="A133">
        <v>132</v>
      </c>
      <c r="B133" t="s">
        <v>1130</v>
      </c>
      <c r="C133" t="s">
        <v>973</v>
      </c>
      <c r="D133" t="s">
        <v>1271</v>
      </c>
      <c r="E133">
        <v>3</v>
      </c>
      <c r="F133">
        <v>150</v>
      </c>
      <c r="G133">
        <v>42</v>
      </c>
      <c r="H133" t="s">
        <v>149</v>
      </c>
      <c r="I133" t="s">
        <v>1276</v>
      </c>
      <c r="J133" t="s">
        <v>1273</v>
      </c>
    </row>
    <row r="134" spans="1:10" x14ac:dyDescent="0.45">
      <c r="A134">
        <v>133</v>
      </c>
      <c r="B134" t="s">
        <v>1130</v>
      </c>
      <c r="C134" t="s">
        <v>973</v>
      </c>
      <c r="D134" t="s">
        <v>1271</v>
      </c>
      <c r="E134">
        <v>3</v>
      </c>
      <c r="F134">
        <v>200</v>
      </c>
      <c r="G134">
        <v>42</v>
      </c>
      <c r="H134" t="s">
        <v>149</v>
      </c>
      <c r="I134" t="s">
        <v>1277</v>
      </c>
      <c r="J134" t="s">
        <v>1273</v>
      </c>
    </row>
    <row r="135" spans="1:10" x14ac:dyDescent="0.45">
      <c r="A135">
        <v>134</v>
      </c>
      <c r="B135" t="s">
        <v>1130</v>
      </c>
      <c r="C135" t="s">
        <v>973</v>
      </c>
      <c r="D135" t="s">
        <v>1271</v>
      </c>
      <c r="E135">
        <v>3</v>
      </c>
      <c r="F135">
        <v>225</v>
      </c>
      <c r="G135">
        <v>42</v>
      </c>
      <c r="H135" t="s">
        <v>149</v>
      </c>
      <c r="I135" t="s">
        <v>1278</v>
      </c>
      <c r="J135" t="s">
        <v>1273</v>
      </c>
    </row>
    <row r="136" spans="1:10" x14ac:dyDescent="0.45">
      <c r="A136">
        <v>135</v>
      </c>
      <c r="B136" t="s">
        <v>1130</v>
      </c>
      <c r="C136" t="s">
        <v>973</v>
      </c>
      <c r="D136" t="s">
        <v>1271</v>
      </c>
      <c r="E136">
        <v>3</v>
      </c>
      <c r="F136">
        <v>260</v>
      </c>
      <c r="G136">
        <v>50</v>
      </c>
      <c r="H136" t="s">
        <v>149</v>
      </c>
      <c r="I136" t="s">
        <v>1279</v>
      </c>
      <c r="J136" t="s">
        <v>1273</v>
      </c>
    </row>
    <row r="137" spans="1:10" x14ac:dyDescent="0.45">
      <c r="A137">
        <v>136</v>
      </c>
      <c r="B137" t="s">
        <v>1130</v>
      </c>
      <c r="C137" t="s">
        <v>973</v>
      </c>
      <c r="D137" t="s">
        <v>1271</v>
      </c>
      <c r="E137">
        <v>3</v>
      </c>
      <c r="F137">
        <v>400</v>
      </c>
      <c r="G137">
        <v>50</v>
      </c>
      <c r="H137" t="s">
        <v>149</v>
      </c>
      <c r="I137" t="s">
        <v>1280</v>
      </c>
      <c r="J137" t="s">
        <v>1273</v>
      </c>
    </row>
    <row r="138" spans="1:10" x14ac:dyDescent="0.45">
      <c r="A138">
        <v>137</v>
      </c>
      <c r="B138" t="s">
        <v>1130</v>
      </c>
      <c r="C138" t="s">
        <v>973</v>
      </c>
      <c r="D138" t="s">
        <v>1271</v>
      </c>
      <c r="E138">
        <v>3</v>
      </c>
      <c r="F138">
        <v>600</v>
      </c>
      <c r="G138">
        <v>65</v>
      </c>
      <c r="H138" t="s">
        <v>149</v>
      </c>
      <c r="I138" t="s">
        <v>1281</v>
      </c>
      <c r="J138" t="s">
        <v>1273</v>
      </c>
    </row>
    <row r="139" spans="1:10" x14ac:dyDescent="0.45">
      <c r="A139">
        <v>138</v>
      </c>
      <c r="B139" t="s">
        <v>1130</v>
      </c>
      <c r="C139" t="s">
        <v>973</v>
      </c>
      <c r="D139" t="s">
        <v>1271</v>
      </c>
      <c r="E139">
        <v>3</v>
      </c>
      <c r="F139">
        <v>800</v>
      </c>
      <c r="G139">
        <v>65</v>
      </c>
      <c r="H139" t="s">
        <v>149</v>
      </c>
      <c r="I139" t="s">
        <v>1282</v>
      </c>
      <c r="J139" t="s">
        <v>1273</v>
      </c>
    </row>
    <row r="140" spans="1:10" x14ac:dyDescent="0.45">
      <c r="A140">
        <v>139</v>
      </c>
      <c r="B140" t="s">
        <v>1130</v>
      </c>
      <c r="C140" t="s">
        <v>973</v>
      </c>
      <c r="D140" t="s">
        <v>1271</v>
      </c>
      <c r="E140">
        <v>3</v>
      </c>
      <c r="F140">
        <v>1000</v>
      </c>
      <c r="G140">
        <v>65</v>
      </c>
      <c r="H140" t="s">
        <v>149</v>
      </c>
      <c r="I140" t="s">
        <v>1283</v>
      </c>
      <c r="J140" t="s">
        <v>1273</v>
      </c>
    </row>
    <row r="141" spans="1:10" x14ac:dyDescent="0.45">
      <c r="A141">
        <v>140</v>
      </c>
      <c r="B141" t="s">
        <v>1130</v>
      </c>
      <c r="C141" t="s">
        <v>973</v>
      </c>
      <c r="D141" t="s">
        <v>1271</v>
      </c>
      <c r="E141">
        <v>3</v>
      </c>
      <c r="F141">
        <v>1200</v>
      </c>
      <c r="G141">
        <v>65</v>
      </c>
      <c r="H141" t="s">
        <v>149</v>
      </c>
      <c r="I141" t="s">
        <v>1284</v>
      </c>
      <c r="J141" t="s">
        <v>1273</v>
      </c>
    </row>
    <row r="142" spans="1:10" x14ac:dyDescent="0.45">
      <c r="A142">
        <v>141</v>
      </c>
      <c r="B142" t="s">
        <v>1130</v>
      </c>
      <c r="C142" t="s">
        <v>973</v>
      </c>
      <c r="D142" t="s">
        <v>1271</v>
      </c>
      <c r="E142">
        <v>3</v>
      </c>
      <c r="F142">
        <v>1600</v>
      </c>
      <c r="G142">
        <v>85</v>
      </c>
      <c r="H142" t="s">
        <v>149</v>
      </c>
      <c r="I142" t="s">
        <v>1285</v>
      </c>
      <c r="J142" t="s">
        <v>1273</v>
      </c>
    </row>
    <row r="143" spans="1:10" x14ac:dyDescent="0.45">
      <c r="A143">
        <v>142</v>
      </c>
      <c r="B143" t="s">
        <v>1130</v>
      </c>
      <c r="C143" t="s">
        <v>973</v>
      </c>
      <c r="D143" t="s">
        <v>1271</v>
      </c>
      <c r="E143">
        <v>3</v>
      </c>
      <c r="F143">
        <v>2000</v>
      </c>
      <c r="G143">
        <v>85</v>
      </c>
      <c r="H143" t="s">
        <v>149</v>
      </c>
      <c r="I143" t="s">
        <v>1286</v>
      </c>
      <c r="J143" t="s">
        <v>1273</v>
      </c>
    </row>
    <row r="144" spans="1:10" x14ac:dyDescent="0.45">
      <c r="A144">
        <v>143</v>
      </c>
      <c r="B144" t="s">
        <v>1130</v>
      </c>
      <c r="C144" t="s">
        <v>973</v>
      </c>
      <c r="D144" t="s">
        <v>1271</v>
      </c>
      <c r="E144">
        <v>3</v>
      </c>
      <c r="F144">
        <v>2500</v>
      </c>
      <c r="G144">
        <v>85</v>
      </c>
      <c r="H144" t="s">
        <v>149</v>
      </c>
      <c r="I144" t="s">
        <v>1287</v>
      </c>
      <c r="J144" t="s">
        <v>1273</v>
      </c>
    </row>
    <row r="145" spans="1:10" x14ac:dyDescent="0.45">
      <c r="A145">
        <v>144</v>
      </c>
      <c r="B145" t="s">
        <v>1130</v>
      </c>
      <c r="C145" t="s">
        <v>973</v>
      </c>
      <c r="D145" t="s">
        <v>1271</v>
      </c>
      <c r="E145">
        <v>3</v>
      </c>
      <c r="F145">
        <v>3000</v>
      </c>
      <c r="G145">
        <v>85</v>
      </c>
      <c r="H145" t="s">
        <v>149</v>
      </c>
      <c r="I145" t="s">
        <v>1288</v>
      </c>
      <c r="J145" t="s">
        <v>1273</v>
      </c>
    </row>
    <row r="146" spans="1:10" x14ac:dyDescent="0.45">
      <c r="A146">
        <v>145</v>
      </c>
      <c r="B146" t="s">
        <v>1130</v>
      </c>
      <c r="C146" t="s">
        <v>973</v>
      </c>
      <c r="D146" t="s">
        <v>1271</v>
      </c>
      <c r="E146">
        <v>3</v>
      </c>
      <c r="F146">
        <v>4000</v>
      </c>
      <c r="G146">
        <v>100</v>
      </c>
      <c r="H146" t="s">
        <v>149</v>
      </c>
      <c r="I146" t="s">
        <v>1289</v>
      </c>
      <c r="J146" t="s">
        <v>1273</v>
      </c>
    </row>
    <row r="147" spans="1:10" x14ac:dyDescent="0.45">
      <c r="A147">
        <v>146</v>
      </c>
      <c r="B147" t="s">
        <v>1130</v>
      </c>
      <c r="C147" t="s">
        <v>973</v>
      </c>
      <c r="D147" t="s">
        <v>1271</v>
      </c>
      <c r="E147">
        <v>4</v>
      </c>
      <c r="F147">
        <v>30</v>
      </c>
      <c r="G147">
        <v>22</v>
      </c>
      <c r="H147" t="s">
        <v>149</v>
      </c>
      <c r="I147" t="s">
        <v>1290</v>
      </c>
      <c r="J147" t="s">
        <v>1291</v>
      </c>
    </row>
    <row r="148" spans="1:10" x14ac:dyDescent="0.45">
      <c r="A148">
        <v>147</v>
      </c>
      <c r="B148" t="s">
        <v>1130</v>
      </c>
      <c r="C148" t="s">
        <v>973</v>
      </c>
      <c r="D148" t="s">
        <v>1271</v>
      </c>
      <c r="E148">
        <v>4</v>
      </c>
      <c r="F148">
        <v>70</v>
      </c>
      <c r="G148">
        <v>22</v>
      </c>
      <c r="H148" t="s">
        <v>149</v>
      </c>
      <c r="I148" t="s">
        <v>1292</v>
      </c>
      <c r="J148" t="s">
        <v>1291</v>
      </c>
    </row>
    <row r="149" spans="1:10" x14ac:dyDescent="0.45">
      <c r="A149">
        <v>148</v>
      </c>
      <c r="B149" t="s">
        <v>1130</v>
      </c>
      <c r="C149" t="s">
        <v>973</v>
      </c>
      <c r="D149" t="s">
        <v>1271</v>
      </c>
      <c r="E149">
        <v>4</v>
      </c>
      <c r="F149">
        <v>100</v>
      </c>
      <c r="G149">
        <v>22</v>
      </c>
      <c r="H149" t="s">
        <v>149</v>
      </c>
      <c r="I149" t="s">
        <v>1293</v>
      </c>
      <c r="J149" t="s">
        <v>1291</v>
      </c>
    </row>
    <row r="150" spans="1:10" x14ac:dyDescent="0.45">
      <c r="A150">
        <v>149</v>
      </c>
      <c r="B150" t="s">
        <v>1130</v>
      </c>
      <c r="C150" t="s">
        <v>973</v>
      </c>
      <c r="D150" t="s">
        <v>1271</v>
      </c>
      <c r="E150">
        <v>4</v>
      </c>
      <c r="F150">
        <v>150</v>
      </c>
      <c r="G150">
        <v>42</v>
      </c>
      <c r="H150" t="s">
        <v>149</v>
      </c>
      <c r="I150" t="s">
        <v>1294</v>
      </c>
      <c r="J150" t="s">
        <v>1291</v>
      </c>
    </row>
    <row r="151" spans="1:10" x14ac:dyDescent="0.45">
      <c r="A151">
        <v>150</v>
      </c>
      <c r="B151" t="s">
        <v>1130</v>
      </c>
      <c r="C151" t="s">
        <v>973</v>
      </c>
      <c r="D151" t="s">
        <v>1271</v>
      </c>
      <c r="E151">
        <v>4</v>
      </c>
      <c r="F151">
        <v>200</v>
      </c>
      <c r="G151">
        <v>42</v>
      </c>
      <c r="H151" t="s">
        <v>149</v>
      </c>
      <c r="I151" t="s">
        <v>1295</v>
      </c>
      <c r="J151" t="s">
        <v>1291</v>
      </c>
    </row>
    <row r="152" spans="1:10" x14ac:dyDescent="0.45">
      <c r="A152">
        <v>151</v>
      </c>
      <c r="B152" t="s">
        <v>1130</v>
      </c>
      <c r="C152" t="s">
        <v>973</v>
      </c>
      <c r="D152" t="s">
        <v>1271</v>
      </c>
      <c r="E152">
        <v>4</v>
      </c>
      <c r="F152">
        <v>225</v>
      </c>
      <c r="G152">
        <v>42</v>
      </c>
      <c r="H152" t="s">
        <v>149</v>
      </c>
      <c r="I152" t="s">
        <v>1296</v>
      </c>
      <c r="J152" t="s">
        <v>1291</v>
      </c>
    </row>
    <row r="153" spans="1:10" x14ac:dyDescent="0.45">
      <c r="A153">
        <v>152</v>
      </c>
      <c r="B153" t="s">
        <v>1130</v>
      </c>
      <c r="C153" t="s">
        <v>973</v>
      </c>
      <c r="D153" t="s">
        <v>1271</v>
      </c>
      <c r="E153">
        <v>4</v>
      </c>
      <c r="F153">
        <v>260</v>
      </c>
      <c r="G153">
        <v>50</v>
      </c>
      <c r="H153" t="s">
        <v>149</v>
      </c>
      <c r="I153" t="s">
        <v>1297</v>
      </c>
      <c r="J153" t="s">
        <v>1291</v>
      </c>
    </row>
    <row r="154" spans="1:10" x14ac:dyDescent="0.45">
      <c r="A154">
        <v>153</v>
      </c>
      <c r="B154" t="s">
        <v>1130</v>
      </c>
      <c r="C154" t="s">
        <v>973</v>
      </c>
      <c r="D154" t="s">
        <v>1271</v>
      </c>
      <c r="E154">
        <v>4</v>
      </c>
      <c r="F154">
        <v>400</v>
      </c>
      <c r="G154">
        <v>50</v>
      </c>
      <c r="H154" t="s">
        <v>149</v>
      </c>
      <c r="I154" t="s">
        <v>1298</v>
      </c>
      <c r="J154" t="s">
        <v>1291</v>
      </c>
    </row>
    <row r="155" spans="1:10" x14ac:dyDescent="0.45">
      <c r="A155">
        <v>154</v>
      </c>
      <c r="B155" t="s">
        <v>1130</v>
      </c>
      <c r="C155" t="s">
        <v>973</v>
      </c>
      <c r="D155" t="s">
        <v>1271</v>
      </c>
      <c r="E155">
        <v>4</v>
      </c>
      <c r="F155">
        <v>600</v>
      </c>
      <c r="G155">
        <v>65</v>
      </c>
      <c r="H155" t="s">
        <v>149</v>
      </c>
      <c r="I155" t="s">
        <v>1299</v>
      </c>
      <c r="J155" t="s">
        <v>1291</v>
      </c>
    </row>
    <row r="156" spans="1:10" x14ac:dyDescent="0.45">
      <c r="A156">
        <v>155</v>
      </c>
      <c r="B156" t="s">
        <v>1130</v>
      </c>
      <c r="C156" t="s">
        <v>973</v>
      </c>
      <c r="D156" t="s">
        <v>1271</v>
      </c>
      <c r="E156">
        <v>4</v>
      </c>
      <c r="F156">
        <v>800</v>
      </c>
      <c r="G156">
        <v>65</v>
      </c>
      <c r="H156" t="s">
        <v>149</v>
      </c>
      <c r="I156" t="s">
        <v>1300</v>
      </c>
      <c r="J156" t="s">
        <v>1291</v>
      </c>
    </row>
    <row r="157" spans="1:10" x14ac:dyDescent="0.45">
      <c r="A157">
        <v>156</v>
      </c>
      <c r="B157" t="s">
        <v>1130</v>
      </c>
      <c r="C157" t="s">
        <v>973</v>
      </c>
      <c r="D157" t="s">
        <v>1271</v>
      </c>
      <c r="E157">
        <v>4</v>
      </c>
      <c r="F157">
        <v>1000</v>
      </c>
      <c r="G157">
        <v>65</v>
      </c>
      <c r="H157" t="s">
        <v>149</v>
      </c>
      <c r="I157" t="s">
        <v>1301</v>
      </c>
      <c r="J157" t="s">
        <v>1291</v>
      </c>
    </row>
    <row r="158" spans="1:10" x14ac:dyDescent="0.45">
      <c r="A158">
        <v>157</v>
      </c>
      <c r="B158" t="s">
        <v>1130</v>
      </c>
      <c r="C158" t="s">
        <v>973</v>
      </c>
      <c r="D158" t="s">
        <v>1271</v>
      </c>
      <c r="E158">
        <v>4</v>
      </c>
      <c r="F158">
        <v>1200</v>
      </c>
      <c r="G158">
        <v>65</v>
      </c>
      <c r="H158" t="s">
        <v>149</v>
      </c>
      <c r="I158" t="s">
        <v>1302</v>
      </c>
      <c r="J158" t="s">
        <v>1291</v>
      </c>
    </row>
    <row r="159" spans="1:10" x14ac:dyDescent="0.45">
      <c r="A159">
        <v>158</v>
      </c>
      <c r="B159" t="s">
        <v>1130</v>
      </c>
      <c r="C159" t="s">
        <v>973</v>
      </c>
      <c r="D159" t="s">
        <v>1271</v>
      </c>
      <c r="E159">
        <v>4</v>
      </c>
      <c r="F159">
        <v>1600</v>
      </c>
      <c r="G159">
        <v>85</v>
      </c>
      <c r="H159" t="s">
        <v>149</v>
      </c>
      <c r="I159" t="s">
        <v>1303</v>
      </c>
      <c r="J159" t="s">
        <v>1291</v>
      </c>
    </row>
    <row r="160" spans="1:10" x14ac:dyDescent="0.45">
      <c r="A160">
        <v>159</v>
      </c>
      <c r="B160" t="s">
        <v>1130</v>
      </c>
      <c r="C160" t="s">
        <v>973</v>
      </c>
      <c r="D160" t="s">
        <v>1271</v>
      </c>
      <c r="E160">
        <v>4</v>
      </c>
      <c r="F160">
        <v>2000</v>
      </c>
      <c r="G160">
        <v>85</v>
      </c>
      <c r="H160" t="s">
        <v>149</v>
      </c>
      <c r="I160" t="s">
        <v>1304</v>
      </c>
      <c r="J160" t="s">
        <v>1291</v>
      </c>
    </row>
    <row r="161" spans="1:10" x14ac:dyDescent="0.45">
      <c r="A161">
        <v>160</v>
      </c>
      <c r="B161" t="s">
        <v>1130</v>
      </c>
      <c r="C161" t="s">
        <v>973</v>
      </c>
      <c r="D161" t="s">
        <v>1271</v>
      </c>
      <c r="E161">
        <v>4</v>
      </c>
      <c r="F161">
        <v>2500</v>
      </c>
      <c r="G161">
        <v>85</v>
      </c>
      <c r="H161" t="s">
        <v>149</v>
      </c>
      <c r="I161" t="s">
        <v>1305</v>
      </c>
      <c r="J161" t="s">
        <v>1291</v>
      </c>
    </row>
    <row r="162" spans="1:10" x14ac:dyDescent="0.45">
      <c r="A162">
        <v>161</v>
      </c>
      <c r="B162" t="s">
        <v>1130</v>
      </c>
      <c r="C162" t="s">
        <v>973</v>
      </c>
      <c r="D162" t="s">
        <v>1271</v>
      </c>
      <c r="E162">
        <v>4</v>
      </c>
      <c r="F162">
        <v>3000</v>
      </c>
      <c r="G162">
        <v>85</v>
      </c>
      <c r="H162" t="s">
        <v>149</v>
      </c>
      <c r="I162" t="s">
        <v>1306</v>
      </c>
      <c r="J162" t="s">
        <v>1291</v>
      </c>
    </row>
    <row r="163" spans="1:10" x14ac:dyDescent="0.45">
      <c r="A163">
        <v>162</v>
      </c>
      <c r="B163" t="s">
        <v>1130</v>
      </c>
      <c r="C163" t="s">
        <v>973</v>
      </c>
      <c r="D163" t="s">
        <v>1271</v>
      </c>
      <c r="E163">
        <v>4</v>
      </c>
      <c r="F163">
        <v>4000</v>
      </c>
      <c r="G163">
        <v>100</v>
      </c>
      <c r="H163" t="s">
        <v>149</v>
      </c>
      <c r="I163" t="s">
        <v>1307</v>
      </c>
      <c r="J163" t="s">
        <v>1291</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K111"/>
  <sheetViews>
    <sheetView workbookViewId="0">
      <pane ySplit="1" topLeftCell="A2" activePane="bottomLeft" state="frozen"/>
      <selection pane="bottomLeft"/>
    </sheetView>
  </sheetViews>
  <sheetFormatPr defaultRowHeight="14.25" x14ac:dyDescent="0.45"/>
  <cols>
    <col min="1" max="11" width="16" customWidth="1"/>
  </cols>
  <sheetData>
    <row r="1" spans="1:11" x14ac:dyDescent="0.45">
      <c r="A1" s="17" t="s">
        <v>1308</v>
      </c>
      <c r="B1" s="17" t="s">
        <v>1309</v>
      </c>
      <c r="C1" s="17" t="s">
        <v>1310</v>
      </c>
      <c r="D1" s="17" t="s">
        <v>1311</v>
      </c>
      <c r="E1" s="17" t="s">
        <v>1312</v>
      </c>
      <c r="F1" s="17" t="s">
        <v>1313</v>
      </c>
      <c r="G1" s="17" t="s">
        <v>1314</v>
      </c>
      <c r="H1" s="17" t="s">
        <v>1315</v>
      </c>
      <c r="I1" s="17" t="s">
        <v>1316</v>
      </c>
      <c r="J1" s="17" t="s">
        <v>1317</v>
      </c>
      <c r="K1" s="17" t="s">
        <v>1318</v>
      </c>
    </row>
    <row r="2" spans="1:11" x14ac:dyDescent="0.45">
      <c r="A2" t="s">
        <v>1319</v>
      </c>
      <c r="B2" t="s">
        <v>1320</v>
      </c>
      <c r="C2">
        <v>2.6</v>
      </c>
      <c r="D2">
        <v>13.28</v>
      </c>
      <c r="E2" t="s">
        <v>1321</v>
      </c>
      <c r="F2">
        <v>0</v>
      </c>
      <c r="G2">
        <v>0</v>
      </c>
      <c r="H2">
        <v>0</v>
      </c>
      <c r="I2">
        <v>-2.57</v>
      </c>
    </row>
    <row r="3" spans="1:11" x14ac:dyDescent="0.45">
      <c r="A3" t="s">
        <v>1319</v>
      </c>
      <c r="B3" t="s">
        <v>1320</v>
      </c>
      <c r="C3">
        <v>2.6</v>
      </c>
      <c r="D3">
        <v>13.28</v>
      </c>
      <c r="E3" t="s">
        <v>1322</v>
      </c>
      <c r="F3">
        <v>0</v>
      </c>
      <c r="G3">
        <v>-3.23</v>
      </c>
      <c r="H3">
        <v>1</v>
      </c>
    </row>
    <row r="4" spans="1:11" x14ac:dyDescent="0.45">
      <c r="A4" t="s">
        <v>1319</v>
      </c>
      <c r="B4" t="s">
        <v>1320</v>
      </c>
      <c r="C4">
        <v>2.6</v>
      </c>
      <c r="D4">
        <v>13.28</v>
      </c>
      <c r="E4" t="s">
        <v>1323</v>
      </c>
      <c r="F4">
        <v>0</v>
      </c>
      <c r="G4">
        <v>-6.59</v>
      </c>
      <c r="H4">
        <v>3.46</v>
      </c>
      <c r="I4">
        <v>289.89999999999998</v>
      </c>
      <c r="J4">
        <v>70.099999999999994</v>
      </c>
    </row>
    <row r="5" spans="1:11" x14ac:dyDescent="0.45">
      <c r="A5" t="s">
        <v>1319</v>
      </c>
      <c r="B5" t="s">
        <v>1320</v>
      </c>
      <c r="C5">
        <v>2.6</v>
      </c>
      <c r="D5">
        <v>13.28</v>
      </c>
      <c r="E5" t="s">
        <v>1321</v>
      </c>
      <c r="F5">
        <v>2.29</v>
      </c>
      <c r="G5">
        <v>-6.59</v>
      </c>
      <c r="H5">
        <v>4.5599999999999996</v>
      </c>
      <c r="I5">
        <v>-6.59</v>
      </c>
    </row>
    <row r="6" spans="1:11" x14ac:dyDescent="0.45">
      <c r="A6" t="s">
        <v>1319</v>
      </c>
      <c r="B6" t="s">
        <v>1320</v>
      </c>
      <c r="C6">
        <v>2.6</v>
      </c>
      <c r="D6">
        <v>13.28</v>
      </c>
      <c r="E6" t="s">
        <v>1322</v>
      </c>
      <c r="F6">
        <v>0</v>
      </c>
      <c r="G6">
        <v>-9.9499999999999993</v>
      </c>
      <c r="H6">
        <v>1</v>
      </c>
    </row>
    <row r="7" spans="1:11" x14ac:dyDescent="0.45">
      <c r="A7" t="s">
        <v>1319</v>
      </c>
      <c r="B7" t="s">
        <v>1320</v>
      </c>
      <c r="C7">
        <v>2.6</v>
      </c>
      <c r="D7">
        <v>13.28</v>
      </c>
      <c r="E7" t="s">
        <v>1321</v>
      </c>
      <c r="F7">
        <v>0</v>
      </c>
      <c r="G7">
        <v>-10.61</v>
      </c>
      <c r="H7">
        <v>0</v>
      </c>
      <c r="I7">
        <v>-13.28</v>
      </c>
    </row>
    <row r="8" spans="1:11" x14ac:dyDescent="0.45">
      <c r="A8" t="s">
        <v>1319</v>
      </c>
      <c r="B8" t="s">
        <v>1320</v>
      </c>
      <c r="C8">
        <v>2.6</v>
      </c>
      <c r="D8">
        <v>13.28</v>
      </c>
      <c r="E8" t="s">
        <v>1324</v>
      </c>
      <c r="F8">
        <v>-4</v>
      </c>
      <c r="G8">
        <v>-4.2</v>
      </c>
      <c r="H8">
        <v>1.6</v>
      </c>
      <c r="I8" t="s">
        <v>1325</v>
      </c>
      <c r="J8" t="s">
        <v>436</v>
      </c>
      <c r="K8">
        <v>0</v>
      </c>
    </row>
    <row r="9" spans="1:11" x14ac:dyDescent="0.45">
      <c r="A9" t="s">
        <v>1319</v>
      </c>
      <c r="B9" t="s">
        <v>1320</v>
      </c>
      <c r="C9">
        <v>2.6</v>
      </c>
      <c r="D9">
        <v>13.28</v>
      </c>
      <c r="E9" t="s">
        <v>1324</v>
      </c>
      <c r="F9">
        <v>-4</v>
      </c>
      <c r="G9">
        <v>-6.8</v>
      </c>
      <c r="H9">
        <v>1.6</v>
      </c>
      <c r="I9" t="s">
        <v>1326</v>
      </c>
      <c r="J9" t="s">
        <v>435</v>
      </c>
      <c r="K9">
        <v>0</v>
      </c>
    </row>
    <row r="10" spans="1:11" x14ac:dyDescent="0.45">
      <c r="A10" t="s">
        <v>1319</v>
      </c>
      <c r="B10" t="s">
        <v>1320</v>
      </c>
      <c r="C10">
        <v>2.6</v>
      </c>
      <c r="D10">
        <v>13.28</v>
      </c>
      <c r="E10" t="s">
        <v>1324</v>
      </c>
      <c r="F10">
        <v>-4</v>
      </c>
      <c r="G10">
        <v>-9.4</v>
      </c>
      <c r="H10">
        <v>1.6</v>
      </c>
      <c r="I10" t="s">
        <v>1327</v>
      </c>
      <c r="J10" t="s">
        <v>658</v>
      </c>
      <c r="K10">
        <v>0</v>
      </c>
    </row>
    <row r="11" spans="1:11" x14ac:dyDescent="0.45">
      <c r="A11" t="s">
        <v>1319</v>
      </c>
      <c r="B11" t="s">
        <v>1320</v>
      </c>
      <c r="C11">
        <v>2.6</v>
      </c>
      <c r="D11">
        <v>13.28</v>
      </c>
      <c r="E11" t="s">
        <v>1324</v>
      </c>
      <c r="F11">
        <v>-4</v>
      </c>
      <c r="G11">
        <v>-12</v>
      </c>
      <c r="H11">
        <v>1.6</v>
      </c>
      <c r="I11" t="s">
        <v>1328</v>
      </c>
      <c r="J11" t="s">
        <v>67</v>
      </c>
      <c r="K11">
        <v>0</v>
      </c>
    </row>
    <row r="12" spans="1:11" x14ac:dyDescent="0.45">
      <c r="A12" t="s">
        <v>1319</v>
      </c>
      <c r="B12" t="s">
        <v>1320</v>
      </c>
      <c r="C12">
        <v>2.6</v>
      </c>
      <c r="D12">
        <v>13.28</v>
      </c>
      <c r="E12" t="s">
        <v>1324</v>
      </c>
      <c r="F12">
        <v>-4</v>
      </c>
      <c r="G12">
        <v>-14.6</v>
      </c>
      <c r="H12">
        <v>1.6</v>
      </c>
      <c r="I12" t="s">
        <v>1329</v>
      </c>
      <c r="J12" t="s">
        <v>79</v>
      </c>
      <c r="K12">
        <v>0</v>
      </c>
    </row>
    <row r="13" spans="1:11" x14ac:dyDescent="0.45">
      <c r="A13" t="s">
        <v>1330</v>
      </c>
      <c r="B13" t="s">
        <v>1320</v>
      </c>
      <c r="C13">
        <v>2.6</v>
      </c>
      <c r="D13">
        <v>13.28</v>
      </c>
      <c r="E13" t="s">
        <v>1321</v>
      </c>
      <c r="F13">
        <v>0</v>
      </c>
      <c r="G13">
        <v>0</v>
      </c>
      <c r="H13">
        <v>0</v>
      </c>
      <c r="I13">
        <v>-2.57</v>
      </c>
    </row>
    <row r="14" spans="1:11" x14ac:dyDescent="0.45">
      <c r="A14" t="s">
        <v>1330</v>
      </c>
      <c r="B14" t="s">
        <v>1320</v>
      </c>
      <c r="C14">
        <v>2.6</v>
      </c>
      <c r="D14">
        <v>13.28</v>
      </c>
      <c r="E14" t="s">
        <v>1322</v>
      </c>
      <c r="F14">
        <v>0</v>
      </c>
      <c r="G14">
        <v>-3.23</v>
      </c>
      <c r="H14">
        <v>1</v>
      </c>
    </row>
    <row r="15" spans="1:11" x14ac:dyDescent="0.45">
      <c r="A15" t="s">
        <v>1330</v>
      </c>
      <c r="B15" t="s">
        <v>1320</v>
      </c>
      <c r="C15">
        <v>2.6</v>
      </c>
      <c r="D15">
        <v>13.28</v>
      </c>
      <c r="E15" t="s">
        <v>1323</v>
      </c>
      <c r="F15">
        <v>0</v>
      </c>
      <c r="G15">
        <v>-6.59</v>
      </c>
      <c r="H15">
        <v>3.46</v>
      </c>
      <c r="I15">
        <v>289.89999999999998</v>
      </c>
      <c r="J15">
        <v>70.099999999999994</v>
      </c>
    </row>
    <row r="16" spans="1:11" x14ac:dyDescent="0.45">
      <c r="A16" t="s">
        <v>1330</v>
      </c>
      <c r="B16" t="s">
        <v>1320</v>
      </c>
      <c r="C16">
        <v>2.6</v>
      </c>
      <c r="D16">
        <v>13.28</v>
      </c>
      <c r="E16" t="s">
        <v>1321</v>
      </c>
      <c r="F16">
        <v>2.29</v>
      </c>
      <c r="G16">
        <v>-6.19</v>
      </c>
      <c r="H16">
        <v>4.5599999999999996</v>
      </c>
      <c r="I16">
        <v>-6.19</v>
      </c>
    </row>
    <row r="17" spans="1:11" x14ac:dyDescent="0.45">
      <c r="A17" t="s">
        <v>1330</v>
      </c>
      <c r="B17" t="s">
        <v>1320</v>
      </c>
      <c r="C17">
        <v>2.6</v>
      </c>
      <c r="D17">
        <v>13.28</v>
      </c>
      <c r="E17" t="s">
        <v>1321</v>
      </c>
      <c r="F17">
        <v>2.29</v>
      </c>
      <c r="G17">
        <v>-6.99</v>
      </c>
      <c r="H17">
        <v>4.5599999999999996</v>
      </c>
      <c r="I17">
        <v>-6.99</v>
      </c>
    </row>
    <row r="18" spans="1:11" x14ac:dyDescent="0.45">
      <c r="A18" t="s">
        <v>1330</v>
      </c>
      <c r="B18" t="s">
        <v>1320</v>
      </c>
      <c r="C18">
        <v>2.6</v>
      </c>
      <c r="D18">
        <v>13.28</v>
      </c>
      <c r="E18" t="s">
        <v>1322</v>
      </c>
      <c r="F18">
        <v>0</v>
      </c>
      <c r="G18">
        <v>-9.9499999999999993</v>
      </c>
      <c r="H18">
        <v>1</v>
      </c>
    </row>
    <row r="19" spans="1:11" x14ac:dyDescent="0.45">
      <c r="A19" t="s">
        <v>1330</v>
      </c>
      <c r="B19" t="s">
        <v>1320</v>
      </c>
      <c r="C19">
        <v>2.6</v>
      </c>
      <c r="D19">
        <v>13.28</v>
      </c>
      <c r="E19" t="s">
        <v>1321</v>
      </c>
      <c r="F19">
        <v>0</v>
      </c>
      <c r="G19">
        <v>-10.61</v>
      </c>
      <c r="H19">
        <v>0</v>
      </c>
      <c r="I19">
        <v>-13.28</v>
      </c>
    </row>
    <row r="20" spans="1:11" x14ac:dyDescent="0.45">
      <c r="A20" t="s">
        <v>1330</v>
      </c>
      <c r="B20" t="s">
        <v>1320</v>
      </c>
      <c r="C20">
        <v>2.6</v>
      </c>
      <c r="D20">
        <v>13.28</v>
      </c>
      <c r="E20" t="s">
        <v>1324</v>
      </c>
      <c r="F20">
        <v>-4</v>
      </c>
      <c r="G20">
        <v>-4.2</v>
      </c>
      <c r="H20">
        <v>1.6</v>
      </c>
      <c r="I20" t="s">
        <v>1325</v>
      </c>
      <c r="J20" t="s">
        <v>436</v>
      </c>
      <c r="K20">
        <v>0</v>
      </c>
    </row>
    <row r="21" spans="1:11" x14ac:dyDescent="0.45">
      <c r="A21" t="s">
        <v>1330</v>
      </c>
      <c r="B21" t="s">
        <v>1320</v>
      </c>
      <c r="C21">
        <v>2.6</v>
      </c>
      <c r="D21">
        <v>13.28</v>
      </c>
      <c r="E21" t="s">
        <v>1324</v>
      </c>
      <c r="F21">
        <v>-4</v>
      </c>
      <c r="G21">
        <v>-6.8</v>
      </c>
      <c r="H21">
        <v>1.6</v>
      </c>
      <c r="I21" t="s">
        <v>1326</v>
      </c>
      <c r="J21" t="s">
        <v>435</v>
      </c>
      <c r="K21">
        <v>0</v>
      </c>
    </row>
    <row r="22" spans="1:11" x14ac:dyDescent="0.45">
      <c r="A22" t="s">
        <v>1330</v>
      </c>
      <c r="B22" t="s">
        <v>1320</v>
      </c>
      <c r="C22">
        <v>2.6</v>
      </c>
      <c r="D22">
        <v>13.28</v>
      </c>
      <c r="E22" t="s">
        <v>1324</v>
      </c>
      <c r="F22">
        <v>-4</v>
      </c>
      <c r="G22">
        <v>-9.4</v>
      </c>
      <c r="H22">
        <v>1.6</v>
      </c>
      <c r="I22" t="s">
        <v>1327</v>
      </c>
      <c r="J22" t="s">
        <v>658</v>
      </c>
      <c r="K22">
        <v>0</v>
      </c>
    </row>
    <row r="23" spans="1:11" x14ac:dyDescent="0.45">
      <c r="A23" t="s">
        <v>1330</v>
      </c>
      <c r="B23" t="s">
        <v>1320</v>
      </c>
      <c r="C23">
        <v>2.6</v>
      </c>
      <c r="D23">
        <v>13.28</v>
      </c>
      <c r="E23" t="s">
        <v>1324</v>
      </c>
      <c r="F23">
        <v>-4</v>
      </c>
      <c r="G23">
        <v>-12</v>
      </c>
      <c r="H23">
        <v>1.6</v>
      </c>
      <c r="I23" t="s">
        <v>1328</v>
      </c>
      <c r="J23" t="s">
        <v>67</v>
      </c>
      <c r="K23">
        <v>0</v>
      </c>
    </row>
    <row r="24" spans="1:11" x14ac:dyDescent="0.45">
      <c r="A24" t="s">
        <v>1330</v>
      </c>
      <c r="B24" t="s">
        <v>1320</v>
      </c>
      <c r="C24">
        <v>2.6</v>
      </c>
      <c r="D24">
        <v>13.28</v>
      </c>
      <c r="E24" t="s">
        <v>1324</v>
      </c>
      <c r="F24">
        <v>-4</v>
      </c>
      <c r="G24">
        <v>-14.6</v>
      </c>
      <c r="H24">
        <v>1.6</v>
      </c>
      <c r="I24" t="s">
        <v>1329</v>
      </c>
      <c r="J24" t="s">
        <v>79</v>
      </c>
      <c r="K24">
        <v>0</v>
      </c>
    </row>
    <row r="25" spans="1:11" x14ac:dyDescent="0.45">
      <c r="A25" t="s">
        <v>1331</v>
      </c>
      <c r="B25" t="s">
        <v>1320</v>
      </c>
      <c r="C25">
        <v>2.6</v>
      </c>
      <c r="D25">
        <v>13.28</v>
      </c>
      <c r="E25" t="s">
        <v>1321</v>
      </c>
      <c r="F25">
        <v>0</v>
      </c>
      <c r="G25">
        <v>0</v>
      </c>
      <c r="H25">
        <v>0</v>
      </c>
      <c r="I25">
        <v>-2.57</v>
      </c>
    </row>
    <row r="26" spans="1:11" x14ac:dyDescent="0.45">
      <c r="A26" t="s">
        <v>1331</v>
      </c>
      <c r="B26" t="s">
        <v>1320</v>
      </c>
      <c r="C26">
        <v>2.6</v>
      </c>
      <c r="D26">
        <v>13.28</v>
      </c>
      <c r="E26" t="s">
        <v>1322</v>
      </c>
      <c r="F26">
        <v>0</v>
      </c>
      <c r="G26">
        <v>-3.23</v>
      </c>
      <c r="H26">
        <v>1</v>
      </c>
    </row>
    <row r="27" spans="1:11" x14ac:dyDescent="0.45">
      <c r="A27" t="s">
        <v>1331</v>
      </c>
      <c r="B27" t="s">
        <v>1320</v>
      </c>
      <c r="C27">
        <v>2.6</v>
      </c>
      <c r="D27">
        <v>13.28</v>
      </c>
      <c r="E27" t="s">
        <v>1323</v>
      </c>
      <c r="F27">
        <v>0</v>
      </c>
      <c r="G27">
        <v>-6.59</v>
      </c>
      <c r="H27">
        <v>3.46</v>
      </c>
      <c r="I27">
        <v>289.89999999999998</v>
      </c>
      <c r="J27">
        <v>70.099999999999994</v>
      </c>
    </row>
    <row r="28" spans="1:11" x14ac:dyDescent="0.45">
      <c r="A28" t="s">
        <v>1331</v>
      </c>
      <c r="B28" t="s">
        <v>1320</v>
      </c>
      <c r="C28">
        <v>2.6</v>
      </c>
      <c r="D28">
        <v>13.28</v>
      </c>
      <c r="E28" t="s">
        <v>1321</v>
      </c>
      <c r="F28">
        <v>2.29</v>
      </c>
      <c r="G28">
        <v>-5.79</v>
      </c>
      <c r="H28">
        <v>4.5599999999999996</v>
      </c>
      <c r="I28">
        <v>-5.79</v>
      </c>
    </row>
    <row r="29" spans="1:11" x14ac:dyDescent="0.45">
      <c r="A29" t="s">
        <v>1331</v>
      </c>
      <c r="B29" t="s">
        <v>1320</v>
      </c>
      <c r="C29">
        <v>2.6</v>
      </c>
      <c r="D29">
        <v>13.28</v>
      </c>
      <c r="E29" t="s">
        <v>1321</v>
      </c>
      <c r="F29">
        <v>2.29</v>
      </c>
      <c r="G29">
        <v>-6.59</v>
      </c>
      <c r="H29">
        <v>4.5599999999999996</v>
      </c>
      <c r="I29">
        <v>-6.59</v>
      </c>
    </row>
    <row r="30" spans="1:11" x14ac:dyDescent="0.45">
      <c r="A30" t="s">
        <v>1331</v>
      </c>
      <c r="B30" t="s">
        <v>1320</v>
      </c>
      <c r="C30">
        <v>2.6</v>
      </c>
      <c r="D30">
        <v>13.28</v>
      </c>
      <c r="E30" t="s">
        <v>1321</v>
      </c>
      <c r="F30">
        <v>2.29</v>
      </c>
      <c r="G30">
        <v>-7.39</v>
      </c>
      <c r="H30">
        <v>4.5599999999999996</v>
      </c>
      <c r="I30">
        <v>-7.39</v>
      </c>
    </row>
    <row r="31" spans="1:11" x14ac:dyDescent="0.45">
      <c r="A31" t="s">
        <v>1331</v>
      </c>
      <c r="B31" t="s">
        <v>1320</v>
      </c>
      <c r="C31">
        <v>2.6</v>
      </c>
      <c r="D31">
        <v>13.28</v>
      </c>
      <c r="E31" t="s">
        <v>1322</v>
      </c>
      <c r="F31">
        <v>0</v>
      </c>
      <c r="G31">
        <v>-9.9499999999999993</v>
      </c>
      <c r="H31">
        <v>1</v>
      </c>
    </row>
    <row r="32" spans="1:11" x14ac:dyDescent="0.45">
      <c r="A32" t="s">
        <v>1331</v>
      </c>
      <c r="B32" t="s">
        <v>1320</v>
      </c>
      <c r="C32">
        <v>2.6</v>
      </c>
      <c r="D32">
        <v>13.28</v>
      </c>
      <c r="E32" t="s">
        <v>1321</v>
      </c>
      <c r="F32">
        <v>0</v>
      </c>
      <c r="G32">
        <v>-10.61</v>
      </c>
      <c r="H32">
        <v>0</v>
      </c>
      <c r="I32">
        <v>-13.28</v>
      </c>
    </row>
    <row r="33" spans="1:11" x14ac:dyDescent="0.45">
      <c r="A33" t="s">
        <v>1331</v>
      </c>
      <c r="B33" t="s">
        <v>1320</v>
      </c>
      <c r="C33">
        <v>2.6</v>
      </c>
      <c r="D33">
        <v>13.28</v>
      </c>
      <c r="E33" t="s">
        <v>1324</v>
      </c>
      <c r="F33">
        <v>-4</v>
      </c>
      <c r="G33">
        <v>-4.2</v>
      </c>
      <c r="H33">
        <v>1.6</v>
      </c>
      <c r="I33" t="s">
        <v>1325</v>
      </c>
      <c r="J33" t="s">
        <v>436</v>
      </c>
      <c r="K33">
        <v>0</v>
      </c>
    </row>
    <row r="34" spans="1:11" x14ac:dyDescent="0.45">
      <c r="A34" t="s">
        <v>1331</v>
      </c>
      <c r="B34" t="s">
        <v>1320</v>
      </c>
      <c r="C34">
        <v>2.6</v>
      </c>
      <c r="D34">
        <v>13.28</v>
      </c>
      <c r="E34" t="s">
        <v>1324</v>
      </c>
      <c r="F34">
        <v>-4</v>
      </c>
      <c r="G34">
        <v>-6.8</v>
      </c>
      <c r="H34">
        <v>1.6</v>
      </c>
      <c r="I34" t="s">
        <v>1326</v>
      </c>
      <c r="J34" t="s">
        <v>435</v>
      </c>
      <c r="K34">
        <v>0</v>
      </c>
    </row>
    <row r="35" spans="1:11" x14ac:dyDescent="0.45">
      <c r="A35" t="s">
        <v>1331</v>
      </c>
      <c r="B35" t="s">
        <v>1320</v>
      </c>
      <c r="C35">
        <v>2.6</v>
      </c>
      <c r="D35">
        <v>13.28</v>
      </c>
      <c r="E35" t="s">
        <v>1324</v>
      </c>
      <c r="F35">
        <v>-4</v>
      </c>
      <c r="G35">
        <v>-9.4</v>
      </c>
      <c r="H35">
        <v>1.6</v>
      </c>
      <c r="I35" t="s">
        <v>1327</v>
      </c>
      <c r="J35" t="s">
        <v>658</v>
      </c>
      <c r="K35">
        <v>0</v>
      </c>
    </row>
    <row r="36" spans="1:11" x14ac:dyDescent="0.45">
      <c r="A36" t="s">
        <v>1331</v>
      </c>
      <c r="B36" t="s">
        <v>1320</v>
      </c>
      <c r="C36">
        <v>2.6</v>
      </c>
      <c r="D36">
        <v>13.28</v>
      </c>
      <c r="E36" t="s">
        <v>1324</v>
      </c>
      <c r="F36">
        <v>-4</v>
      </c>
      <c r="G36">
        <v>-12</v>
      </c>
      <c r="H36">
        <v>1.6</v>
      </c>
      <c r="I36" t="s">
        <v>1328</v>
      </c>
      <c r="J36" t="s">
        <v>67</v>
      </c>
      <c r="K36">
        <v>0</v>
      </c>
    </row>
    <row r="37" spans="1:11" x14ac:dyDescent="0.45">
      <c r="A37" t="s">
        <v>1331</v>
      </c>
      <c r="B37" t="s">
        <v>1320</v>
      </c>
      <c r="C37">
        <v>2.6</v>
      </c>
      <c r="D37">
        <v>13.28</v>
      </c>
      <c r="E37" t="s">
        <v>1324</v>
      </c>
      <c r="F37">
        <v>-4</v>
      </c>
      <c r="G37">
        <v>-14.6</v>
      </c>
      <c r="H37">
        <v>1.6</v>
      </c>
      <c r="I37" t="s">
        <v>1329</v>
      </c>
      <c r="J37" t="s">
        <v>79</v>
      </c>
      <c r="K37">
        <v>0</v>
      </c>
    </row>
    <row r="38" spans="1:11" x14ac:dyDescent="0.45">
      <c r="A38" t="s">
        <v>1332</v>
      </c>
      <c r="B38" t="s">
        <v>1333</v>
      </c>
      <c r="C38">
        <v>1.8</v>
      </c>
      <c r="D38">
        <v>16.8</v>
      </c>
      <c r="E38" t="s">
        <v>1321</v>
      </c>
      <c r="F38">
        <v>-8.82</v>
      </c>
      <c r="G38">
        <v>0</v>
      </c>
      <c r="H38">
        <v>8.86</v>
      </c>
      <c r="I38">
        <v>0</v>
      </c>
    </row>
    <row r="39" spans="1:11" x14ac:dyDescent="0.45">
      <c r="A39" t="s">
        <v>1332</v>
      </c>
      <c r="B39" t="s">
        <v>1333</v>
      </c>
      <c r="C39">
        <v>1.8</v>
      </c>
      <c r="D39">
        <v>16.8</v>
      </c>
      <c r="E39" t="s">
        <v>1321</v>
      </c>
      <c r="F39">
        <v>8.86</v>
      </c>
      <c r="G39">
        <v>0</v>
      </c>
      <c r="H39">
        <v>8.86</v>
      </c>
      <c r="I39">
        <v>-16.8</v>
      </c>
    </row>
    <row r="40" spans="1:11" x14ac:dyDescent="0.45">
      <c r="A40" t="s">
        <v>1332</v>
      </c>
      <c r="B40" t="s">
        <v>1333</v>
      </c>
      <c r="C40">
        <v>1.8</v>
      </c>
      <c r="D40">
        <v>16.8</v>
      </c>
      <c r="E40" t="s">
        <v>1321</v>
      </c>
      <c r="F40">
        <v>8.86</v>
      </c>
      <c r="G40">
        <v>-16.8</v>
      </c>
      <c r="H40">
        <v>-8.82</v>
      </c>
      <c r="I40">
        <v>-16.8</v>
      </c>
    </row>
    <row r="41" spans="1:11" x14ac:dyDescent="0.45">
      <c r="A41" t="s">
        <v>1332</v>
      </c>
      <c r="B41" t="s">
        <v>1333</v>
      </c>
      <c r="C41">
        <v>1.8</v>
      </c>
      <c r="D41">
        <v>16.8</v>
      </c>
      <c r="E41" t="s">
        <v>1321</v>
      </c>
      <c r="F41">
        <v>-8.82</v>
      </c>
      <c r="G41">
        <v>-16.8</v>
      </c>
      <c r="H41">
        <v>-8.82</v>
      </c>
      <c r="I41">
        <v>0</v>
      </c>
    </row>
    <row r="42" spans="1:11" x14ac:dyDescent="0.45">
      <c r="A42" t="s">
        <v>1332</v>
      </c>
      <c r="B42" t="s">
        <v>1333</v>
      </c>
      <c r="C42">
        <v>1.8</v>
      </c>
      <c r="D42">
        <v>16.8</v>
      </c>
      <c r="E42" t="s">
        <v>1321</v>
      </c>
      <c r="F42">
        <v>0</v>
      </c>
      <c r="G42">
        <v>3</v>
      </c>
      <c r="H42">
        <v>0</v>
      </c>
      <c r="I42">
        <v>0</v>
      </c>
    </row>
    <row r="43" spans="1:11" x14ac:dyDescent="0.45">
      <c r="A43" t="s">
        <v>1332</v>
      </c>
      <c r="B43" t="s">
        <v>1333</v>
      </c>
      <c r="C43">
        <v>1.8</v>
      </c>
      <c r="D43">
        <v>16.8</v>
      </c>
      <c r="E43" t="s">
        <v>1321</v>
      </c>
      <c r="F43">
        <v>0</v>
      </c>
      <c r="G43">
        <v>-16.8</v>
      </c>
      <c r="H43">
        <v>0</v>
      </c>
      <c r="I43">
        <v>-19.8</v>
      </c>
    </row>
    <row r="44" spans="1:11" x14ac:dyDescent="0.45">
      <c r="A44" t="s">
        <v>1332</v>
      </c>
      <c r="B44" t="s">
        <v>1333</v>
      </c>
      <c r="C44">
        <v>1.8</v>
      </c>
      <c r="D44">
        <v>16.8</v>
      </c>
      <c r="E44" t="s">
        <v>1323</v>
      </c>
      <c r="F44">
        <v>-5.41</v>
      </c>
      <c r="G44">
        <v>-3.35</v>
      </c>
      <c r="H44">
        <v>1.35</v>
      </c>
      <c r="I44">
        <v>180</v>
      </c>
      <c r="J44">
        <v>0</v>
      </c>
    </row>
    <row r="45" spans="1:11" x14ac:dyDescent="0.45">
      <c r="A45" t="s">
        <v>1332</v>
      </c>
      <c r="B45" t="s">
        <v>1333</v>
      </c>
      <c r="C45">
        <v>1.8</v>
      </c>
      <c r="D45">
        <v>16.8</v>
      </c>
      <c r="E45" t="s">
        <v>1323</v>
      </c>
      <c r="F45">
        <v>-2.7</v>
      </c>
      <c r="G45">
        <v>-3.35</v>
      </c>
      <c r="H45">
        <v>1.35</v>
      </c>
      <c r="I45">
        <v>180</v>
      </c>
      <c r="J45">
        <v>0</v>
      </c>
    </row>
    <row r="46" spans="1:11" x14ac:dyDescent="0.45">
      <c r="A46" t="s">
        <v>1332</v>
      </c>
      <c r="B46" t="s">
        <v>1333</v>
      </c>
      <c r="C46">
        <v>1.8</v>
      </c>
      <c r="D46">
        <v>16.8</v>
      </c>
      <c r="E46" t="s">
        <v>1323</v>
      </c>
      <c r="F46">
        <v>0</v>
      </c>
      <c r="G46">
        <v>-3.35</v>
      </c>
      <c r="H46">
        <v>1.35</v>
      </c>
      <c r="I46">
        <v>180</v>
      </c>
      <c r="J46">
        <v>0</v>
      </c>
    </row>
    <row r="47" spans="1:11" x14ac:dyDescent="0.45">
      <c r="A47" t="s">
        <v>1332</v>
      </c>
      <c r="B47" t="s">
        <v>1333</v>
      </c>
      <c r="C47">
        <v>1.8</v>
      </c>
      <c r="D47">
        <v>16.8</v>
      </c>
      <c r="E47" t="s">
        <v>1323</v>
      </c>
      <c r="F47">
        <v>2.7</v>
      </c>
      <c r="G47">
        <v>-3.35</v>
      </c>
      <c r="H47">
        <v>1.35</v>
      </c>
      <c r="I47">
        <v>180</v>
      </c>
      <c r="J47">
        <v>0</v>
      </c>
    </row>
    <row r="48" spans="1:11" x14ac:dyDescent="0.45">
      <c r="A48" t="s">
        <v>1332</v>
      </c>
      <c r="B48" t="s">
        <v>1333</v>
      </c>
      <c r="C48">
        <v>1.8</v>
      </c>
      <c r="D48">
        <v>16.8</v>
      </c>
      <c r="E48" t="s">
        <v>1323</v>
      </c>
      <c r="F48">
        <v>5.41</v>
      </c>
      <c r="G48">
        <v>-3.35</v>
      </c>
      <c r="H48">
        <v>1.35</v>
      </c>
      <c r="I48">
        <v>180</v>
      </c>
      <c r="J48">
        <v>0</v>
      </c>
    </row>
    <row r="49" spans="1:11" x14ac:dyDescent="0.45">
      <c r="A49" t="s">
        <v>1332</v>
      </c>
      <c r="B49" t="s">
        <v>1333</v>
      </c>
      <c r="C49">
        <v>1.8</v>
      </c>
      <c r="D49">
        <v>16.8</v>
      </c>
      <c r="E49" t="s">
        <v>1323</v>
      </c>
      <c r="F49">
        <v>-5.41</v>
      </c>
      <c r="G49">
        <v>-13.45</v>
      </c>
      <c r="H49">
        <v>1.35</v>
      </c>
      <c r="I49">
        <v>0</v>
      </c>
      <c r="J49">
        <v>180</v>
      </c>
    </row>
    <row r="50" spans="1:11" x14ac:dyDescent="0.45">
      <c r="A50" t="s">
        <v>1332</v>
      </c>
      <c r="B50" t="s">
        <v>1333</v>
      </c>
      <c r="C50">
        <v>1.8</v>
      </c>
      <c r="D50">
        <v>16.8</v>
      </c>
      <c r="E50" t="s">
        <v>1323</v>
      </c>
      <c r="F50">
        <v>-2.7</v>
      </c>
      <c r="G50">
        <v>-13.45</v>
      </c>
      <c r="H50">
        <v>1.35</v>
      </c>
      <c r="I50">
        <v>0</v>
      </c>
      <c r="J50">
        <v>180</v>
      </c>
    </row>
    <row r="51" spans="1:11" x14ac:dyDescent="0.45">
      <c r="A51" t="s">
        <v>1332</v>
      </c>
      <c r="B51" t="s">
        <v>1333</v>
      </c>
      <c r="C51">
        <v>1.8</v>
      </c>
      <c r="D51">
        <v>16.8</v>
      </c>
      <c r="E51" t="s">
        <v>1323</v>
      </c>
      <c r="F51">
        <v>0</v>
      </c>
      <c r="G51">
        <v>-13.45</v>
      </c>
      <c r="H51">
        <v>1.35</v>
      </c>
      <c r="I51">
        <v>0</v>
      </c>
      <c r="J51">
        <v>180</v>
      </c>
    </row>
    <row r="52" spans="1:11" x14ac:dyDescent="0.45">
      <c r="A52" t="s">
        <v>1332</v>
      </c>
      <c r="B52" t="s">
        <v>1333</v>
      </c>
      <c r="C52">
        <v>1.8</v>
      </c>
      <c r="D52">
        <v>16.8</v>
      </c>
      <c r="E52" t="s">
        <v>1323</v>
      </c>
      <c r="F52">
        <v>2.7</v>
      </c>
      <c r="G52">
        <v>-13.45</v>
      </c>
      <c r="H52">
        <v>1.35</v>
      </c>
      <c r="I52">
        <v>0</v>
      </c>
      <c r="J52">
        <v>180</v>
      </c>
    </row>
    <row r="53" spans="1:11" x14ac:dyDescent="0.45">
      <c r="A53" t="s">
        <v>1332</v>
      </c>
      <c r="B53" t="s">
        <v>1333</v>
      </c>
      <c r="C53">
        <v>1.8</v>
      </c>
      <c r="D53">
        <v>16.8</v>
      </c>
      <c r="E53" t="s">
        <v>1323</v>
      </c>
      <c r="F53">
        <v>5.41</v>
      </c>
      <c r="G53">
        <v>-13.45</v>
      </c>
      <c r="H53">
        <v>1.35</v>
      </c>
      <c r="I53">
        <v>0</v>
      </c>
      <c r="J53">
        <v>180</v>
      </c>
    </row>
    <row r="54" spans="1:11" x14ac:dyDescent="0.45">
      <c r="A54" t="s">
        <v>1332</v>
      </c>
      <c r="B54" t="s">
        <v>1333</v>
      </c>
      <c r="C54">
        <v>1.8</v>
      </c>
      <c r="D54">
        <v>16.8</v>
      </c>
      <c r="E54" t="s">
        <v>1321</v>
      </c>
      <c r="F54">
        <v>-6.76</v>
      </c>
      <c r="G54">
        <v>-5.84</v>
      </c>
      <c r="H54">
        <v>6.76</v>
      </c>
      <c r="I54">
        <v>-5.84</v>
      </c>
    </row>
    <row r="55" spans="1:11" x14ac:dyDescent="0.45">
      <c r="A55" t="s">
        <v>1332</v>
      </c>
      <c r="B55" t="s">
        <v>1333</v>
      </c>
      <c r="C55">
        <v>1.8</v>
      </c>
      <c r="D55">
        <v>16.8</v>
      </c>
      <c r="E55" t="s">
        <v>1321</v>
      </c>
      <c r="F55">
        <v>-6.76</v>
      </c>
      <c r="G55">
        <v>-7.86</v>
      </c>
      <c r="H55">
        <v>6.76</v>
      </c>
      <c r="I55">
        <v>-7.86</v>
      </c>
    </row>
    <row r="56" spans="1:11" x14ac:dyDescent="0.45">
      <c r="A56" t="s">
        <v>1332</v>
      </c>
      <c r="B56" t="s">
        <v>1333</v>
      </c>
      <c r="C56">
        <v>1.8</v>
      </c>
      <c r="D56">
        <v>16.8</v>
      </c>
      <c r="E56" t="s">
        <v>1321</v>
      </c>
      <c r="F56">
        <v>-6.76</v>
      </c>
      <c r="G56">
        <v>-10.96</v>
      </c>
      <c r="H56">
        <v>6.76</v>
      </c>
      <c r="I56">
        <v>-10.96</v>
      </c>
    </row>
    <row r="57" spans="1:11" x14ac:dyDescent="0.45">
      <c r="A57" t="s">
        <v>1332</v>
      </c>
      <c r="B57" t="s">
        <v>1333</v>
      </c>
      <c r="C57">
        <v>1.8</v>
      </c>
      <c r="D57">
        <v>16.8</v>
      </c>
      <c r="E57" t="s">
        <v>1321</v>
      </c>
      <c r="F57">
        <v>-6.76</v>
      </c>
      <c r="G57">
        <v>-8.94</v>
      </c>
      <c r="H57">
        <v>6.76</v>
      </c>
      <c r="I57">
        <v>-8.94</v>
      </c>
    </row>
    <row r="58" spans="1:11" x14ac:dyDescent="0.45">
      <c r="A58" t="s">
        <v>1332</v>
      </c>
      <c r="B58" t="s">
        <v>1333</v>
      </c>
      <c r="C58">
        <v>1.8</v>
      </c>
      <c r="D58">
        <v>16.8</v>
      </c>
      <c r="E58" t="s">
        <v>1324</v>
      </c>
      <c r="F58">
        <v>0</v>
      </c>
      <c r="G58">
        <v>-22</v>
      </c>
      <c r="H58">
        <v>1.6</v>
      </c>
      <c r="I58" t="s">
        <v>868</v>
      </c>
      <c r="J58" t="s">
        <v>1334</v>
      </c>
      <c r="K58">
        <v>0</v>
      </c>
    </row>
    <row r="59" spans="1:11" x14ac:dyDescent="0.45">
      <c r="A59" t="s">
        <v>1332</v>
      </c>
      <c r="B59" t="s">
        <v>1333</v>
      </c>
      <c r="C59">
        <v>1.8</v>
      </c>
      <c r="D59">
        <v>16.8</v>
      </c>
      <c r="E59" t="s">
        <v>1324</v>
      </c>
      <c r="F59">
        <v>0</v>
      </c>
      <c r="G59">
        <v>-24.6</v>
      </c>
      <c r="H59">
        <v>1.6</v>
      </c>
      <c r="I59" t="s">
        <v>1335</v>
      </c>
      <c r="J59" t="s">
        <v>1336</v>
      </c>
      <c r="K59">
        <v>0</v>
      </c>
    </row>
    <row r="60" spans="1:11" x14ac:dyDescent="0.45">
      <c r="A60" t="s">
        <v>1332</v>
      </c>
      <c r="B60" t="s">
        <v>1333</v>
      </c>
      <c r="C60">
        <v>1.8</v>
      </c>
      <c r="D60">
        <v>16.8</v>
      </c>
      <c r="E60" t="s">
        <v>1324</v>
      </c>
      <c r="F60">
        <v>0</v>
      </c>
      <c r="G60">
        <v>-27.2</v>
      </c>
      <c r="H60">
        <v>1.6</v>
      </c>
      <c r="I60" t="s">
        <v>1337</v>
      </c>
      <c r="J60" t="s">
        <v>1338</v>
      </c>
      <c r="K60">
        <v>0</v>
      </c>
    </row>
    <row r="61" spans="1:11" x14ac:dyDescent="0.45">
      <c r="A61" t="s">
        <v>665</v>
      </c>
      <c r="B61" t="s">
        <v>168</v>
      </c>
      <c r="C61">
        <v>1.8</v>
      </c>
      <c r="D61">
        <v>20</v>
      </c>
      <c r="E61" t="s">
        <v>1321</v>
      </c>
      <c r="F61">
        <v>-10</v>
      </c>
      <c r="G61">
        <v>0</v>
      </c>
      <c r="H61">
        <v>10</v>
      </c>
      <c r="I61">
        <v>0</v>
      </c>
    </row>
    <row r="62" spans="1:11" x14ac:dyDescent="0.45">
      <c r="A62" t="s">
        <v>665</v>
      </c>
      <c r="B62" t="s">
        <v>168</v>
      </c>
      <c r="C62">
        <v>1.8</v>
      </c>
      <c r="D62">
        <v>20</v>
      </c>
      <c r="E62" t="s">
        <v>1321</v>
      </c>
      <c r="F62">
        <v>10</v>
      </c>
      <c r="G62">
        <v>0</v>
      </c>
      <c r="H62">
        <v>10</v>
      </c>
      <c r="I62">
        <v>-20</v>
      </c>
    </row>
    <row r="63" spans="1:11" x14ac:dyDescent="0.45">
      <c r="A63" t="s">
        <v>665</v>
      </c>
      <c r="B63" t="s">
        <v>168</v>
      </c>
      <c r="C63">
        <v>1.8</v>
      </c>
      <c r="D63">
        <v>20</v>
      </c>
      <c r="E63" t="s">
        <v>1321</v>
      </c>
      <c r="F63">
        <v>10</v>
      </c>
      <c r="G63">
        <v>-20</v>
      </c>
      <c r="H63">
        <v>-10</v>
      </c>
      <c r="I63">
        <v>-20</v>
      </c>
    </row>
    <row r="64" spans="1:11" x14ac:dyDescent="0.45">
      <c r="A64" t="s">
        <v>665</v>
      </c>
      <c r="B64" t="s">
        <v>168</v>
      </c>
      <c r="C64">
        <v>1.8</v>
      </c>
      <c r="D64">
        <v>20</v>
      </c>
      <c r="E64" t="s">
        <v>1321</v>
      </c>
      <c r="F64">
        <v>-10</v>
      </c>
      <c r="G64">
        <v>-20</v>
      </c>
      <c r="H64">
        <v>-10</v>
      </c>
      <c r="I64">
        <v>0</v>
      </c>
    </row>
    <row r="65" spans="1:11" x14ac:dyDescent="0.45">
      <c r="A65" t="s">
        <v>665</v>
      </c>
      <c r="B65" t="s">
        <v>168</v>
      </c>
      <c r="C65">
        <v>1.8</v>
      </c>
      <c r="D65">
        <v>20</v>
      </c>
      <c r="E65" t="s">
        <v>1339</v>
      </c>
      <c r="F65">
        <v>3.03</v>
      </c>
      <c r="G65">
        <v>-10</v>
      </c>
      <c r="H65">
        <v>0.72</v>
      </c>
    </row>
    <row r="66" spans="1:11" x14ac:dyDescent="0.45">
      <c r="A66" t="s">
        <v>665</v>
      </c>
      <c r="B66" t="s">
        <v>168</v>
      </c>
      <c r="C66">
        <v>1.8</v>
      </c>
      <c r="D66">
        <v>20</v>
      </c>
      <c r="E66" t="s">
        <v>1339</v>
      </c>
      <c r="F66">
        <v>-3.03</v>
      </c>
      <c r="G66">
        <v>-10</v>
      </c>
      <c r="H66">
        <v>0.72</v>
      </c>
    </row>
    <row r="67" spans="1:11" x14ac:dyDescent="0.45">
      <c r="A67" t="s">
        <v>665</v>
      </c>
      <c r="B67" t="s">
        <v>168</v>
      </c>
      <c r="C67">
        <v>1.8</v>
      </c>
      <c r="D67">
        <v>20</v>
      </c>
      <c r="E67" t="s">
        <v>1339</v>
      </c>
      <c r="F67">
        <v>0</v>
      </c>
      <c r="G67">
        <v>-13.03</v>
      </c>
      <c r="H67">
        <v>0.72</v>
      </c>
    </row>
    <row r="68" spans="1:11" x14ac:dyDescent="0.45">
      <c r="A68" t="s">
        <v>665</v>
      </c>
      <c r="B68" t="s">
        <v>168</v>
      </c>
      <c r="C68">
        <v>1.8</v>
      </c>
      <c r="D68">
        <v>20</v>
      </c>
      <c r="E68" t="s">
        <v>1323</v>
      </c>
      <c r="F68">
        <v>0</v>
      </c>
      <c r="G68">
        <v>-10</v>
      </c>
      <c r="H68">
        <v>2.31</v>
      </c>
      <c r="I68">
        <v>49.7</v>
      </c>
      <c r="J68">
        <v>130.30000000000001</v>
      </c>
    </row>
    <row r="69" spans="1:11" x14ac:dyDescent="0.45">
      <c r="A69" t="s">
        <v>665</v>
      </c>
      <c r="B69" t="s">
        <v>168</v>
      </c>
      <c r="C69">
        <v>1.8</v>
      </c>
      <c r="D69">
        <v>20</v>
      </c>
      <c r="E69" t="s">
        <v>1321</v>
      </c>
      <c r="F69">
        <v>0</v>
      </c>
      <c r="G69">
        <v>-12.31</v>
      </c>
      <c r="H69">
        <v>0</v>
      </c>
      <c r="I69">
        <v>-7.69</v>
      </c>
    </row>
    <row r="70" spans="1:11" x14ac:dyDescent="0.45">
      <c r="A70" t="s">
        <v>665</v>
      </c>
      <c r="B70" t="s">
        <v>168</v>
      </c>
      <c r="C70">
        <v>1.8</v>
      </c>
      <c r="D70">
        <v>20</v>
      </c>
      <c r="E70" t="s">
        <v>1321</v>
      </c>
      <c r="F70">
        <v>-3.03</v>
      </c>
      <c r="G70">
        <v>-9.2799999999999994</v>
      </c>
      <c r="H70">
        <v>-3.03</v>
      </c>
      <c r="I70">
        <v>-4</v>
      </c>
    </row>
    <row r="71" spans="1:11" x14ac:dyDescent="0.45">
      <c r="A71" t="s">
        <v>665</v>
      </c>
      <c r="B71" t="s">
        <v>168</v>
      </c>
      <c r="C71">
        <v>1.8</v>
      </c>
      <c r="D71">
        <v>20</v>
      </c>
      <c r="E71" t="s">
        <v>1321</v>
      </c>
      <c r="F71">
        <v>-3.03</v>
      </c>
      <c r="G71">
        <v>-4</v>
      </c>
      <c r="H71">
        <v>0</v>
      </c>
      <c r="I71">
        <v>-4</v>
      </c>
    </row>
    <row r="72" spans="1:11" x14ac:dyDescent="0.45">
      <c r="A72" t="s">
        <v>665</v>
      </c>
      <c r="B72" t="s">
        <v>168</v>
      </c>
      <c r="C72">
        <v>1.8</v>
      </c>
      <c r="D72">
        <v>20</v>
      </c>
      <c r="E72" t="s">
        <v>1321</v>
      </c>
      <c r="F72">
        <v>0</v>
      </c>
      <c r="G72">
        <v>-4</v>
      </c>
      <c r="H72">
        <v>0</v>
      </c>
      <c r="I72">
        <v>0</v>
      </c>
    </row>
    <row r="73" spans="1:11" x14ac:dyDescent="0.45">
      <c r="A73" t="s">
        <v>665</v>
      </c>
      <c r="B73" t="s">
        <v>168</v>
      </c>
      <c r="C73">
        <v>1.8</v>
      </c>
      <c r="D73">
        <v>20</v>
      </c>
      <c r="E73" t="s">
        <v>1321</v>
      </c>
      <c r="F73">
        <v>3.75</v>
      </c>
      <c r="G73">
        <v>-10</v>
      </c>
      <c r="H73">
        <v>10</v>
      </c>
      <c r="I73">
        <v>-10</v>
      </c>
    </row>
    <row r="74" spans="1:11" x14ac:dyDescent="0.45">
      <c r="A74" t="s">
        <v>665</v>
      </c>
      <c r="B74" t="s">
        <v>168</v>
      </c>
      <c r="C74">
        <v>1.8</v>
      </c>
      <c r="D74">
        <v>20</v>
      </c>
      <c r="E74" t="s">
        <v>1321</v>
      </c>
      <c r="F74">
        <v>0</v>
      </c>
      <c r="G74">
        <v>-13.75</v>
      </c>
      <c r="H74">
        <v>0</v>
      </c>
      <c r="I74">
        <v>-20</v>
      </c>
    </row>
    <row r="75" spans="1:11" x14ac:dyDescent="0.45">
      <c r="A75" t="s">
        <v>665</v>
      </c>
      <c r="B75" t="s">
        <v>168</v>
      </c>
      <c r="C75">
        <v>1.8</v>
      </c>
      <c r="D75">
        <v>20</v>
      </c>
      <c r="E75" t="s">
        <v>1324</v>
      </c>
      <c r="F75">
        <v>12</v>
      </c>
      <c r="G75">
        <v>-4</v>
      </c>
      <c r="H75">
        <v>1.6</v>
      </c>
      <c r="I75" t="s">
        <v>1328</v>
      </c>
      <c r="J75" t="s">
        <v>1340</v>
      </c>
      <c r="K75">
        <v>0</v>
      </c>
    </row>
    <row r="76" spans="1:11" x14ac:dyDescent="0.45">
      <c r="A76" t="s">
        <v>665</v>
      </c>
      <c r="B76" t="s">
        <v>168</v>
      </c>
      <c r="C76">
        <v>1.8</v>
      </c>
      <c r="D76">
        <v>20</v>
      </c>
      <c r="E76" t="s">
        <v>1324</v>
      </c>
      <c r="F76">
        <v>12</v>
      </c>
      <c r="G76">
        <v>-6.6</v>
      </c>
      <c r="H76">
        <v>1.6</v>
      </c>
      <c r="I76" t="s">
        <v>1326</v>
      </c>
      <c r="J76" t="s">
        <v>435</v>
      </c>
      <c r="K76">
        <v>0</v>
      </c>
    </row>
    <row r="77" spans="1:11" x14ac:dyDescent="0.45">
      <c r="A77" t="s">
        <v>665</v>
      </c>
      <c r="B77" t="s">
        <v>168</v>
      </c>
      <c r="C77">
        <v>1.8</v>
      </c>
      <c r="D77">
        <v>20</v>
      </c>
      <c r="E77" t="s">
        <v>1324</v>
      </c>
      <c r="F77">
        <v>12</v>
      </c>
      <c r="G77">
        <v>-9.1999999999999993</v>
      </c>
      <c r="H77">
        <v>1.6</v>
      </c>
      <c r="I77" t="s">
        <v>1341</v>
      </c>
      <c r="J77" t="s">
        <v>1128</v>
      </c>
      <c r="K77">
        <v>0</v>
      </c>
    </row>
    <row r="78" spans="1:11" x14ac:dyDescent="0.45">
      <c r="A78" t="s">
        <v>665</v>
      </c>
      <c r="B78" t="s">
        <v>168</v>
      </c>
      <c r="C78">
        <v>1.8</v>
      </c>
      <c r="D78">
        <v>20</v>
      </c>
      <c r="E78" t="s">
        <v>1324</v>
      </c>
      <c r="F78">
        <v>12</v>
      </c>
      <c r="G78">
        <v>-11.8</v>
      </c>
      <c r="H78">
        <v>1.6</v>
      </c>
      <c r="I78" t="s">
        <v>1342</v>
      </c>
      <c r="J78" t="s">
        <v>907</v>
      </c>
      <c r="K78">
        <v>0</v>
      </c>
    </row>
    <row r="79" spans="1:11" x14ac:dyDescent="0.45">
      <c r="A79" t="s">
        <v>665</v>
      </c>
      <c r="B79" t="s">
        <v>168</v>
      </c>
      <c r="C79">
        <v>1.8</v>
      </c>
      <c r="D79">
        <v>20</v>
      </c>
      <c r="E79" t="s">
        <v>1343</v>
      </c>
      <c r="F79">
        <v>0</v>
      </c>
      <c r="G79">
        <v>0</v>
      </c>
      <c r="I79" t="s">
        <v>1344</v>
      </c>
    </row>
    <row r="80" spans="1:11" x14ac:dyDescent="0.45">
      <c r="A80" t="s">
        <v>665</v>
      </c>
      <c r="B80" t="s">
        <v>168</v>
      </c>
      <c r="C80">
        <v>1.8</v>
      </c>
      <c r="D80">
        <v>20</v>
      </c>
      <c r="E80" t="s">
        <v>1343</v>
      </c>
      <c r="F80">
        <v>10</v>
      </c>
      <c r="G80">
        <v>-10</v>
      </c>
      <c r="I80" t="s">
        <v>1345</v>
      </c>
    </row>
    <row r="81" spans="1:10" x14ac:dyDescent="0.45">
      <c r="A81" t="s">
        <v>665</v>
      </c>
      <c r="B81" t="s">
        <v>168</v>
      </c>
      <c r="C81">
        <v>1.8</v>
      </c>
      <c r="D81">
        <v>20</v>
      </c>
      <c r="E81" t="s">
        <v>1343</v>
      </c>
      <c r="F81">
        <v>0</v>
      </c>
      <c r="G81">
        <v>-20</v>
      </c>
      <c r="I81" t="s">
        <v>1346</v>
      </c>
    </row>
    <row r="82" spans="1:10" x14ac:dyDescent="0.45">
      <c r="A82" t="s">
        <v>973</v>
      </c>
      <c r="B82" t="s">
        <v>168</v>
      </c>
      <c r="C82">
        <v>2.2000000000000002</v>
      </c>
      <c r="D82">
        <v>16.989999999999998</v>
      </c>
      <c r="E82" t="s">
        <v>1321</v>
      </c>
      <c r="F82">
        <v>-6.56</v>
      </c>
      <c r="G82">
        <v>0</v>
      </c>
      <c r="H82">
        <v>6.56</v>
      </c>
      <c r="I82">
        <v>0</v>
      </c>
    </row>
    <row r="83" spans="1:10" x14ac:dyDescent="0.45">
      <c r="A83" t="s">
        <v>973</v>
      </c>
      <c r="B83" t="s">
        <v>168</v>
      </c>
      <c r="C83">
        <v>2.2000000000000002</v>
      </c>
      <c r="D83">
        <v>16.989999999999998</v>
      </c>
      <c r="E83" t="s">
        <v>1321</v>
      </c>
      <c r="F83">
        <v>6.56</v>
      </c>
      <c r="G83">
        <v>0</v>
      </c>
      <c r="H83">
        <v>6.56</v>
      </c>
      <c r="I83">
        <v>-16.989999999999998</v>
      </c>
    </row>
    <row r="84" spans="1:10" x14ac:dyDescent="0.45">
      <c r="A84" t="s">
        <v>973</v>
      </c>
      <c r="B84" t="s">
        <v>168</v>
      </c>
      <c r="C84">
        <v>2.2000000000000002</v>
      </c>
      <c r="D84">
        <v>16.989999999999998</v>
      </c>
      <c r="E84" t="s">
        <v>1321</v>
      </c>
      <c r="F84">
        <v>6.56</v>
      </c>
      <c r="G84">
        <v>-16.989999999999998</v>
      </c>
      <c r="H84">
        <v>-6.56</v>
      </c>
      <c r="I84">
        <v>-16.989999999999998</v>
      </c>
    </row>
    <row r="85" spans="1:10" x14ac:dyDescent="0.45">
      <c r="A85" t="s">
        <v>973</v>
      </c>
      <c r="B85" t="s">
        <v>168</v>
      </c>
      <c r="C85">
        <v>2.2000000000000002</v>
      </c>
      <c r="D85">
        <v>16.989999999999998</v>
      </c>
      <c r="E85" t="s">
        <v>1321</v>
      </c>
      <c r="F85">
        <v>-6.56</v>
      </c>
      <c r="G85">
        <v>-16.989999999999998</v>
      </c>
      <c r="H85">
        <v>-6.56</v>
      </c>
      <c r="I85">
        <v>0</v>
      </c>
    </row>
    <row r="86" spans="1:10" x14ac:dyDescent="0.45">
      <c r="A86" t="s">
        <v>973</v>
      </c>
      <c r="B86" t="s">
        <v>168</v>
      </c>
      <c r="C86">
        <v>2.2000000000000002</v>
      </c>
      <c r="D86">
        <v>16.989999999999998</v>
      </c>
      <c r="E86" t="s">
        <v>1339</v>
      </c>
      <c r="F86">
        <v>-3.11</v>
      </c>
      <c r="G86">
        <v>-4.45</v>
      </c>
      <c r="H86">
        <v>0.79</v>
      </c>
    </row>
    <row r="87" spans="1:10" x14ac:dyDescent="0.45">
      <c r="A87" t="s">
        <v>973</v>
      </c>
      <c r="B87" t="s">
        <v>168</v>
      </c>
      <c r="C87">
        <v>2.2000000000000002</v>
      </c>
      <c r="D87">
        <v>16.989999999999998</v>
      </c>
      <c r="E87" t="s">
        <v>1339</v>
      </c>
      <c r="F87">
        <v>3.11</v>
      </c>
      <c r="G87">
        <v>-4.45</v>
      </c>
      <c r="H87">
        <v>0.79</v>
      </c>
    </row>
    <row r="88" spans="1:10" x14ac:dyDescent="0.45">
      <c r="A88" t="s">
        <v>973</v>
      </c>
      <c r="B88" t="s">
        <v>168</v>
      </c>
      <c r="C88">
        <v>2.2000000000000002</v>
      </c>
      <c r="D88">
        <v>16.989999999999998</v>
      </c>
      <c r="E88" t="s">
        <v>1339</v>
      </c>
      <c r="F88">
        <v>0</v>
      </c>
      <c r="G88">
        <v>-12.55</v>
      </c>
      <c r="H88">
        <v>0.79</v>
      </c>
    </row>
    <row r="89" spans="1:10" x14ac:dyDescent="0.45">
      <c r="A89" t="s">
        <v>973</v>
      </c>
      <c r="B89" t="s">
        <v>168</v>
      </c>
      <c r="C89">
        <v>2.2000000000000002</v>
      </c>
      <c r="D89">
        <v>16.989999999999998</v>
      </c>
      <c r="E89" t="s">
        <v>1323</v>
      </c>
      <c r="F89">
        <v>0</v>
      </c>
      <c r="G89">
        <v>-6.09</v>
      </c>
      <c r="H89">
        <v>1.23</v>
      </c>
      <c r="I89">
        <v>42.3</v>
      </c>
      <c r="J89">
        <v>137.69999999999999</v>
      </c>
    </row>
    <row r="90" spans="1:10" x14ac:dyDescent="0.45">
      <c r="A90" t="s">
        <v>973</v>
      </c>
      <c r="B90" t="s">
        <v>168</v>
      </c>
      <c r="C90">
        <v>2.2000000000000002</v>
      </c>
      <c r="D90">
        <v>16.989999999999998</v>
      </c>
      <c r="E90" t="s">
        <v>1321</v>
      </c>
      <c r="F90">
        <v>-0.91</v>
      </c>
      <c r="G90">
        <v>-5.26</v>
      </c>
      <c r="H90">
        <v>0</v>
      </c>
      <c r="I90">
        <v>-11.76</v>
      </c>
    </row>
    <row r="91" spans="1:10" x14ac:dyDescent="0.45">
      <c r="A91" t="s">
        <v>973</v>
      </c>
      <c r="B91" t="s">
        <v>168</v>
      </c>
      <c r="C91">
        <v>2.2000000000000002</v>
      </c>
      <c r="D91">
        <v>16.989999999999998</v>
      </c>
      <c r="E91" t="s">
        <v>1321</v>
      </c>
      <c r="F91">
        <v>0</v>
      </c>
      <c r="G91">
        <v>-11.76</v>
      </c>
      <c r="H91">
        <v>0.91</v>
      </c>
      <c r="I91">
        <v>-5.26</v>
      </c>
    </row>
    <row r="92" spans="1:10" x14ac:dyDescent="0.45">
      <c r="A92" t="s">
        <v>973</v>
      </c>
      <c r="B92" t="s">
        <v>168</v>
      </c>
      <c r="C92">
        <v>2.2000000000000002</v>
      </c>
      <c r="D92">
        <v>16.989999999999998</v>
      </c>
      <c r="E92" t="s">
        <v>1321</v>
      </c>
      <c r="F92">
        <v>-3.11</v>
      </c>
      <c r="G92">
        <v>-3.66</v>
      </c>
      <c r="H92">
        <v>-3.11</v>
      </c>
      <c r="I92">
        <v>-1.54</v>
      </c>
    </row>
    <row r="93" spans="1:10" x14ac:dyDescent="0.45">
      <c r="A93" t="s">
        <v>973</v>
      </c>
      <c r="B93" t="s">
        <v>168</v>
      </c>
      <c r="C93">
        <v>2.2000000000000002</v>
      </c>
      <c r="D93">
        <v>16.989999999999998</v>
      </c>
      <c r="E93" t="s">
        <v>1321</v>
      </c>
      <c r="F93">
        <v>-3.11</v>
      </c>
      <c r="G93">
        <v>-1.54</v>
      </c>
      <c r="H93">
        <v>0</v>
      </c>
      <c r="I93">
        <v>-1.54</v>
      </c>
    </row>
    <row r="94" spans="1:10" x14ac:dyDescent="0.45">
      <c r="A94" t="s">
        <v>973</v>
      </c>
      <c r="B94" t="s">
        <v>168</v>
      </c>
      <c r="C94">
        <v>2.2000000000000002</v>
      </c>
      <c r="D94">
        <v>16.989999999999998</v>
      </c>
      <c r="E94" t="s">
        <v>1321</v>
      </c>
      <c r="F94">
        <v>0</v>
      </c>
      <c r="G94">
        <v>-1.54</v>
      </c>
      <c r="H94">
        <v>0</v>
      </c>
      <c r="I94">
        <v>0</v>
      </c>
    </row>
    <row r="95" spans="1:10" x14ac:dyDescent="0.45">
      <c r="A95" t="s">
        <v>973</v>
      </c>
      <c r="B95" t="s">
        <v>168</v>
      </c>
      <c r="C95">
        <v>2.2000000000000002</v>
      </c>
      <c r="D95">
        <v>16.989999999999998</v>
      </c>
      <c r="E95" t="s">
        <v>1321</v>
      </c>
      <c r="F95">
        <v>3.9</v>
      </c>
      <c r="G95">
        <v>-4.45</v>
      </c>
      <c r="H95">
        <v>6.56</v>
      </c>
      <c r="I95">
        <v>-4.45</v>
      </c>
    </row>
    <row r="96" spans="1:10" x14ac:dyDescent="0.45">
      <c r="A96" t="s">
        <v>973</v>
      </c>
      <c r="B96" t="s">
        <v>168</v>
      </c>
      <c r="C96">
        <v>2.2000000000000002</v>
      </c>
      <c r="D96">
        <v>16.989999999999998</v>
      </c>
      <c r="E96" t="s">
        <v>1321</v>
      </c>
      <c r="F96">
        <v>0</v>
      </c>
      <c r="G96">
        <v>-13.34</v>
      </c>
      <c r="H96">
        <v>0</v>
      </c>
      <c r="I96">
        <v>-16.989999999999998</v>
      </c>
    </row>
    <row r="97" spans="1:11" x14ac:dyDescent="0.45">
      <c r="A97" t="s">
        <v>973</v>
      </c>
      <c r="B97" t="s">
        <v>168</v>
      </c>
      <c r="C97">
        <v>2.2000000000000002</v>
      </c>
      <c r="D97">
        <v>16.989999999999998</v>
      </c>
      <c r="E97" t="s">
        <v>1324</v>
      </c>
      <c r="F97">
        <v>8</v>
      </c>
      <c r="G97">
        <v>-4</v>
      </c>
      <c r="H97">
        <v>1.6</v>
      </c>
      <c r="I97" t="s">
        <v>1328</v>
      </c>
      <c r="J97" t="s">
        <v>1347</v>
      </c>
      <c r="K97">
        <v>0</v>
      </c>
    </row>
    <row r="98" spans="1:11" x14ac:dyDescent="0.45">
      <c r="A98" t="s">
        <v>973</v>
      </c>
      <c r="B98" t="s">
        <v>168</v>
      </c>
      <c r="C98">
        <v>2.2000000000000002</v>
      </c>
      <c r="D98">
        <v>16.989999999999998</v>
      </c>
      <c r="E98" t="s">
        <v>1324</v>
      </c>
      <c r="F98">
        <v>8</v>
      </c>
      <c r="G98">
        <v>-6.6</v>
      </c>
      <c r="H98">
        <v>1.6</v>
      </c>
      <c r="I98" t="s">
        <v>1326</v>
      </c>
      <c r="J98" t="s">
        <v>435</v>
      </c>
      <c r="K98">
        <v>0</v>
      </c>
    </row>
    <row r="99" spans="1:11" x14ac:dyDescent="0.45">
      <c r="A99" t="s">
        <v>973</v>
      </c>
      <c r="B99" t="s">
        <v>168</v>
      </c>
      <c r="C99">
        <v>2.2000000000000002</v>
      </c>
      <c r="D99">
        <v>16.989999999999998</v>
      </c>
      <c r="E99" t="s">
        <v>1324</v>
      </c>
      <c r="F99">
        <v>8</v>
      </c>
      <c r="G99">
        <v>-9.1999999999999993</v>
      </c>
      <c r="H99">
        <v>1.6</v>
      </c>
      <c r="I99" t="s">
        <v>1341</v>
      </c>
      <c r="J99" t="s">
        <v>1128</v>
      </c>
      <c r="K99">
        <v>0</v>
      </c>
    </row>
    <row r="100" spans="1:11" x14ac:dyDescent="0.45">
      <c r="A100" t="s">
        <v>973</v>
      </c>
      <c r="B100" t="s">
        <v>168</v>
      </c>
      <c r="C100">
        <v>2.2000000000000002</v>
      </c>
      <c r="D100">
        <v>16.989999999999998</v>
      </c>
      <c r="E100" t="s">
        <v>1343</v>
      </c>
      <c r="F100">
        <v>0</v>
      </c>
      <c r="G100">
        <v>0</v>
      </c>
      <c r="I100" t="s">
        <v>1344</v>
      </c>
    </row>
    <row r="101" spans="1:11" x14ac:dyDescent="0.45">
      <c r="A101" t="s">
        <v>973</v>
      </c>
      <c r="B101" t="s">
        <v>168</v>
      </c>
      <c r="C101">
        <v>2.2000000000000002</v>
      </c>
      <c r="D101">
        <v>16.989999999999998</v>
      </c>
      <c r="E101" t="s">
        <v>1343</v>
      </c>
      <c r="F101">
        <v>6.56</v>
      </c>
      <c r="G101">
        <v>-4.45</v>
      </c>
      <c r="I101" t="s">
        <v>1345</v>
      </c>
    </row>
    <row r="102" spans="1:11" x14ac:dyDescent="0.45">
      <c r="A102" t="s">
        <v>973</v>
      </c>
      <c r="B102" t="s">
        <v>168</v>
      </c>
      <c r="C102">
        <v>2.2000000000000002</v>
      </c>
      <c r="D102">
        <v>16.989999999999998</v>
      </c>
      <c r="E102" t="s">
        <v>1343</v>
      </c>
      <c r="F102">
        <v>0</v>
      </c>
      <c r="G102">
        <v>-16.989999999999998</v>
      </c>
      <c r="I102" t="s">
        <v>1346</v>
      </c>
    </row>
    <row r="103" spans="1:11" x14ac:dyDescent="0.45">
      <c r="A103" t="s">
        <v>1348</v>
      </c>
      <c r="B103" t="s">
        <v>168</v>
      </c>
      <c r="C103">
        <v>3</v>
      </c>
      <c r="D103">
        <v>10</v>
      </c>
      <c r="E103" t="s">
        <v>1339</v>
      </c>
      <c r="F103">
        <v>0</v>
      </c>
      <c r="G103">
        <v>5</v>
      </c>
      <c r="H103">
        <v>5</v>
      </c>
    </row>
    <row r="104" spans="1:11" x14ac:dyDescent="0.45">
      <c r="A104" t="s">
        <v>1348</v>
      </c>
      <c r="B104" t="s">
        <v>168</v>
      </c>
      <c r="C104">
        <v>3</v>
      </c>
      <c r="D104">
        <v>10</v>
      </c>
      <c r="E104" t="s">
        <v>1349</v>
      </c>
      <c r="F104">
        <v>0</v>
      </c>
      <c r="G104">
        <v>5</v>
      </c>
      <c r="H104">
        <v>4.5999999999999996</v>
      </c>
      <c r="I104" t="s">
        <v>1350</v>
      </c>
    </row>
    <row r="105" spans="1:11" x14ac:dyDescent="0.45">
      <c r="A105" t="s">
        <v>1348</v>
      </c>
      <c r="B105" t="s">
        <v>168</v>
      </c>
      <c r="C105">
        <v>3</v>
      </c>
      <c r="D105">
        <v>10</v>
      </c>
      <c r="E105" t="s">
        <v>1324</v>
      </c>
      <c r="F105">
        <v>7</v>
      </c>
      <c r="G105">
        <v>6</v>
      </c>
      <c r="H105">
        <v>1.2</v>
      </c>
      <c r="I105" t="s">
        <v>1351</v>
      </c>
      <c r="J105" t="s">
        <v>875</v>
      </c>
      <c r="K105">
        <v>0</v>
      </c>
    </row>
    <row r="106" spans="1:11" x14ac:dyDescent="0.45">
      <c r="A106" t="s">
        <v>1348</v>
      </c>
      <c r="B106" t="s">
        <v>168</v>
      </c>
      <c r="C106">
        <v>3</v>
      </c>
      <c r="D106">
        <v>10</v>
      </c>
      <c r="E106" t="s">
        <v>1324</v>
      </c>
      <c r="F106">
        <v>7</v>
      </c>
      <c r="G106">
        <v>3.6</v>
      </c>
      <c r="H106">
        <v>1.2</v>
      </c>
      <c r="I106" t="s">
        <v>868</v>
      </c>
      <c r="J106" t="s">
        <v>1334</v>
      </c>
      <c r="K106">
        <v>0</v>
      </c>
    </row>
    <row r="107" spans="1:11" x14ac:dyDescent="0.45">
      <c r="A107" t="s">
        <v>1348</v>
      </c>
      <c r="B107" t="s">
        <v>168</v>
      </c>
      <c r="C107">
        <v>3</v>
      </c>
      <c r="D107">
        <v>10</v>
      </c>
      <c r="E107" t="s">
        <v>1324</v>
      </c>
      <c r="F107">
        <v>7</v>
      </c>
      <c r="G107">
        <v>1.2</v>
      </c>
      <c r="H107">
        <v>1.2</v>
      </c>
      <c r="I107" t="s">
        <v>1352</v>
      </c>
      <c r="J107" t="s">
        <v>1353</v>
      </c>
      <c r="K107">
        <v>0</v>
      </c>
    </row>
    <row r="108" spans="1:11" x14ac:dyDescent="0.45">
      <c r="A108" t="s">
        <v>1354</v>
      </c>
      <c r="B108" t="s">
        <v>168</v>
      </c>
      <c r="C108">
        <v>2</v>
      </c>
      <c r="D108">
        <v>5.9</v>
      </c>
      <c r="E108" t="s">
        <v>1321</v>
      </c>
      <c r="F108">
        <v>0</v>
      </c>
      <c r="G108">
        <v>0</v>
      </c>
      <c r="H108">
        <v>0</v>
      </c>
      <c r="I108">
        <v>-2.8</v>
      </c>
    </row>
    <row r="109" spans="1:11" x14ac:dyDescent="0.45">
      <c r="A109" t="s">
        <v>1354</v>
      </c>
      <c r="B109" t="s">
        <v>168</v>
      </c>
      <c r="C109">
        <v>2</v>
      </c>
      <c r="D109">
        <v>5.9</v>
      </c>
      <c r="E109" t="s">
        <v>1321</v>
      </c>
      <c r="F109">
        <v>-2.2000000000000002</v>
      </c>
      <c r="G109">
        <v>-2.8</v>
      </c>
      <c r="H109">
        <v>2.2000000000000002</v>
      </c>
      <c r="I109">
        <v>-2.8</v>
      </c>
    </row>
    <row r="110" spans="1:11" x14ac:dyDescent="0.45">
      <c r="A110" t="s">
        <v>1354</v>
      </c>
      <c r="B110" t="s">
        <v>168</v>
      </c>
      <c r="C110">
        <v>2</v>
      </c>
      <c r="D110">
        <v>5.9</v>
      </c>
      <c r="E110" t="s">
        <v>1321</v>
      </c>
      <c r="F110">
        <v>-1.6</v>
      </c>
      <c r="G110">
        <v>-4.4000000000000004</v>
      </c>
      <c r="H110">
        <v>1.6</v>
      </c>
      <c r="I110">
        <v>-4.4000000000000004</v>
      </c>
    </row>
    <row r="111" spans="1:11" x14ac:dyDescent="0.45">
      <c r="A111" t="s">
        <v>1354</v>
      </c>
      <c r="B111" t="s">
        <v>168</v>
      </c>
      <c r="C111">
        <v>2</v>
      </c>
      <c r="D111">
        <v>5.9</v>
      </c>
      <c r="E111" t="s">
        <v>1321</v>
      </c>
      <c r="F111">
        <v>-0.95</v>
      </c>
      <c r="G111">
        <v>-5.9</v>
      </c>
      <c r="H111">
        <v>0.95</v>
      </c>
      <c r="I111">
        <v>-5.9</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G46"/>
  <sheetViews>
    <sheetView workbookViewId="0">
      <pane ySplit="1" topLeftCell="A2" activePane="bottomLeft" state="frozen"/>
      <selection pane="bottomLeft"/>
    </sheetView>
  </sheetViews>
  <sheetFormatPr defaultRowHeight="14.25" x14ac:dyDescent="0.45"/>
  <cols>
    <col min="1" max="7" width="16" customWidth="1"/>
  </cols>
  <sheetData>
    <row r="1" spans="1:7" x14ac:dyDescent="0.45">
      <c r="A1" s="17" t="s">
        <v>1355</v>
      </c>
      <c r="B1" s="17" t="s">
        <v>875</v>
      </c>
      <c r="C1" s="17" t="s">
        <v>35</v>
      </c>
      <c r="D1" s="17" t="s">
        <v>1356</v>
      </c>
      <c r="E1" s="17" t="s">
        <v>1357</v>
      </c>
      <c r="F1" s="17" t="s">
        <v>1358</v>
      </c>
      <c r="G1" s="17" t="s">
        <v>1359</v>
      </c>
    </row>
    <row r="2" spans="1:7" x14ac:dyDescent="0.45">
      <c r="A2">
        <v>1</v>
      </c>
      <c r="B2" t="s">
        <v>1360</v>
      </c>
      <c r="C2" t="s">
        <v>1361</v>
      </c>
      <c r="E2">
        <v>20834</v>
      </c>
      <c r="F2">
        <v>24039</v>
      </c>
      <c r="G2">
        <v>3</v>
      </c>
    </row>
    <row r="3" spans="1:7" x14ac:dyDescent="0.45">
      <c r="A3">
        <v>2</v>
      </c>
      <c r="B3" t="s">
        <v>1362</v>
      </c>
      <c r="C3" t="s">
        <v>1361</v>
      </c>
      <c r="E3">
        <v>26763</v>
      </c>
      <c r="F3">
        <v>30881</v>
      </c>
      <c r="G3">
        <v>3.5</v>
      </c>
    </row>
    <row r="4" spans="1:7" x14ac:dyDescent="0.45">
      <c r="A4">
        <v>3</v>
      </c>
      <c r="B4" t="s">
        <v>1363</v>
      </c>
      <c r="C4" t="s">
        <v>1361</v>
      </c>
      <c r="E4">
        <v>26041</v>
      </c>
      <c r="F4">
        <v>30049</v>
      </c>
      <c r="G4">
        <v>4</v>
      </c>
    </row>
    <row r="5" spans="1:7" x14ac:dyDescent="0.45">
      <c r="A5">
        <v>4</v>
      </c>
      <c r="B5" t="s">
        <v>1364</v>
      </c>
      <c r="C5" t="s">
        <v>1361</v>
      </c>
      <c r="E5">
        <v>27750</v>
      </c>
      <c r="F5">
        <v>32019</v>
      </c>
      <c r="G5">
        <v>4</v>
      </c>
    </row>
    <row r="6" spans="1:7" x14ac:dyDescent="0.45">
      <c r="A6">
        <v>5</v>
      </c>
      <c r="B6" t="s">
        <v>1365</v>
      </c>
      <c r="C6" t="s">
        <v>1361</v>
      </c>
      <c r="E6">
        <v>41666</v>
      </c>
      <c r="F6">
        <v>48076</v>
      </c>
      <c r="G6">
        <v>5</v>
      </c>
    </row>
    <row r="7" spans="1:7" x14ac:dyDescent="0.45">
      <c r="A7">
        <v>6</v>
      </c>
      <c r="B7" t="s">
        <v>1366</v>
      </c>
      <c r="C7" t="s">
        <v>1361</v>
      </c>
      <c r="E7">
        <v>10965</v>
      </c>
      <c r="F7">
        <v>12652</v>
      </c>
      <c r="G7">
        <v>2.4</v>
      </c>
    </row>
    <row r="8" spans="1:7" x14ac:dyDescent="0.45">
      <c r="A8">
        <v>7</v>
      </c>
      <c r="B8" t="s">
        <v>1367</v>
      </c>
      <c r="C8" t="s">
        <v>1361</v>
      </c>
      <c r="E8">
        <v>16448</v>
      </c>
      <c r="F8">
        <v>18978</v>
      </c>
      <c r="G8">
        <v>2.4</v>
      </c>
    </row>
    <row r="9" spans="1:7" x14ac:dyDescent="0.45">
      <c r="A9">
        <v>8</v>
      </c>
      <c r="B9" t="s">
        <v>1368</v>
      </c>
      <c r="C9" t="s">
        <v>1369</v>
      </c>
      <c r="D9">
        <v>20919</v>
      </c>
      <c r="F9">
        <v>48274</v>
      </c>
      <c r="G9">
        <v>5.75</v>
      </c>
    </row>
    <row r="10" spans="1:7" x14ac:dyDescent="0.45">
      <c r="A10">
        <v>9</v>
      </c>
      <c r="B10" t="s">
        <v>1370</v>
      </c>
      <c r="C10" t="s">
        <v>1369</v>
      </c>
      <c r="D10">
        <v>3866</v>
      </c>
      <c r="F10">
        <v>8440</v>
      </c>
      <c r="G10">
        <v>3.7</v>
      </c>
    </row>
    <row r="11" spans="1:7" x14ac:dyDescent="0.45">
      <c r="A11">
        <v>10</v>
      </c>
      <c r="B11" t="s">
        <v>1371</v>
      </c>
      <c r="C11" t="s">
        <v>1369</v>
      </c>
      <c r="D11">
        <v>31378</v>
      </c>
      <c r="F11">
        <v>72412</v>
      </c>
      <c r="G11">
        <v>5.75</v>
      </c>
    </row>
    <row r="12" spans="1:7" x14ac:dyDescent="0.45">
      <c r="A12">
        <v>11</v>
      </c>
      <c r="B12" t="s">
        <v>1372</v>
      </c>
      <c r="C12" t="s">
        <v>1369</v>
      </c>
      <c r="D12">
        <v>5155</v>
      </c>
      <c r="F12">
        <v>11896</v>
      </c>
      <c r="G12">
        <v>3.5</v>
      </c>
    </row>
    <row r="13" spans="1:7" x14ac:dyDescent="0.45">
      <c r="A13">
        <v>12</v>
      </c>
      <c r="B13" t="s">
        <v>1373</v>
      </c>
      <c r="C13" t="s">
        <v>1369</v>
      </c>
      <c r="D13">
        <v>41838</v>
      </c>
      <c r="F13">
        <v>96550</v>
      </c>
      <c r="G13">
        <v>5.75</v>
      </c>
    </row>
    <row r="14" spans="1:7" x14ac:dyDescent="0.45">
      <c r="A14">
        <v>13</v>
      </c>
      <c r="B14" t="s">
        <v>1374</v>
      </c>
      <c r="C14" t="s">
        <v>1369</v>
      </c>
      <c r="D14">
        <v>5413</v>
      </c>
      <c r="F14">
        <v>13879</v>
      </c>
      <c r="G14">
        <v>4.5</v>
      </c>
    </row>
    <row r="15" spans="1:7" x14ac:dyDescent="0.45">
      <c r="A15">
        <v>14</v>
      </c>
      <c r="B15" t="s">
        <v>1375</v>
      </c>
      <c r="C15" t="s">
        <v>1369</v>
      </c>
      <c r="D15">
        <v>52298</v>
      </c>
      <c r="F15">
        <v>120687</v>
      </c>
      <c r="G15">
        <v>5.75</v>
      </c>
    </row>
    <row r="16" spans="1:7" x14ac:dyDescent="0.45">
      <c r="A16">
        <v>15</v>
      </c>
      <c r="B16" t="s">
        <v>1376</v>
      </c>
      <c r="C16" t="s">
        <v>1369</v>
      </c>
      <c r="D16">
        <v>7217</v>
      </c>
      <c r="F16">
        <v>18505</v>
      </c>
      <c r="G16">
        <v>4.5</v>
      </c>
    </row>
    <row r="17" spans="1:7" x14ac:dyDescent="0.45">
      <c r="A17">
        <v>16</v>
      </c>
      <c r="B17" t="s">
        <v>1377</v>
      </c>
      <c r="C17" t="s">
        <v>1369</v>
      </c>
      <c r="D17">
        <v>10935</v>
      </c>
      <c r="F17">
        <v>25235</v>
      </c>
      <c r="G17">
        <v>5.5</v>
      </c>
    </row>
    <row r="18" spans="1:7" x14ac:dyDescent="0.45">
      <c r="A18">
        <v>17</v>
      </c>
      <c r="B18" t="s">
        <v>1378</v>
      </c>
      <c r="C18" t="s">
        <v>1369</v>
      </c>
      <c r="D18">
        <v>15689</v>
      </c>
      <c r="F18">
        <v>36206</v>
      </c>
      <c r="G18">
        <v>5.75</v>
      </c>
    </row>
    <row r="19" spans="1:7" x14ac:dyDescent="0.45">
      <c r="A19">
        <v>18</v>
      </c>
      <c r="B19" t="s">
        <v>1379</v>
      </c>
      <c r="C19" t="s">
        <v>1369</v>
      </c>
      <c r="D19">
        <v>3007</v>
      </c>
      <c r="F19">
        <v>6940</v>
      </c>
      <c r="G19">
        <v>3</v>
      </c>
    </row>
    <row r="20" spans="1:7" x14ac:dyDescent="0.45">
      <c r="A20">
        <v>19</v>
      </c>
      <c r="B20" t="s">
        <v>1380</v>
      </c>
      <c r="C20" t="s">
        <v>1369</v>
      </c>
      <c r="D20">
        <v>2005</v>
      </c>
      <c r="F20">
        <v>4300</v>
      </c>
      <c r="G20">
        <v>3</v>
      </c>
    </row>
    <row r="21" spans="1:7" x14ac:dyDescent="0.45">
      <c r="A21">
        <v>20</v>
      </c>
      <c r="B21" t="s">
        <v>1381</v>
      </c>
      <c r="C21" t="s">
        <v>1361</v>
      </c>
      <c r="E21">
        <v>20834</v>
      </c>
      <c r="G21">
        <v>2.86</v>
      </c>
    </row>
    <row r="22" spans="1:7" x14ac:dyDescent="0.45">
      <c r="A22">
        <v>21</v>
      </c>
      <c r="B22" t="s">
        <v>1382</v>
      </c>
      <c r="C22" t="s">
        <v>1361</v>
      </c>
      <c r="E22">
        <v>10965</v>
      </c>
      <c r="G22">
        <v>2.86</v>
      </c>
    </row>
    <row r="23" spans="1:7" x14ac:dyDescent="0.45">
      <c r="A23">
        <v>22</v>
      </c>
      <c r="B23" t="s">
        <v>1383</v>
      </c>
      <c r="C23" t="s">
        <v>1361</v>
      </c>
      <c r="E23">
        <v>16448</v>
      </c>
      <c r="G23">
        <v>2.86</v>
      </c>
    </row>
    <row r="24" spans="1:7" x14ac:dyDescent="0.45">
      <c r="A24">
        <v>23</v>
      </c>
      <c r="B24" t="s">
        <v>1384</v>
      </c>
      <c r="C24" t="s">
        <v>1361</v>
      </c>
      <c r="E24">
        <v>7196</v>
      </c>
      <c r="G24">
        <v>4.7</v>
      </c>
    </row>
    <row r="25" spans="1:7" x14ac:dyDescent="0.45">
      <c r="A25">
        <v>24</v>
      </c>
      <c r="B25" t="s">
        <v>1385</v>
      </c>
      <c r="C25" t="s">
        <v>1361</v>
      </c>
      <c r="E25">
        <v>2885</v>
      </c>
      <c r="G25">
        <v>5.9</v>
      </c>
    </row>
    <row r="26" spans="1:7" x14ac:dyDescent="0.45">
      <c r="A26">
        <v>25</v>
      </c>
      <c r="B26" t="s">
        <v>1386</v>
      </c>
      <c r="C26" t="s">
        <v>1361</v>
      </c>
      <c r="E26">
        <v>6.02</v>
      </c>
      <c r="G26">
        <v>6.1</v>
      </c>
    </row>
    <row r="27" spans="1:7" x14ac:dyDescent="0.45">
      <c r="A27">
        <v>26</v>
      </c>
      <c r="B27" t="s">
        <v>1387</v>
      </c>
      <c r="C27" t="s">
        <v>1361</v>
      </c>
      <c r="E27">
        <v>4200</v>
      </c>
      <c r="G27">
        <v>5.0999999999999996</v>
      </c>
    </row>
    <row r="28" spans="1:7" x14ac:dyDescent="0.45">
      <c r="A28">
        <v>27</v>
      </c>
      <c r="B28" t="s">
        <v>1388</v>
      </c>
      <c r="C28" t="s">
        <v>1361</v>
      </c>
      <c r="E28">
        <v>4458</v>
      </c>
      <c r="G28">
        <v>5.7</v>
      </c>
    </row>
    <row r="29" spans="1:7" x14ac:dyDescent="0.45">
      <c r="A29">
        <v>28</v>
      </c>
      <c r="B29" t="s">
        <v>1389</v>
      </c>
      <c r="C29" t="s">
        <v>1369</v>
      </c>
      <c r="F29">
        <v>6100</v>
      </c>
      <c r="G29">
        <v>5.2</v>
      </c>
    </row>
    <row r="30" spans="1:7" x14ac:dyDescent="0.45">
      <c r="A30">
        <v>29</v>
      </c>
      <c r="B30" t="s">
        <v>1390</v>
      </c>
      <c r="C30" t="s">
        <v>1369</v>
      </c>
      <c r="F30">
        <v>8200</v>
      </c>
      <c r="G30">
        <v>5.0999999999999996</v>
      </c>
    </row>
    <row r="31" spans="1:7" x14ac:dyDescent="0.45">
      <c r="A31">
        <v>30</v>
      </c>
      <c r="B31" t="s">
        <v>1391</v>
      </c>
      <c r="C31" t="s">
        <v>1369</v>
      </c>
      <c r="F31">
        <v>900</v>
      </c>
      <c r="G31">
        <v>5.0999999999999996</v>
      </c>
    </row>
    <row r="32" spans="1:7" x14ac:dyDescent="0.45">
      <c r="A32">
        <v>31</v>
      </c>
      <c r="B32" t="s">
        <v>1392</v>
      </c>
      <c r="C32" t="s">
        <v>1369</v>
      </c>
      <c r="F32">
        <v>10500</v>
      </c>
      <c r="G32">
        <v>6</v>
      </c>
    </row>
    <row r="33" spans="1:7" x14ac:dyDescent="0.45">
      <c r="A33">
        <v>32</v>
      </c>
      <c r="B33" t="s">
        <v>1393</v>
      </c>
      <c r="C33" t="s">
        <v>1369</v>
      </c>
      <c r="F33">
        <v>22700</v>
      </c>
      <c r="G33">
        <v>3.7</v>
      </c>
    </row>
    <row r="34" spans="1:7" x14ac:dyDescent="0.45">
      <c r="A34">
        <v>33</v>
      </c>
      <c r="B34" t="s">
        <v>1394</v>
      </c>
      <c r="C34" t="s">
        <v>1369</v>
      </c>
      <c r="F34">
        <v>1600</v>
      </c>
      <c r="G34">
        <v>5.3</v>
      </c>
    </row>
    <row r="35" spans="1:7" x14ac:dyDescent="0.45">
      <c r="A35">
        <v>34</v>
      </c>
      <c r="B35" t="s">
        <v>1395</v>
      </c>
      <c r="C35" t="s">
        <v>1369</v>
      </c>
      <c r="F35">
        <v>2500</v>
      </c>
      <c r="G35">
        <v>5.2</v>
      </c>
    </row>
    <row r="36" spans="1:7" x14ac:dyDescent="0.45">
      <c r="A36">
        <v>35</v>
      </c>
      <c r="B36" t="s">
        <v>1396</v>
      </c>
      <c r="C36" t="s">
        <v>1369</v>
      </c>
      <c r="F36">
        <v>22800</v>
      </c>
      <c r="G36">
        <v>6.1</v>
      </c>
    </row>
    <row r="37" spans="1:7" x14ac:dyDescent="0.45">
      <c r="A37">
        <v>36</v>
      </c>
      <c r="B37" t="s">
        <v>1397</v>
      </c>
      <c r="C37" t="s">
        <v>1369</v>
      </c>
      <c r="F37">
        <v>5700</v>
      </c>
      <c r="G37">
        <v>3.7</v>
      </c>
    </row>
    <row r="38" spans="1:7" x14ac:dyDescent="0.45">
      <c r="A38">
        <v>37</v>
      </c>
      <c r="B38" t="s">
        <v>1398</v>
      </c>
      <c r="C38" t="s">
        <v>1369</v>
      </c>
      <c r="F38">
        <v>8200</v>
      </c>
      <c r="G38">
        <v>3.8</v>
      </c>
    </row>
    <row r="39" spans="1:7" x14ac:dyDescent="0.45">
      <c r="A39">
        <v>38</v>
      </c>
      <c r="B39" t="s">
        <v>1399</v>
      </c>
      <c r="C39" t="s">
        <v>1369</v>
      </c>
      <c r="F39">
        <v>12300</v>
      </c>
      <c r="G39">
        <v>3.4</v>
      </c>
    </row>
    <row r="40" spans="1:7" x14ac:dyDescent="0.45">
      <c r="A40">
        <v>39</v>
      </c>
      <c r="B40" t="s">
        <v>1400</v>
      </c>
      <c r="C40" t="s">
        <v>1369</v>
      </c>
      <c r="F40">
        <v>1100</v>
      </c>
      <c r="G40">
        <v>3.8</v>
      </c>
    </row>
    <row r="41" spans="1:7" x14ac:dyDescent="0.45">
      <c r="A41">
        <v>40</v>
      </c>
      <c r="B41" t="s">
        <v>1401</v>
      </c>
      <c r="C41" t="s">
        <v>1369</v>
      </c>
      <c r="F41">
        <v>17400</v>
      </c>
      <c r="G41">
        <v>3.6</v>
      </c>
    </row>
    <row r="42" spans="1:7" x14ac:dyDescent="0.45">
      <c r="A42">
        <v>41</v>
      </c>
      <c r="B42" t="s">
        <v>1402</v>
      </c>
      <c r="C42" t="s">
        <v>1369</v>
      </c>
      <c r="F42">
        <v>23800</v>
      </c>
      <c r="G42">
        <v>3.5</v>
      </c>
    </row>
    <row r="43" spans="1:7" x14ac:dyDescent="0.45">
      <c r="A43">
        <v>42</v>
      </c>
      <c r="B43" t="s">
        <v>1403</v>
      </c>
      <c r="C43" t="s">
        <v>1369</v>
      </c>
      <c r="F43">
        <v>2500</v>
      </c>
      <c r="G43">
        <v>3.4</v>
      </c>
    </row>
    <row r="44" spans="1:7" x14ac:dyDescent="0.45">
      <c r="A44">
        <v>43</v>
      </c>
      <c r="B44" t="s">
        <v>1404</v>
      </c>
      <c r="C44" t="s">
        <v>1369</v>
      </c>
      <c r="F44">
        <v>3800</v>
      </c>
      <c r="G44">
        <v>3.3</v>
      </c>
    </row>
    <row r="45" spans="1:7" x14ac:dyDescent="0.45">
      <c r="A45">
        <v>44</v>
      </c>
      <c r="B45" t="s">
        <v>1405</v>
      </c>
      <c r="C45" t="s">
        <v>1369</v>
      </c>
      <c r="F45">
        <v>33100</v>
      </c>
      <c r="G45">
        <v>4.2</v>
      </c>
    </row>
    <row r="46" spans="1:7" x14ac:dyDescent="0.45">
      <c r="A46">
        <v>45</v>
      </c>
      <c r="B46" t="s">
        <v>1406</v>
      </c>
      <c r="C46" t="s">
        <v>1369</v>
      </c>
      <c r="F46">
        <v>6300</v>
      </c>
      <c r="G46">
        <v>3.3</v>
      </c>
    </row>
  </sheetData>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J11"/>
  <sheetViews>
    <sheetView workbookViewId="0">
      <pane ySplit="1" topLeftCell="A2" activePane="bottomLeft" state="frozen"/>
      <selection pane="bottomLeft"/>
    </sheetView>
  </sheetViews>
  <sheetFormatPr defaultRowHeight="14.25" x14ac:dyDescent="0.45"/>
  <cols>
    <col min="1" max="10" width="16" customWidth="1"/>
  </cols>
  <sheetData>
    <row r="1" spans="1:10" x14ac:dyDescent="0.45">
      <c r="A1" s="17" t="s">
        <v>777</v>
      </c>
      <c r="B1" s="17" t="s">
        <v>1407</v>
      </c>
      <c r="C1" s="17" t="s">
        <v>1408</v>
      </c>
      <c r="D1" s="17" t="s">
        <v>1409</v>
      </c>
      <c r="E1" s="17" t="s">
        <v>74</v>
      </c>
      <c r="F1" s="17" t="s">
        <v>1410</v>
      </c>
      <c r="G1" s="17" t="s">
        <v>1411</v>
      </c>
      <c r="H1" s="17" t="s">
        <v>1412</v>
      </c>
      <c r="I1" s="17" t="s">
        <v>1413</v>
      </c>
      <c r="J1" s="17" t="s">
        <v>1020</v>
      </c>
    </row>
    <row r="2" spans="1:10" x14ac:dyDescent="0.45">
      <c r="A2" t="s">
        <v>971</v>
      </c>
      <c r="B2" t="s">
        <v>1414</v>
      </c>
      <c r="C2" t="s">
        <v>1415</v>
      </c>
      <c r="D2">
        <v>240</v>
      </c>
      <c r="E2" t="s">
        <v>408</v>
      </c>
      <c r="F2" t="s">
        <v>1416</v>
      </c>
      <c r="G2" t="s">
        <v>1417</v>
      </c>
      <c r="H2">
        <v>1</v>
      </c>
      <c r="I2" t="s">
        <v>1418</v>
      </c>
      <c r="J2" t="s">
        <v>1419</v>
      </c>
    </row>
    <row r="3" spans="1:10" x14ac:dyDescent="0.45">
      <c r="A3" t="s">
        <v>971</v>
      </c>
      <c r="B3" t="s">
        <v>1420</v>
      </c>
      <c r="C3" t="s">
        <v>1421</v>
      </c>
      <c r="D3">
        <v>480</v>
      </c>
      <c r="E3" t="s">
        <v>335</v>
      </c>
      <c r="F3" t="s">
        <v>1422</v>
      </c>
      <c r="G3" t="s">
        <v>1423</v>
      </c>
      <c r="H3">
        <v>2</v>
      </c>
      <c r="I3" t="s">
        <v>1418</v>
      </c>
      <c r="J3" t="s">
        <v>1424</v>
      </c>
    </row>
    <row r="4" spans="1:10" x14ac:dyDescent="0.45">
      <c r="A4" t="s">
        <v>971</v>
      </c>
      <c r="B4" t="s">
        <v>389</v>
      </c>
      <c r="C4" t="s">
        <v>1425</v>
      </c>
      <c r="D4">
        <v>600</v>
      </c>
      <c r="E4" t="s">
        <v>335</v>
      </c>
      <c r="F4" t="s">
        <v>1426</v>
      </c>
      <c r="G4" t="s">
        <v>1426</v>
      </c>
      <c r="H4">
        <v>3</v>
      </c>
      <c r="I4" t="s">
        <v>1427</v>
      </c>
      <c r="J4" t="s">
        <v>1428</v>
      </c>
    </row>
    <row r="5" spans="1:10" x14ac:dyDescent="0.45">
      <c r="A5" t="s">
        <v>23</v>
      </c>
      <c r="B5" t="s">
        <v>1429</v>
      </c>
      <c r="C5" t="s">
        <v>1430</v>
      </c>
      <c r="D5">
        <v>240</v>
      </c>
      <c r="E5" t="s">
        <v>408</v>
      </c>
      <c r="F5" t="s">
        <v>1431</v>
      </c>
      <c r="G5" t="s">
        <v>1432</v>
      </c>
      <c r="H5">
        <v>1</v>
      </c>
      <c r="I5" t="s">
        <v>1418</v>
      </c>
      <c r="J5" t="s">
        <v>1433</v>
      </c>
    </row>
    <row r="6" spans="1:10" x14ac:dyDescent="0.45">
      <c r="A6" t="s">
        <v>23</v>
      </c>
      <c r="B6" t="s">
        <v>1434</v>
      </c>
      <c r="C6" t="s">
        <v>1435</v>
      </c>
      <c r="D6">
        <v>240</v>
      </c>
      <c r="E6" t="s">
        <v>408</v>
      </c>
      <c r="F6" t="s">
        <v>1431</v>
      </c>
      <c r="G6" t="s">
        <v>1436</v>
      </c>
      <c r="H6">
        <v>2</v>
      </c>
      <c r="I6" t="s">
        <v>1418</v>
      </c>
      <c r="J6" t="s">
        <v>1437</v>
      </c>
    </row>
    <row r="7" spans="1:10" x14ac:dyDescent="0.45">
      <c r="A7" t="s">
        <v>23</v>
      </c>
      <c r="B7" t="s">
        <v>1438</v>
      </c>
      <c r="C7" t="s">
        <v>1439</v>
      </c>
      <c r="D7">
        <v>480</v>
      </c>
      <c r="E7" t="s">
        <v>335</v>
      </c>
      <c r="F7" t="s">
        <v>543</v>
      </c>
      <c r="G7" t="s">
        <v>1436</v>
      </c>
      <c r="H7">
        <v>3</v>
      </c>
      <c r="I7" t="s">
        <v>1418</v>
      </c>
      <c r="J7" t="s">
        <v>1440</v>
      </c>
    </row>
    <row r="8" spans="1:10" x14ac:dyDescent="0.45">
      <c r="A8" t="s">
        <v>23</v>
      </c>
      <c r="B8" t="s">
        <v>1441</v>
      </c>
      <c r="C8" t="s">
        <v>1442</v>
      </c>
      <c r="D8">
        <v>600</v>
      </c>
      <c r="E8" t="s">
        <v>335</v>
      </c>
      <c r="F8" t="s">
        <v>1443</v>
      </c>
      <c r="G8" t="s">
        <v>1444</v>
      </c>
      <c r="H8">
        <v>4</v>
      </c>
      <c r="I8" t="s">
        <v>1418</v>
      </c>
      <c r="J8" t="s">
        <v>1445</v>
      </c>
    </row>
    <row r="9" spans="1:10" x14ac:dyDescent="0.45">
      <c r="A9" t="s">
        <v>23</v>
      </c>
      <c r="B9" t="s">
        <v>1446</v>
      </c>
      <c r="C9" t="s">
        <v>1447</v>
      </c>
      <c r="D9">
        <v>600</v>
      </c>
      <c r="E9" t="s">
        <v>335</v>
      </c>
      <c r="F9" t="s">
        <v>1448</v>
      </c>
      <c r="G9" t="s">
        <v>1449</v>
      </c>
      <c r="H9">
        <v>5</v>
      </c>
      <c r="I9" t="s">
        <v>1427</v>
      </c>
      <c r="J9" t="s">
        <v>1450</v>
      </c>
    </row>
    <row r="10" spans="1:10" x14ac:dyDescent="0.45">
      <c r="A10" t="s">
        <v>971</v>
      </c>
      <c r="B10" t="s">
        <v>420</v>
      </c>
      <c r="C10" t="s">
        <v>1451</v>
      </c>
      <c r="D10">
        <v>600</v>
      </c>
      <c r="E10" t="s">
        <v>335</v>
      </c>
      <c r="F10" t="s">
        <v>1426</v>
      </c>
      <c r="G10" t="s">
        <v>1452</v>
      </c>
      <c r="H10">
        <v>6</v>
      </c>
      <c r="I10" t="s">
        <v>1453</v>
      </c>
      <c r="J10" t="s">
        <v>1454</v>
      </c>
    </row>
    <row r="11" spans="1:10" x14ac:dyDescent="0.45">
      <c r="A11" t="s">
        <v>23</v>
      </c>
      <c r="B11" t="s">
        <v>431</v>
      </c>
      <c r="C11" t="s">
        <v>1455</v>
      </c>
      <c r="D11">
        <v>600</v>
      </c>
      <c r="E11" t="s">
        <v>335</v>
      </c>
      <c r="F11" t="s">
        <v>1448</v>
      </c>
      <c r="G11" t="s">
        <v>1456</v>
      </c>
      <c r="H11">
        <v>6</v>
      </c>
      <c r="I11" t="s">
        <v>1453</v>
      </c>
      <c r="J11" t="s">
        <v>1457</v>
      </c>
    </row>
  </sheetData>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E22"/>
  <sheetViews>
    <sheetView workbookViewId="0">
      <pane ySplit="1" topLeftCell="A2" activePane="bottomLeft" state="frozen"/>
      <selection pane="bottomLeft"/>
    </sheetView>
  </sheetViews>
  <sheetFormatPr defaultRowHeight="14.25" x14ac:dyDescent="0.45"/>
  <cols>
    <col min="1" max="5" width="16" customWidth="1"/>
  </cols>
  <sheetData>
    <row r="1" spans="1:5" x14ac:dyDescent="0.45">
      <c r="A1" s="17" t="s">
        <v>777</v>
      </c>
      <c r="B1" s="17" t="s">
        <v>1407</v>
      </c>
      <c r="C1" s="17" t="s">
        <v>1408</v>
      </c>
      <c r="D1" s="17" t="s">
        <v>1409</v>
      </c>
      <c r="E1" s="17" t="s">
        <v>1458</v>
      </c>
    </row>
    <row r="2" spans="1:5" x14ac:dyDescent="0.45">
      <c r="A2" t="s">
        <v>971</v>
      </c>
      <c r="B2" t="s">
        <v>447</v>
      </c>
      <c r="C2" t="s">
        <v>1459</v>
      </c>
      <c r="D2">
        <v>240</v>
      </c>
      <c r="E2" t="s">
        <v>1460</v>
      </c>
    </row>
    <row r="3" spans="1:5" x14ac:dyDescent="0.45">
      <c r="A3" t="s">
        <v>971</v>
      </c>
      <c r="B3" t="s">
        <v>439</v>
      </c>
      <c r="C3" t="s">
        <v>439</v>
      </c>
      <c r="D3">
        <v>240</v>
      </c>
      <c r="E3" t="s">
        <v>1461</v>
      </c>
    </row>
    <row r="4" spans="1:5" x14ac:dyDescent="0.45">
      <c r="A4" t="s">
        <v>971</v>
      </c>
      <c r="B4" t="s">
        <v>451</v>
      </c>
      <c r="C4" t="s">
        <v>1462</v>
      </c>
      <c r="D4">
        <v>480</v>
      </c>
      <c r="E4" t="s">
        <v>1463</v>
      </c>
    </row>
    <row r="5" spans="1:5" x14ac:dyDescent="0.45">
      <c r="A5" t="s">
        <v>971</v>
      </c>
      <c r="B5" t="s">
        <v>456</v>
      </c>
      <c r="C5" t="s">
        <v>1464</v>
      </c>
      <c r="D5">
        <v>480</v>
      </c>
      <c r="E5" t="s">
        <v>1465</v>
      </c>
    </row>
    <row r="6" spans="1:5" x14ac:dyDescent="0.45">
      <c r="A6" t="s">
        <v>971</v>
      </c>
      <c r="B6" t="s">
        <v>460</v>
      </c>
      <c r="C6" t="s">
        <v>1466</v>
      </c>
      <c r="D6">
        <v>480</v>
      </c>
      <c r="E6" t="s">
        <v>1467</v>
      </c>
    </row>
    <row r="7" spans="1:5" x14ac:dyDescent="0.45">
      <c r="A7" t="s">
        <v>971</v>
      </c>
      <c r="B7" t="s">
        <v>1468</v>
      </c>
      <c r="C7" t="s">
        <v>1469</v>
      </c>
      <c r="D7">
        <v>240</v>
      </c>
      <c r="E7" t="s">
        <v>1470</v>
      </c>
    </row>
    <row r="8" spans="1:5" x14ac:dyDescent="0.45">
      <c r="A8" t="s">
        <v>971</v>
      </c>
      <c r="B8" t="s">
        <v>1471</v>
      </c>
      <c r="C8" t="s">
        <v>1472</v>
      </c>
      <c r="D8">
        <v>600</v>
      </c>
      <c r="E8" t="s">
        <v>1473</v>
      </c>
    </row>
    <row r="9" spans="1:5" x14ac:dyDescent="0.45">
      <c r="A9" t="s">
        <v>971</v>
      </c>
      <c r="B9" t="s">
        <v>1474</v>
      </c>
      <c r="C9" t="s">
        <v>1475</v>
      </c>
      <c r="D9">
        <v>600</v>
      </c>
      <c r="E9" t="s">
        <v>1473</v>
      </c>
    </row>
    <row r="10" spans="1:5" x14ac:dyDescent="0.45">
      <c r="A10" t="s">
        <v>971</v>
      </c>
      <c r="B10" t="s">
        <v>1321</v>
      </c>
      <c r="C10" t="s">
        <v>1476</v>
      </c>
      <c r="D10">
        <v>600</v>
      </c>
      <c r="E10" t="s">
        <v>1473</v>
      </c>
    </row>
    <row r="11" spans="1:5" x14ac:dyDescent="0.45">
      <c r="A11" t="s">
        <v>971</v>
      </c>
      <c r="B11" t="s">
        <v>1477</v>
      </c>
      <c r="C11" t="s">
        <v>1478</v>
      </c>
      <c r="D11">
        <v>600</v>
      </c>
    </row>
    <row r="12" spans="1:5" x14ac:dyDescent="0.45">
      <c r="A12" t="s">
        <v>971</v>
      </c>
      <c r="B12" t="s">
        <v>1479</v>
      </c>
      <c r="C12" t="s">
        <v>1480</v>
      </c>
      <c r="D12">
        <v>600</v>
      </c>
    </row>
    <row r="13" spans="1:5" x14ac:dyDescent="0.45">
      <c r="A13" t="s">
        <v>971</v>
      </c>
      <c r="B13" t="s">
        <v>1481</v>
      </c>
      <c r="C13" t="s">
        <v>1482</v>
      </c>
      <c r="D13">
        <v>240</v>
      </c>
      <c r="E13" t="s">
        <v>1483</v>
      </c>
    </row>
    <row r="14" spans="1:5" x14ac:dyDescent="0.45">
      <c r="A14" t="s">
        <v>23</v>
      </c>
      <c r="B14" t="s">
        <v>537</v>
      </c>
      <c r="C14" t="s">
        <v>1484</v>
      </c>
      <c r="D14">
        <v>240</v>
      </c>
      <c r="E14" t="s">
        <v>1485</v>
      </c>
    </row>
    <row r="15" spans="1:5" x14ac:dyDescent="0.45">
      <c r="A15" t="s">
        <v>23</v>
      </c>
      <c r="B15" t="s">
        <v>540</v>
      </c>
      <c r="C15" t="s">
        <v>1486</v>
      </c>
      <c r="D15">
        <v>240</v>
      </c>
      <c r="E15" t="s">
        <v>1487</v>
      </c>
    </row>
    <row r="16" spans="1:5" x14ac:dyDescent="0.45">
      <c r="A16" t="s">
        <v>23</v>
      </c>
      <c r="B16" t="s">
        <v>543</v>
      </c>
      <c r="C16" t="s">
        <v>1488</v>
      </c>
      <c r="D16">
        <v>480</v>
      </c>
      <c r="E16" t="s">
        <v>1489</v>
      </c>
    </row>
    <row r="17" spans="1:5" x14ac:dyDescent="0.45">
      <c r="A17" t="s">
        <v>23</v>
      </c>
      <c r="B17" t="s">
        <v>1432</v>
      </c>
      <c r="C17" t="s">
        <v>1490</v>
      </c>
      <c r="D17">
        <v>600</v>
      </c>
      <c r="E17" t="s">
        <v>1491</v>
      </c>
    </row>
    <row r="18" spans="1:5" x14ac:dyDescent="0.45">
      <c r="A18" t="s">
        <v>23</v>
      </c>
      <c r="B18" t="s">
        <v>1492</v>
      </c>
      <c r="C18" t="s">
        <v>1493</v>
      </c>
      <c r="D18">
        <v>600</v>
      </c>
      <c r="E18" t="s">
        <v>1491</v>
      </c>
    </row>
    <row r="19" spans="1:5" x14ac:dyDescent="0.45">
      <c r="A19" t="s">
        <v>23</v>
      </c>
      <c r="B19" t="s">
        <v>1494</v>
      </c>
      <c r="C19" t="s">
        <v>1495</v>
      </c>
      <c r="D19">
        <v>600</v>
      </c>
      <c r="E19" t="s">
        <v>1491</v>
      </c>
    </row>
    <row r="20" spans="1:5" x14ac:dyDescent="0.45">
      <c r="A20" t="s">
        <v>23</v>
      </c>
      <c r="B20" t="s">
        <v>1496</v>
      </c>
      <c r="C20" t="s">
        <v>1497</v>
      </c>
      <c r="D20">
        <v>600</v>
      </c>
      <c r="E20" t="s">
        <v>1491</v>
      </c>
    </row>
    <row r="21" spans="1:5" x14ac:dyDescent="0.45">
      <c r="A21" t="s">
        <v>23</v>
      </c>
      <c r="B21" t="s">
        <v>1498</v>
      </c>
      <c r="C21" t="s">
        <v>1499</v>
      </c>
      <c r="D21">
        <v>600</v>
      </c>
    </row>
    <row r="22" spans="1:5" x14ac:dyDescent="0.45">
      <c r="A22" t="s">
        <v>23</v>
      </c>
      <c r="B22" t="s">
        <v>1481</v>
      </c>
      <c r="C22" t="s">
        <v>1482</v>
      </c>
      <c r="D22">
        <v>240</v>
      </c>
      <c r="E22" t="s">
        <v>1500</v>
      </c>
    </row>
  </sheetData>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G38"/>
  <sheetViews>
    <sheetView workbookViewId="0">
      <pane ySplit="1" topLeftCell="A2" activePane="bottomLeft" state="frozen"/>
      <selection pane="bottomLeft"/>
    </sheetView>
  </sheetViews>
  <sheetFormatPr defaultRowHeight="14.25" x14ac:dyDescent="0.45"/>
  <cols>
    <col min="1" max="7" width="16" customWidth="1"/>
  </cols>
  <sheetData>
    <row r="1" spans="1:7" x14ac:dyDescent="0.45">
      <c r="A1" s="17" t="s">
        <v>777</v>
      </c>
      <c r="B1" s="17" t="s">
        <v>1054</v>
      </c>
      <c r="C1" s="17" t="s">
        <v>1501</v>
      </c>
      <c r="D1" s="17" t="s">
        <v>1502</v>
      </c>
      <c r="E1" s="17" t="s">
        <v>1503</v>
      </c>
      <c r="F1" s="17" t="s">
        <v>1504</v>
      </c>
      <c r="G1" s="17" t="s">
        <v>1020</v>
      </c>
    </row>
    <row r="2" spans="1:7" x14ac:dyDescent="0.45">
      <c r="A2" t="s">
        <v>23</v>
      </c>
      <c r="B2" t="s">
        <v>967</v>
      </c>
      <c r="C2">
        <v>18</v>
      </c>
      <c r="D2">
        <v>100</v>
      </c>
      <c r="E2" t="s">
        <v>1505</v>
      </c>
      <c r="F2" t="s">
        <v>1506</v>
      </c>
    </row>
    <row r="3" spans="1:7" x14ac:dyDescent="0.45">
      <c r="A3" t="s">
        <v>23</v>
      </c>
      <c r="B3" t="s">
        <v>967</v>
      </c>
      <c r="C3">
        <v>22</v>
      </c>
      <c r="D3">
        <v>100</v>
      </c>
      <c r="E3" t="s">
        <v>1507</v>
      </c>
      <c r="F3" t="s">
        <v>1508</v>
      </c>
    </row>
    <row r="4" spans="1:7" x14ac:dyDescent="0.45">
      <c r="A4" t="s">
        <v>23</v>
      </c>
      <c r="B4" t="s">
        <v>967</v>
      </c>
      <c r="C4">
        <v>65</v>
      </c>
      <c r="D4">
        <v>100</v>
      </c>
      <c r="E4" t="s">
        <v>1509</v>
      </c>
      <c r="F4" t="s">
        <v>1510</v>
      </c>
    </row>
    <row r="5" spans="1:7" x14ac:dyDescent="0.45">
      <c r="A5" t="s">
        <v>23</v>
      </c>
      <c r="B5" t="s">
        <v>967</v>
      </c>
      <c r="C5">
        <v>100</v>
      </c>
      <c r="D5">
        <v>100</v>
      </c>
      <c r="E5" t="s">
        <v>1511</v>
      </c>
      <c r="F5" t="s">
        <v>1512</v>
      </c>
    </row>
    <row r="6" spans="1:7" x14ac:dyDescent="0.45">
      <c r="A6" t="s">
        <v>23</v>
      </c>
      <c r="B6" t="s">
        <v>967</v>
      </c>
      <c r="C6">
        <v>200</v>
      </c>
      <c r="D6">
        <v>100</v>
      </c>
      <c r="E6" t="s">
        <v>1513</v>
      </c>
      <c r="F6" t="s">
        <v>1514</v>
      </c>
    </row>
    <row r="7" spans="1:7" x14ac:dyDescent="0.45">
      <c r="A7" t="s">
        <v>23</v>
      </c>
      <c r="B7" t="s">
        <v>967</v>
      </c>
      <c r="C7">
        <v>100</v>
      </c>
      <c r="D7">
        <v>125</v>
      </c>
      <c r="E7" t="s">
        <v>1515</v>
      </c>
      <c r="F7" t="s">
        <v>1516</v>
      </c>
    </row>
    <row r="8" spans="1:7" x14ac:dyDescent="0.45">
      <c r="A8" t="s">
        <v>23</v>
      </c>
      <c r="B8" t="s">
        <v>967</v>
      </c>
      <c r="C8">
        <v>18</v>
      </c>
      <c r="D8">
        <v>150</v>
      </c>
      <c r="E8" t="s">
        <v>1517</v>
      </c>
      <c r="F8" t="s">
        <v>1518</v>
      </c>
      <c r="G8" t="s">
        <v>1519</v>
      </c>
    </row>
    <row r="9" spans="1:7" x14ac:dyDescent="0.45">
      <c r="A9" t="s">
        <v>23</v>
      </c>
      <c r="B9" t="s">
        <v>967</v>
      </c>
      <c r="C9">
        <v>22</v>
      </c>
      <c r="D9">
        <v>225</v>
      </c>
      <c r="E9" t="s">
        <v>1520</v>
      </c>
      <c r="F9" t="s">
        <v>1521</v>
      </c>
      <c r="G9" t="s">
        <v>1522</v>
      </c>
    </row>
    <row r="10" spans="1:7" x14ac:dyDescent="0.45">
      <c r="A10" t="s">
        <v>23</v>
      </c>
      <c r="B10" t="s">
        <v>967</v>
      </c>
      <c r="C10">
        <v>42</v>
      </c>
      <c r="D10">
        <v>225</v>
      </c>
      <c r="E10" t="s">
        <v>1523</v>
      </c>
      <c r="F10" t="s">
        <v>1524</v>
      </c>
      <c r="G10" t="s">
        <v>1525</v>
      </c>
    </row>
    <row r="11" spans="1:7" x14ac:dyDescent="0.45">
      <c r="A11" t="s">
        <v>23</v>
      </c>
      <c r="B11" t="s">
        <v>967</v>
      </c>
      <c r="C11">
        <v>65</v>
      </c>
      <c r="D11">
        <v>225</v>
      </c>
      <c r="E11" t="s">
        <v>1526</v>
      </c>
      <c r="F11" t="s">
        <v>1527</v>
      </c>
      <c r="G11" t="s">
        <v>1528</v>
      </c>
    </row>
    <row r="12" spans="1:7" x14ac:dyDescent="0.45">
      <c r="A12" t="s">
        <v>23</v>
      </c>
      <c r="B12" t="s">
        <v>1529</v>
      </c>
      <c r="C12">
        <v>65</v>
      </c>
      <c r="D12">
        <v>225</v>
      </c>
      <c r="E12" t="s">
        <v>1530</v>
      </c>
      <c r="F12" t="s">
        <v>537</v>
      </c>
      <c r="G12" t="s">
        <v>1531</v>
      </c>
    </row>
    <row r="13" spans="1:7" x14ac:dyDescent="0.45">
      <c r="A13" t="s">
        <v>23</v>
      </c>
      <c r="B13" t="s">
        <v>1532</v>
      </c>
      <c r="C13">
        <v>150</v>
      </c>
      <c r="D13">
        <v>100</v>
      </c>
      <c r="E13" t="s">
        <v>1513</v>
      </c>
      <c r="F13" t="s">
        <v>1533</v>
      </c>
    </row>
    <row r="14" spans="1:7" x14ac:dyDescent="0.45">
      <c r="A14" t="s">
        <v>23</v>
      </c>
      <c r="B14" t="s">
        <v>1532</v>
      </c>
      <c r="C14">
        <v>35</v>
      </c>
      <c r="D14">
        <v>125</v>
      </c>
      <c r="E14" t="s">
        <v>1534</v>
      </c>
      <c r="F14" t="s">
        <v>543</v>
      </c>
    </row>
    <row r="15" spans="1:7" x14ac:dyDescent="0.45">
      <c r="A15" t="s">
        <v>23</v>
      </c>
      <c r="B15" t="s">
        <v>1532</v>
      </c>
      <c r="C15">
        <v>65</v>
      </c>
      <c r="D15">
        <v>125</v>
      </c>
      <c r="E15" t="s">
        <v>1515</v>
      </c>
      <c r="F15" t="s">
        <v>543</v>
      </c>
    </row>
    <row r="16" spans="1:7" x14ac:dyDescent="0.45">
      <c r="A16" t="s">
        <v>23</v>
      </c>
      <c r="B16" t="s">
        <v>1532</v>
      </c>
      <c r="C16">
        <v>35</v>
      </c>
      <c r="D16">
        <v>225</v>
      </c>
      <c r="E16" t="s">
        <v>1535</v>
      </c>
      <c r="F16" t="s">
        <v>1533</v>
      </c>
    </row>
    <row r="17" spans="1:7" x14ac:dyDescent="0.45">
      <c r="A17" t="s">
        <v>23</v>
      </c>
      <c r="B17" t="s">
        <v>1532</v>
      </c>
      <c r="C17">
        <v>65</v>
      </c>
      <c r="D17">
        <v>225</v>
      </c>
      <c r="E17" t="s">
        <v>1536</v>
      </c>
      <c r="F17" t="s">
        <v>1533</v>
      </c>
    </row>
    <row r="18" spans="1:7" x14ac:dyDescent="0.45">
      <c r="A18" t="s">
        <v>23</v>
      </c>
      <c r="B18" t="s">
        <v>1532</v>
      </c>
      <c r="C18">
        <v>100</v>
      </c>
      <c r="D18">
        <v>225</v>
      </c>
      <c r="E18" t="s">
        <v>1537</v>
      </c>
      <c r="F18" t="s">
        <v>543</v>
      </c>
    </row>
    <row r="19" spans="1:7" x14ac:dyDescent="0.45">
      <c r="A19" t="s">
        <v>23</v>
      </c>
      <c r="B19" t="s">
        <v>1532</v>
      </c>
      <c r="C19">
        <v>22</v>
      </c>
      <c r="D19">
        <v>250</v>
      </c>
      <c r="E19" t="s">
        <v>1538</v>
      </c>
      <c r="F19" t="s">
        <v>543</v>
      </c>
    </row>
    <row r="20" spans="1:7" x14ac:dyDescent="0.45">
      <c r="A20" t="s">
        <v>23</v>
      </c>
      <c r="B20" t="s">
        <v>1532</v>
      </c>
      <c r="C20">
        <v>35</v>
      </c>
      <c r="D20">
        <v>250</v>
      </c>
      <c r="E20" t="s">
        <v>1538</v>
      </c>
      <c r="F20" t="s">
        <v>543</v>
      </c>
      <c r="G20" t="s">
        <v>1539</v>
      </c>
    </row>
    <row r="21" spans="1:7" x14ac:dyDescent="0.45">
      <c r="A21" t="s">
        <v>23</v>
      </c>
      <c r="B21" t="s">
        <v>1532</v>
      </c>
      <c r="C21">
        <v>65</v>
      </c>
      <c r="D21">
        <v>250</v>
      </c>
      <c r="E21" t="s">
        <v>1540</v>
      </c>
      <c r="F21" t="s">
        <v>543</v>
      </c>
      <c r="G21" t="s">
        <v>1539</v>
      </c>
    </row>
    <row r="22" spans="1:7" x14ac:dyDescent="0.45">
      <c r="A22" t="s">
        <v>23</v>
      </c>
      <c r="B22" t="s">
        <v>1532</v>
      </c>
      <c r="C22">
        <v>100</v>
      </c>
      <c r="D22">
        <v>250</v>
      </c>
      <c r="E22" t="s">
        <v>1541</v>
      </c>
      <c r="F22" t="s">
        <v>543</v>
      </c>
    </row>
    <row r="23" spans="1:7" x14ac:dyDescent="0.45">
      <c r="A23" t="s">
        <v>23</v>
      </c>
      <c r="B23" t="s">
        <v>1532</v>
      </c>
      <c r="C23">
        <v>22</v>
      </c>
      <c r="D23">
        <v>400</v>
      </c>
      <c r="E23" t="s">
        <v>1542</v>
      </c>
      <c r="F23" t="s">
        <v>543</v>
      </c>
    </row>
    <row r="24" spans="1:7" x14ac:dyDescent="0.45">
      <c r="A24" t="s">
        <v>23</v>
      </c>
      <c r="B24" t="s">
        <v>1532</v>
      </c>
      <c r="C24">
        <v>25</v>
      </c>
      <c r="D24">
        <v>400</v>
      </c>
      <c r="E24" t="s">
        <v>1543</v>
      </c>
      <c r="F24" t="s">
        <v>543</v>
      </c>
    </row>
    <row r="25" spans="1:7" x14ac:dyDescent="0.45">
      <c r="A25" t="s">
        <v>23</v>
      </c>
      <c r="B25" t="s">
        <v>1532</v>
      </c>
      <c r="C25">
        <v>35</v>
      </c>
      <c r="D25">
        <v>400</v>
      </c>
      <c r="E25" t="s">
        <v>1542</v>
      </c>
      <c r="F25" t="s">
        <v>543</v>
      </c>
      <c r="G25" t="s">
        <v>1539</v>
      </c>
    </row>
    <row r="26" spans="1:7" x14ac:dyDescent="0.45">
      <c r="A26" t="s">
        <v>23</v>
      </c>
      <c r="B26" t="s">
        <v>1532</v>
      </c>
      <c r="C26">
        <v>65</v>
      </c>
      <c r="D26">
        <v>400</v>
      </c>
      <c r="E26" t="s">
        <v>1544</v>
      </c>
      <c r="F26" t="s">
        <v>543</v>
      </c>
      <c r="G26" t="s">
        <v>1539</v>
      </c>
    </row>
    <row r="27" spans="1:7" x14ac:dyDescent="0.45">
      <c r="A27" t="s">
        <v>23</v>
      </c>
      <c r="B27" t="s">
        <v>1532</v>
      </c>
      <c r="C27">
        <v>100</v>
      </c>
      <c r="D27">
        <v>400</v>
      </c>
      <c r="E27" t="s">
        <v>1545</v>
      </c>
      <c r="F27" t="s">
        <v>543</v>
      </c>
    </row>
    <row r="28" spans="1:7" x14ac:dyDescent="0.45">
      <c r="A28" t="s">
        <v>23</v>
      </c>
      <c r="B28" t="s">
        <v>1532</v>
      </c>
      <c r="C28">
        <v>150</v>
      </c>
      <c r="D28">
        <v>400</v>
      </c>
      <c r="E28" t="s">
        <v>1546</v>
      </c>
      <c r="F28" t="s">
        <v>543</v>
      </c>
    </row>
    <row r="29" spans="1:7" x14ac:dyDescent="0.45">
      <c r="A29" t="s">
        <v>23</v>
      </c>
      <c r="B29" t="s">
        <v>1547</v>
      </c>
      <c r="C29">
        <v>100</v>
      </c>
      <c r="D29">
        <v>100</v>
      </c>
      <c r="E29" t="s">
        <v>1511</v>
      </c>
      <c r="F29" t="s">
        <v>1548</v>
      </c>
    </row>
    <row r="30" spans="1:7" x14ac:dyDescent="0.45">
      <c r="A30" t="s">
        <v>23</v>
      </c>
      <c r="B30" t="s">
        <v>1547</v>
      </c>
      <c r="C30">
        <v>150</v>
      </c>
      <c r="D30">
        <v>100</v>
      </c>
      <c r="E30" t="s">
        <v>1513</v>
      </c>
      <c r="F30" t="s">
        <v>1549</v>
      </c>
    </row>
    <row r="31" spans="1:7" x14ac:dyDescent="0.45">
      <c r="A31" t="s">
        <v>23</v>
      </c>
      <c r="B31" t="s">
        <v>1547</v>
      </c>
      <c r="C31">
        <v>100</v>
      </c>
      <c r="D31">
        <v>200</v>
      </c>
      <c r="E31" t="s">
        <v>1550</v>
      </c>
      <c r="F31" t="s">
        <v>1551</v>
      </c>
    </row>
    <row r="32" spans="1:7" x14ac:dyDescent="0.45">
      <c r="A32" t="s">
        <v>23</v>
      </c>
      <c r="B32" t="s">
        <v>1547</v>
      </c>
      <c r="C32">
        <v>35</v>
      </c>
      <c r="D32">
        <v>225</v>
      </c>
      <c r="E32" t="s">
        <v>1535</v>
      </c>
      <c r="F32" t="s">
        <v>1552</v>
      </c>
    </row>
    <row r="33" spans="1:7" x14ac:dyDescent="0.45">
      <c r="A33" t="s">
        <v>23</v>
      </c>
      <c r="B33" t="s">
        <v>1547</v>
      </c>
      <c r="C33">
        <v>65</v>
      </c>
      <c r="D33">
        <v>225</v>
      </c>
      <c r="E33" t="s">
        <v>1536</v>
      </c>
      <c r="F33" t="s">
        <v>1553</v>
      </c>
      <c r="G33" t="s">
        <v>1554</v>
      </c>
    </row>
    <row r="34" spans="1:7" x14ac:dyDescent="0.45">
      <c r="A34" t="s">
        <v>23</v>
      </c>
      <c r="B34" t="s">
        <v>1547</v>
      </c>
      <c r="C34">
        <v>100</v>
      </c>
      <c r="D34">
        <v>225</v>
      </c>
      <c r="E34" t="s">
        <v>1537</v>
      </c>
      <c r="F34" t="s">
        <v>1555</v>
      </c>
    </row>
    <row r="35" spans="1:7" x14ac:dyDescent="0.45">
      <c r="A35" t="s">
        <v>23</v>
      </c>
      <c r="B35" t="s">
        <v>1547</v>
      </c>
      <c r="C35">
        <v>25</v>
      </c>
      <c r="D35">
        <v>250</v>
      </c>
      <c r="E35" t="s">
        <v>1538</v>
      </c>
      <c r="F35" t="s">
        <v>1552</v>
      </c>
    </row>
    <row r="36" spans="1:7" x14ac:dyDescent="0.45">
      <c r="A36" t="s">
        <v>23</v>
      </c>
      <c r="B36" t="s">
        <v>1547</v>
      </c>
      <c r="C36">
        <v>65</v>
      </c>
      <c r="D36">
        <v>250</v>
      </c>
      <c r="E36" t="s">
        <v>1540</v>
      </c>
      <c r="F36" t="s">
        <v>1556</v>
      </c>
    </row>
    <row r="37" spans="1:7" x14ac:dyDescent="0.45">
      <c r="A37" t="s">
        <v>23</v>
      </c>
      <c r="B37" t="s">
        <v>1547</v>
      </c>
      <c r="C37">
        <v>100</v>
      </c>
      <c r="D37">
        <v>250</v>
      </c>
      <c r="E37" t="s">
        <v>1541</v>
      </c>
      <c r="F37" t="s">
        <v>1557</v>
      </c>
    </row>
    <row r="38" spans="1:7" x14ac:dyDescent="0.45">
      <c r="A38" t="s">
        <v>23</v>
      </c>
      <c r="B38" t="s">
        <v>1547</v>
      </c>
      <c r="C38">
        <v>150</v>
      </c>
      <c r="D38">
        <v>250</v>
      </c>
      <c r="E38" t="s">
        <v>1546</v>
      </c>
      <c r="F38" t="s">
        <v>1558</v>
      </c>
    </row>
  </sheetData>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F17"/>
  <sheetViews>
    <sheetView workbookViewId="0">
      <pane ySplit="1" topLeftCell="A2" activePane="bottomLeft" state="frozen"/>
      <selection pane="bottomLeft"/>
    </sheetView>
  </sheetViews>
  <sheetFormatPr defaultRowHeight="14.25" x14ac:dyDescent="0.45"/>
  <cols>
    <col min="1" max="6" width="16" customWidth="1"/>
  </cols>
  <sheetData>
    <row r="1" spans="1:6" x14ac:dyDescent="0.45">
      <c r="A1" s="17" t="s">
        <v>1355</v>
      </c>
      <c r="B1" s="17" t="s">
        <v>97</v>
      </c>
      <c r="C1" s="17" t="s">
        <v>1559</v>
      </c>
      <c r="D1" s="17" t="s">
        <v>100</v>
      </c>
      <c r="E1" s="17" t="s">
        <v>1560</v>
      </c>
      <c r="F1" s="17" t="s">
        <v>1020</v>
      </c>
    </row>
    <row r="2" spans="1:6" x14ac:dyDescent="0.45">
      <c r="A2">
        <v>1</v>
      </c>
      <c r="B2" t="s">
        <v>1561</v>
      </c>
      <c r="C2">
        <v>14</v>
      </c>
      <c r="D2">
        <v>10.8</v>
      </c>
      <c r="E2">
        <v>60</v>
      </c>
      <c r="F2" t="s">
        <v>1562</v>
      </c>
    </row>
    <row r="3" spans="1:6" x14ac:dyDescent="0.45">
      <c r="A3">
        <v>2</v>
      </c>
      <c r="B3" t="s">
        <v>1563</v>
      </c>
      <c r="C3">
        <v>20.5</v>
      </c>
      <c r="D3">
        <v>10.8</v>
      </c>
      <c r="E3">
        <v>70</v>
      </c>
      <c r="F3" t="s">
        <v>1564</v>
      </c>
    </row>
    <row r="4" spans="1:6" x14ac:dyDescent="0.45">
      <c r="A4">
        <v>3</v>
      </c>
      <c r="B4" t="s">
        <v>1565</v>
      </c>
      <c r="C4">
        <v>12.9</v>
      </c>
      <c r="D4">
        <v>5</v>
      </c>
      <c r="E4">
        <v>0</v>
      </c>
      <c r="F4" t="s">
        <v>1566</v>
      </c>
    </row>
    <row r="5" spans="1:6" x14ac:dyDescent="0.45">
      <c r="A5">
        <v>4</v>
      </c>
      <c r="B5" t="s">
        <v>1567</v>
      </c>
      <c r="C5">
        <v>18.3</v>
      </c>
      <c r="D5">
        <v>10.8</v>
      </c>
      <c r="E5">
        <v>50</v>
      </c>
      <c r="F5" t="s">
        <v>1568</v>
      </c>
    </row>
    <row r="6" spans="1:6" x14ac:dyDescent="0.45">
      <c r="A6">
        <v>5</v>
      </c>
      <c r="B6" t="s">
        <v>1569</v>
      </c>
      <c r="C6">
        <v>17.2</v>
      </c>
      <c r="D6">
        <v>21.5</v>
      </c>
      <c r="E6">
        <v>80</v>
      </c>
      <c r="F6" t="s">
        <v>1570</v>
      </c>
    </row>
    <row r="7" spans="1:6" x14ac:dyDescent="0.45">
      <c r="A7">
        <v>6</v>
      </c>
      <c r="B7" t="s">
        <v>1571</v>
      </c>
      <c r="C7">
        <v>17.2</v>
      </c>
      <c r="D7">
        <v>21.5</v>
      </c>
      <c r="E7">
        <v>70</v>
      </c>
      <c r="F7" t="s">
        <v>1570</v>
      </c>
    </row>
    <row r="8" spans="1:6" x14ac:dyDescent="0.45">
      <c r="A8">
        <v>7</v>
      </c>
      <c r="B8" t="s">
        <v>1572</v>
      </c>
      <c r="C8">
        <v>16.100000000000001</v>
      </c>
      <c r="D8">
        <v>10.8</v>
      </c>
      <c r="E8">
        <v>50</v>
      </c>
      <c r="F8" t="s">
        <v>1573</v>
      </c>
    </row>
    <row r="9" spans="1:6" x14ac:dyDescent="0.45">
      <c r="A9">
        <v>8</v>
      </c>
      <c r="B9" t="s">
        <v>1574</v>
      </c>
      <c r="C9">
        <v>16.100000000000001</v>
      </c>
      <c r="D9">
        <v>21.5</v>
      </c>
      <c r="E9">
        <v>90</v>
      </c>
      <c r="F9" t="s">
        <v>1573</v>
      </c>
    </row>
    <row r="10" spans="1:6" x14ac:dyDescent="0.45">
      <c r="A10">
        <v>9</v>
      </c>
      <c r="B10" t="s">
        <v>1575</v>
      </c>
      <c r="C10">
        <v>3.2</v>
      </c>
      <c r="D10">
        <v>1</v>
      </c>
      <c r="E10">
        <v>0</v>
      </c>
      <c r="F10" t="s">
        <v>1576</v>
      </c>
    </row>
    <row r="11" spans="1:6" x14ac:dyDescent="0.45">
      <c r="A11">
        <v>10</v>
      </c>
      <c r="B11" t="s">
        <v>1577</v>
      </c>
      <c r="C11">
        <v>18.3</v>
      </c>
      <c r="D11">
        <v>10.8</v>
      </c>
      <c r="E11">
        <v>70</v>
      </c>
      <c r="F11" t="s">
        <v>1568</v>
      </c>
    </row>
    <row r="12" spans="1:6" x14ac:dyDescent="0.45">
      <c r="A12">
        <v>11</v>
      </c>
      <c r="B12" t="s">
        <v>1578</v>
      </c>
      <c r="C12">
        <v>23.7</v>
      </c>
      <c r="D12">
        <v>10.8</v>
      </c>
      <c r="E12">
        <v>30</v>
      </c>
      <c r="F12" t="s">
        <v>1579</v>
      </c>
    </row>
    <row r="13" spans="1:6" x14ac:dyDescent="0.45">
      <c r="A13">
        <v>12</v>
      </c>
      <c r="B13" t="s">
        <v>1580</v>
      </c>
      <c r="C13">
        <v>23.7</v>
      </c>
      <c r="D13">
        <v>5</v>
      </c>
      <c r="E13">
        <v>60</v>
      </c>
      <c r="F13" t="s">
        <v>1579</v>
      </c>
    </row>
    <row r="14" spans="1:6" x14ac:dyDescent="0.45">
      <c r="A14">
        <v>13</v>
      </c>
      <c r="B14" t="s">
        <v>1581</v>
      </c>
      <c r="C14">
        <v>18.3</v>
      </c>
      <c r="D14">
        <v>10.8</v>
      </c>
      <c r="E14">
        <v>20</v>
      </c>
      <c r="F14" t="s">
        <v>1568</v>
      </c>
    </row>
    <row r="15" spans="1:6" x14ac:dyDescent="0.45">
      <c r="A15">
        <v>14</v>
      </c>
      <c r="B15" t="s">
        <v>1582</v>
      </c>
      <c r="C15">
        <v>32.299999999999997</v>
      </c>
      <c r="D15">
        <v>0</v>
      </c>
      <c r="E15">
        <v>40</v>
      </c>
      <c r="F15" t="s">
        <v>1583</v>
      </c>
    </row>
    <row r="16" spans="1:6" x14ac:dyDescent="0.45">
      <c r="A16">
        <v>15</v>
      </c>
      <c r="B16" t="s">
        <v>1584</v>
      </c>
      <c r="C16">
        <v>16.100000000000001</v>
      </c>
      <c r="D16">
        <v>10.8</v>
      </c>
      <c r="E16">
        <v>50</v>
      </c>
      <c r="F16" t="s">
        <v>1573</v>
      </c>
    </row>
    <row r="17" spans="1:6" x14ac:dyDescent="0.45">
      <c r="A17">
        <v>16</v>
      </c>
      <c r="B17" t="s">
        <v>1585</v>
      </c>
      <c r="C17">
        <v>17.2</v>
      </c>
      <c r="D17">
        <v>10.8</v>
      </c>
      <c r="E17">
        <v>60</v>
      </c>
      <c r="F17" t="s">
        <v>1570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69</vt:i4>
      </vt:variant>
    </vt:vector>
  </HeadingPairs>
  <TitlesOfParts>
    <vt:vector size="79" baseType="lpstr">
      <vt:lpstr>INICIO</vt:lpstr>
      <vt:lpstr>PROYECTO</vt:lpstr>
      <vt:lpstr>TABLA RESUMEN</vt:lpstr>
      <vt:lpstr>RESUMEN VERTICAL</vt:lpstr>
      <vt:lpstr>RESUMEN DU</vt:lpstr>
      <vt:lpstr>PREVISTA</vt:lpstr>
      <vt:lpstr>REVIT</vt:lpstr>
      <vt:lpstr>CAMBIOS REVIT</vt:lpstr>
      <vt:lpstr>DETALLES DE CARGA</vt:lpstr>
      <vt:lpstr>AYUDA</vt:lpstr>
      <vt:lpstr>AUTO_AMP</vt:lpstr>
      <vt:lpstr>CARGA_DERIV</vt:lpstr>
      <vt:lpstr>CVMAX_ALIM</vt:lpstr>
      <vt:lpstr>CVMAX_TOT</vt:lpstr>
      <vt:lpstr>DESB_MAX</vt:lpstr>
      <vt:lpstr>ICC_LMAX</vt:lpstr>
      <vt:lpstr>ICC_RED</vt:lpstr>
      <vt:lpstr>L_AGRUP</vt:lpstr>
      <vt:lpstr>L_AISLAMIENTOS</vt:lpstr>
      <vt:lpstr>L_BK_TXT</vt:lpstr>
      <vt:lpstr>L_CDERIV</vt:lpstr>
      <vt:lpstr>L_CLASE</vt:lpstr>
      <vt:lpstr>L_DET</vt:lpstr>
      <vt:lpstr>L_DET_TXT</vt:lpstr>
      <vt:lpstr>L_DISPARO</vt:lpstr>
      <vt:lpstr>L_FUENTE</vt:lpstr>
      <vt:lpstr>L_MARCAS</vt:lpstr>
      <vt:lpstr>L_MATERIALES</vt:lpstr>
      <vt:lpstr>L_MONTAJES</vt:lpstr>
      <vt:lpstr>L_OCUP</vt:lpstr>
      <vt:lpstr>L_PRINCIPAL</vt:lpstr>
      <vt:lpstr>L_SINO</vt:lpstr>
      <vt:lpstr>L_SISTEMAS</vt:lpstr>
      <vt:lpstr>L_SPD_TXT</vt:lpstr>
      <vt:lpstr>L_TAB_TXT</vt:lpstr>
      <vt:lpstr>L_TEMPS</vt:lpstr>
      <vt:lpstr>L_TIPO</vt:lpstr>
      <vt:lpstr>L_TRAFOS</vt:lpstr>
      <vt:lpstr>L_TRANSF</vt:lpstr>
      <vt:lpstr>L_TRANSICION</vt:lpstr>
      <vt:lpstr>L_TUBERIAS</vt:lpstr>
      <vt:lpstr>L_UNIDADES</vt:lpstr>
      <vt:lpstr>L_USOS</vt:lpstr>
      <vt:lpstr>LISTA_TABLEROS</vt:lpstr>
      <vt:lpstr>MARCA_DEF</vt:lpstr>
      <vt:lpstr>OCUPACION</vt:lpstr>
      <vt:lpstr>P_ELABORO</vt:lpstr>
      <vt:lpstr>P_FECHA</vt:lpstr>
      <vt:lpstr>P_NOMBRE</vt:lpstr>
      <vt:lpstr>P_NUMERO</vt:lpstr>
      <vt:lpstr>P_REV</vt:lpstr>
      <vt:lpstr>P_UBIC</vt:lpstr>
      <vt:lpstr>VISTA_MACHOTE!Print_Area</vt:lpstr>
      <vt:lpstr>RESERVA_ESP</vt:lpstr>
      <vt:lpstr>T_AGRUP</vt:lpstr>
      <vt:lpstr>T_AMP</vt:lpstr>
      <vt:lpstr>T_AMPAL</vt:lpstr>
      <vt:lpstr>T_AMPCU</vt:lpstr>
      <vt:lpstr>T_CONDUIT</vt:lpstr>
      <vt:lpstr>T_CONSTC</vt:lpstr>
      <vt:lpstr>T_DET</vt:lpstr>
      <vt:lpstr>T_ELEC</vt:lpstr>
      <vt:lpstr>T_ELEC_AL</vt:lpstr>
      <vt:lpstr>T_ELEC_ALMC</vt:lpstr>
      <vt:lpstr>T_ELEC_CALAL</vt:lpstr>
      <vt:lpstr>T_ELEC_CALCU</vt:lpstr>
      <vt:lpstr>T_ELEC_CU</vt:lpstr>
      <vt:lpstr>T_ELEC_CUMC</vt:lpstr>
      <vt:lpstr>T_FAC_AL</vt:lpstr>
      <vt:lpstr>T_FAC_CU</vt:lpstr>
      <vt:lpstr>T_FAC_H</vt:lpstr>
      <vt:lpstr>T_PROT</vt:lpstr>
      <vt:lpstr>T_TEMP</vt:lpstr>
      <vt:lpstr>T_TIERRA</vt:lpstr>
      <vt:lpstr>T_TIERRA_A</vt:lpstr>
      <vt:lpstr>T_TIERRA_ALL</vt:lpstr>
      <vt:lpstr>T_TIERRA_H</vt:lpstr>
      <vt:lpstr>T_TIPOS</vt:lpstr>
      <vt:lpstr>T_USOS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Oscar Quiros</cp:lastModifiedBy>
  <dcterms:created xsi:type="dcterms:W3CDTF">2026-10-16T20:20:17Z</dcterms:created>
  <dcterms:modified xsi:type="dcterms:W3CDTF">2026-10-16T20:20:22Z</dcterms:modified>
</cp:coreProperties>
</file>